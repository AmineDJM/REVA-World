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externalLinks/externalLink1.xml" ContentType="application/vnd.openxmlformats-officedocument.spreadsheetml.externalLink+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steymourian\Desktop\DataViz\"/>
    </mc:Choice>
  </mc:AlternateContent>
  <bookViews>
    <workbookView xWindow="0" yWindow="0" windowWidth="20460" windowHeight="4410"/>
  </bookViews>
  <sheets>
    <sheet name="Sheet1" sheetId="1" r:id="rId1"/>
  </sheets>
  <externalReferences>
    <externalReference r:id="rId2"/>
  </externalReferences>
  <definedNames>
    <definedName name="_xlnm._FilterDatabase" localSheetId="0" hidden="1">Sheet1!$A$2:$AA$15192</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V3" i="1" l="1"/>
  <c r="V8899" i="1"/>
  <c r="X6950" i="1"/>
  <c r="V1520" i="1"/>
  <c r="V15192" i="1"/>
  <c r="V11286" i="1"/>
  <c r="V7163" i="1"/>
  <c r="V14975" i="1"/>
  <c r="V14758" i="1"/>
  <c r="V14541" i="1"/>
  <c r="V14324" i="1"/>
  <c r="V14107" i="1"/>
  <c r="V13890" i="1"/>
  <c r="V13673" i="1"/>
  <c r="V13456" i="1"/>
  <c r="V13239" i="1"/>
  <c r="V12805" i="1"/>
  <c r="V12588" i="1"/>
  <c r="V12371" i="1"/>
  <c r="V12154" i="1"/>
  <c r="V11937" i="1"/>
  <c r="V11720" i="1"/>
  <c r="V11503" i="1"/>
  <c r="V11069" i="1"/>
  <c r="V10852" i="1"/>
  <c r="V10635" i="1"/>
  <c r="V10418" i="1"/>
  <c r="V10201" i="1"/>
  <c r="V9984" i="1"/>
  <c r="V9767" i="1"/>
  <c r="V9550" i="1"/>
  <c r="V9333" i="1"/>
  <c r="V9116" i="1"/>
  <c r="V8682" i="1"/>
  <c r="V8465" i="1"/>
  <c r="V8248" i="1"/>
  <c r="V8031" i="1"/>
  <c r="V7814" i="1"/>
  <c r="V7597" i="1"/>
  <c r="V7380" i="1"/>
  <c r="V6729" i="1"/>
  <c r="V6512" i="1"/>
  <c r="V6078" i="1"/>
  <c r="V5860" i="1"/>
  <c r="V5644" i="1"/>
  <c r="V5426" i="1"/>
  <c r="V4993" i="1"/>
  <c r="V4776" i="1"/>
  <c r="V4559" i="1"/>
  <c r="V4342" i="1"/>
  <c r="V4125" i="1"/>
  <c r="V3908" i="1"/>
  <c r="V3691" i="1"/>
  <c r="V3474" i="1"/>
  <c r="V3257" i="1"/>
  <c r="V3040" i="1"/>
  <c r="V2823" i="1"/>
  <c r="V2606" i="1"/>
  <c r="V2389" i="1"/>
  <c r="V2172" i="1"/>
  <c r="V1955" i="1"/>
  <c r="V1738" i="1"/>
  <c r="V1304" i="1"/>
  <c r="V1087" i="1"/>
  <c r="V870" i="1"/>
  <c r="V653" i="1"/>
  <c r="V219" i="1"/>
  <c r="J11695" i="1"/>
  <c r="J11694"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519"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700" i="1"/>
  <c r="V14760" i="1"/>
  <c r="V14761" i="1"/>
  <c r="V14762" i="1"/>
  <c r="V14763" i="1"/>
  <c r="V14764" i="1"/>
  <c r="V14765" i="1"/>
  <c r="V14766" i="1"/>
  <c r="V14767" i="1"/>
  <c r="V14768" i="1"/>
  <c r="V14769" i="1"/>
  <c r="V14770" i="1"/>
  <c r="V14771" i="1"/>
  <c r="V14772" i="1"/>
  <c r="V14773" i="1"/>
  <c r="V14774" i="1"/>
  <c r="V14775" i="1"/>
  <c r="V14776" i="1"/>
  <c r="V14777" i="1"/>
  <c r="V14778" i="1"/>
  <c r="V14779" i="1"/>
  <c r="V14780" i="1"/>
  <c r="V14781" i="1"/>
  <c r="V14782" i="1"/>
  <c r="V14783" i="1"/>
  <c r="V14784" i="1"/>
  <c r="V14785" i="1"/>
  <c r="V14786" i="1"/>
  <c r="V14787" i="1"/>
  <c r="V14788" i="1"/>
  <c r="V14789" i="1"/>
  <c r="V14790" i="1"/>
  <c r="V14791" i="1"/>
  <c r="V14792" i="1"/>
  <c r="V14793" i="1"/>
  <c r="V14794" i="1"/>
  <c r="V14795" i="1"/>
  <c r="V14796" i="1"/>
  <c r="V14797" i="1"/>
  <c r="V14798" i="1"/>
  <c r="V14799" i="1"/>
  <c r="V14800" i="1"/>
  <c r="V14801" i="1"/>
  <c r="V14802" i="1"/>
  <c r="V14803" i="1"/>
  <c r="V14804" i="1"/>
  <c r="V14805" i="1"/>
  <c r="V14806" i="1"/>
  <c r="V14807" i="1"/>
  <c r="V14808" i="1"/>
  <c r="V14809" i="1"/>
  <c r="V14810" i="1"/>
  <c r="V14811" i="1"/>
  <c r="V14812" i="1"/>
  <c r="V14813" i="1"/>
  <c r="V14814" i="1"/>
  <c r="V14815" i="1"/>
  <c r="V14816" i="1"/>
  <c r="V14817" i="1"/>
  <c r="V14818" i="1"/>
  <c r="V14819" i="1"/>
  <c r="V14820" i="1"/>
  <c r="V14821" i="1"/>
  <c r="V14822" i="1"/>
  <c r="V14823" i="1"/>
  <c r="V14824" i="1"/>
  <c r="V14825" i="1"/>
  <c r="V14826" i="1"/>
  <c r="V14827" i="1"/>
  <c r="V14828" i="1"/>
  <c r="V14829" i="1"/>
  <c r="V14830" i="1"/>
  <c r="V14831" i="1"/>
  <c r="V14832" i="1"/>
  <c r="V14833" i="1"/>
  <c r="V14834" i="1"/>
  <c r="V14835" i="1"/>
  <c r="V14836" i="1"/>
  <c r="V14837" i="1"/>
  <c r="V14838" i="1"/>
  <c r="V14839" i="1"/>
  <c r="V14840" i="1"/>
  <c r="V14841" i="1"/>
  <c r="V14842" i="1"/>
  <c r="V14843" i="1"/>
  <c r="V14844" i="1"/>
  <c r="V14845" i="1"/>
  <c r="V14846" i="1"/>
  <c r="V14847" i="1"/>
  <c r="V14848" i="1"/>
  <c r="V14849" i="1"/>
  <c r="V14850" i="1"/>
  <c r="V14851" i="1"/>
  <c r="V14852" i="1"/>
  <c r="V14853" i="1"/>
  <c r="V14854" i="1"/>
  <c r="V14855" i="1"/>
  <c r="V14856" i="1"/>
  <c r="V14857" i="1"/>
  <c r="V14858" i="1"/>
  <c r="V14859" i="1"/>
  <c r="V14860" i="1"/>
  <c r="V14861" i="1"/>
  <c r="V14862" i="1"/>
  <c r="V14863" i="1"/>
  <c r="V14864" i="1"/>
  <c r="V14865" i="1"/>
  <c r="V14866" i="1"/>
  <c r="V14867" i="1"/>
  <c r="V14868" i="1"/>
  <c r="V14869" i="1"/>
  <c r="V14870" i="1"/>
  <c r="V14871" i="1"/>
  <c r="V14872" i="1"/>
  <c r="V14873" i="1"/>
  <c r="V14874" i="1"/>
  <c r="V14875" i="1"/>
  <c r="V14876" i="1"/>
  <c r="V14877" i="1"/>
  <c r="V14878" i="1"/>
  <c r="V14879" i="1"/>
  <c r="V14880" i="1"/>
  <c r="V14881" i="1"/>
  <c r="V14882" i="1"/>
  <c r="V14883" i="1"/>
  <c r="V14884" i="1"/>
  <c r="V14885" i="1"/>
  <c r="V14886" i="1"/>
  <c r="V14887" i="1"/>
  <c r="V14888" i="1"/>
  <c r="V14889" i="1"/>
  <c r="V14890" i="1"/>
  <c r="V14891" i="1"/>
  <c r="V14892" i="1"/>
  <c r="V14893" i="1"/>
  <c r="V14894" i="1"/>
  <c r="V14895" i="1"/>
  <c r="V14896" i="1"/>
  <c r="V14897" i="1"/>
  <c r="V14898" i="1"/>
  <c r="V14899" i="1"/>
  <c r="V14900" i="1"/>
  <c r="V14901" i="1"/>
  <c r="V14902" i="1"/>
  <c r="V14903" i="1"/>
  <c r="V14904" i="1"/>
  <c r="V14905" i="1"/>
  <c r="V14906" i="1"/>
  <c r="V14907" i="1"/>
  <c r="V14908" i="1"/>
  <c r="V14909" i="1"/>
  <c r="V14910" i="1"/>
  <c r="V14911" i="1"/>
  <c r="V14912" i="1"/>
  <c r="V14913" i="1"/>
  <c r="V14914" i="1"/>
  <c r="V14915" i="1"/>
  <c r="V14916" i="1"/>
  <c r="V14917" i="1"/>
  <c r="V14918" i="1"/>
  <c r="V14919" i="1"/>
  <c r="V14920" i="1"/>
  <c r="V14921" i="1"/>
  <c r="V14922" i="1"/>
  <c r="V14923" i="1"/>
  <c r="V14924" i="1"/>
  <c r="V14925" i="1"/>
  <c r="V14926" i="1"/>
  <c r="V14927" i="1"/>
  <c r="V14928" i="1"/>
  <c r="V14929" i="1"/>
  <c r="V14930" i="1"/>
  <c r="V14931" i="1"/>
  <c r="V14932" i="1"/>
  <c r="V14933" i="1"/>
  <c r="V14934" i="1"/>
  <c r="V14935" i="1"/>
  <c r="V14936" i="1"/>
  <c r="V14937" i="1"/>
  <c r="V14938" i="1"/>
  <c r="V14939" i="1"/>
  <c r="V14940" i="1"/>
  <c r="V14941" i="1"/>
  <c r="V14942" i="1"/>
  <c r="V14943" i="1"/>
  <c r="V14944" i="1"/>
  <c r="V14945" i="1"/>
  <c r="V14946" i="1"/>
  <c r="V14947" i="1"/>
  <c r="V14948" i="1"/>
  <c r="V14949" i="1"/>
  <c r="V14950" i="1"/>
  <c r="V14951" i="1"/>
  <c r="V14952" i="1"/>
  <c r="V14953" i="1"/>
  <c r="V14954" i="1"/>
  <c r="V14955" i="1"/>
  <c r="V14956" i="1"/>
  <c r="V14957" i="1"/>
  <c r="V14958" i="1"/>
  <c r="V14959" i="1"/>
  <c r="V14960" i="1"/>
  <c r="V14961" i="1"/>
  <c r="V14962" i="1"/>
  <c r="V14963" i="1"/>
  <c r="V14964" i="1"/>
  <c r="V14965" i="1"/>
  <c r="V14966" i="1"/>
  <c r="V14967" i="1"/>
  <c r="V14968" i="1"/>
  <c r="V14969" i="1"/>
  <c r="V14970" i="1"/>
  <c r="V14971" i="1"/>
  <c r="V14972" i="1"/>
  <c r="V14973" i="1"/>
  <c r="V14974" i="1"/>
  <c r="V14976" i="1"/>
  <c r="V14977" i="1"/>
  <c r="V14978" i="1"/>
  <c r="V14979" i="1"/>
  <c r="V14980" i="1"/>
  <c r="V14981" i="1"/>
  <c r="V14982" i="1"/>
  <c r="V14983" i="1"/>
  <c r="V14984" i="1"/>
  <c r="V14985" i="1"/>
  <c r="V14986" i="1"/>
  <c r="V14987" i="1"/>
  <c r="V14988" i="1"/>
  <c r="V14989" i="1"/>
  <c r="V14990" i="1"/>
  <c r="V14991" i="1"/>
  <c r="V14992" i="1"/>
  <c r="V14993" i="1"/>
  <c r="V14994" i="1"/>
  <c r="V14995" i="1"/>
  <c r="V14996" i="1"/>
  <c r="V14997" i="1"/>
  <c r="V14998" i="1"/>
  <c r="V14999" i="1"/>
  <c r="V15000" i="1"/>
  <c r="V15001" i="1"/>
  <c r="V15002" i="1"/>
  <c r="V15003" i="1"/>
  <c r="V15004" i="1"/>
  <c r="V15005" i="1"/>
  <c r="V15006" i="1"/>
  <c r="V15007" i="1"/>
  <c r="V15008" i="1"/>
  <c r="V15009" i="1"/>
  <c r="V15010" i="1"/>
  <c r="V15011" i="1"/>
  <c r="V15012" i="1"/>
  <c r="V15013" i="1"/>
  <c r="V15014" i="1"/>
  <c r="V15015" i="1"/>
  <c r="V15016" i="1"/>
  <c r="V15017" i="1"/>
  <c r="V15018" i="1"/>
  <c r="V15019" i="1"/>
  <c r="V15020" i="1"/>
  <c r="V15021" i="1"/>
  <c r="V15022" i="1"/>
  <c r="V15023" i="1"/>
  <c r="V15024" i="1"/>
  <c r="V15025" i="1"/>
  <c r="V15026" i="1"/>
  <c r="V15027" i="1"/>
  <c r="V15028" i="1"/>
  <c r="V15029" i="1"/>
  <c r="V15030" i="1"/>
  <c r="V15031" i="1"/>
  <c r="V15032" i="1"/>
  <c r="V15033" i="1"/>
  <c r="V15034" i="1"/>
  <c r="V15035" i="1"/>
  <c r="V15036" i="1"/>
  <c r="V15037" i="1"/>
  <c r="V15038" i="1"/>
  <c r="V15039" i="1"/>
  <c r="V15040" i="1"/>
  <c r="V15041" i="1"/>
  <c r="V15042" i="1"/>
  <c r="V15043" i="1"/>
  <c r="V15044" i="1"/>
  <c r="V15045" i="1"/>
  <c r="V15046" i="1"/>
  <c r="V15047" i="1"/>
  <c r="V15048" i="1"/>
  <c r="V15049" i="1"/>
  <c r="V15050" i="1"/>
  <c r="V15051" i="1"/>
  <c r="V15052" i="1"/>
  <c r="V15053" i="1"/>
  <c r="V15054" i="1"/>
  <c r="V15055" i="1"/>
  <c r="V15056" i="1"/>
  <c r="V15057" i="1"/>
  <c r="V15058" i="1"/>
  <c r="V15059" i="1"/>
  <c r="V15060" i="1"/>
  <c r="V15061" i="1"/>
  <c r="V15062" i="1"/>
  <c r="V15063" i="1"/>
  <c r="V15064" i="1"/>
  <c r="V15065" i="1"/>
  <c r="V15066" i="1"/>
  <c r="V15067" i="1"/>
  <c r="V15068" i="1"/>
  <c r="V15069" i="1"/>
  <c r="V15070" i="1"/>
  <c r="V15071" i="1"/>
  <c r="V15072" i="1"/>
  <c r="V15073" i="1"/>
  <c r="V15074" i="1"/>
  <c r="V15075" i="1"/>
  <c r="V15076" i="1"/>
  <c r="V15077" i="1"/>
  <c r="V15078" i="1"/>
  <c r="V15079" i="1"/>
  <c r="V15080" i="1"/>
  <c r="V15081" i="1"/>
  <c r="V15082" i="1"/>
  <c r="V15083" i="1"/>
  <c r="V15084" i="1"/>
  <c r="V15085" i="1"/>
  <c r="V15086" i="1"/>
  <c r="V15087" i="1"/>
  <c r="V15088" i="1"/>
  <c r="V15089" i="1"/>
  <c r="V15090" i="1"/>
  <c r="V15091" i="1"/>
  <c r="V15092" i="1"/>
  <c r="V15093" i="1"/>
  <c r="V15094" i="1"/>
  <c r="V15095" i="1"/>
  <c r="V15096" i="1"/>
  <c r="V15097" i="1"/>
  <c r="V15098" i="1"/>
  <c r="V15099" i="1"/>
  <c r="V15100" i="1"/>
  <c r="V15101" i="1"/>
  <c r="V15102" i="1"/>
  <c r="V15103" i="1"/>
  <c r="V15104" i="1"/>
  <c r="V15105" i="1"/>
  <c r="V15106" i="1"/>
  <c r="V15107" i="1"/>
  <c r="V15108" i="1"/>
  <c r="V15109" i="1"/>
  <c r="V15110" i="1"/>
  <c r="V15111" i="1"/>
  <c r="V15112" i="1"/>
  <c r="V15113" i="1"/>
  <c r="V15114" i="1"/>
  <c r="V15115" i="1"/>
  <c r="V15116" i="1"/>
  <c r="V15117" i="1"/>
  <c r="V15118" i="1"/>
  <c r="V15119" i="1"/>
  <c r="V15120" i="1"/>
  <c r="V15121" i="1"/>
  <c r="V15122" i="1"/>
  <c r="V15123" i="1"/>
  <c r="V15124" i="1"/>
  <c r="V15125" i="1"/>
  <c r="V15126" i="1"/>
  <c r="V15127" i="1"/>
  <c r="V15128" i="1"/>
  <c r="V15129" i="1"/>
  <c r="V15130" i="1"/>
  <c r="V15131" i="1"/>
  <c r="V15132" i="1"/>
  <c r="V15133" i="1"/>
  <c r="V15134" i="1"/>
  <c r="V15135" i="1"/>
  <c r="V15136" i="1"/>
  <c r="V15137" i="1"/>
  <c r="V15138" i="1"/>
  <c r="V15139" i="1"/>
  <c r="V15140" i="1"/>
  <c r="V15141" i="1"/>
  <c r="V15142" i="1"/>
  <c r="V15143" i="1"/>
  <c r="V15144" i="1"/>
  <c r="V15145" i="1"/>
  <c r="V15146" i="1"/>
  <c r="V15147" i="1"/>
  <c r="V15148" i="1"/>
  <c r="V15149" i="1"/>
  <c r="V15150" i="1"/>
  <c r="V15151" i="1"/>
  <c r="V15152" i="1"/>
  <c r="V15153" i="1"/>
  <c r="V15154" i="1"/>
  <c r="V15155" i="1"/>
  <c r="V15156" i="1"/>
  <c r="V15157" i="1"/>
  <c r="V15158" i="1"/>
  <c r="V15159" i="1"/>
  <c r="V15160" i="1"/>
  <c r="V15161" i="1"/>
  <c r="V15162" i="1"/>
  <c r="V15163" i="1"/>
  <c r="V15164" i="1"/>
  <c r="V15165" i="1"/>
  <c r="V15166" i="1"/>
  <c r="V15167" i="1"/>
  <c r="V15168" i="1"/>
  <c r="V15169" i="1"/>
  <c r="V15170" i="1"/>
  <c r="V15171" i="1"/>
  <c r="V15172" i="1"/>
  <c r="V15173" i="1"/>
  <c r="V15174" i="1"/>
  <c r="V15175" i="1"/>
  <c r="V15176" i="1"/>
  <c r="V15177" i="1"/>
  <c r="V15178" i="1"/>
  <c r="V15179" i="1"/>
  <c r="V15180" i="1"/>
  <c r="V15181" i="1"/>
  <c r="V15182" i="1"/>
  <c r="V15183" i="1"/>
  <c r="V15184" i="1"/>
  <c r="V15185" i="1"/>
  <c r="V15186" i="1"/>
  <c r="V15187" i="1"/>
  <c r="V15188" i="1"/>
  <c r="V15189" i="1"/>
  <c r="V15190" i="1"/>
  <c r="V15191" i="1"/>
  <c r="V14759" i="1"/>
  <c r="V14543" i="1"/>
  <c r="V14544" i="1"/>
  <c r="V14545" i="1"/>
  <c r="V14546" i="1"/>
  <c r="V14547" i="1"/>
  <c r="V14548" i="1"/>
  <c r="V14549" i="1"/>
  <c r="V14550" i="1"/>
  <c r="V14551" i="1"/>
  <c r="V14552" i="1"/>
  <c r="V14553" i="1"/>
  <c r="V14554" i="1"/>
  <c r="V14555" i="1"/>
  <c r="V14556" i="1"/>
  <c r="V14557" i="1"/>
  <c r="V14558" i="1"/>
  <c r="V14559" i="1"/>
  <c r="V14560" i="1"/>
  <c r="V14561" i="1"/>
  <c r="V14562" i="1"/>
  <c r="V14563" i="1"/>
  <c r="V14564" i="1"/>
  <c r="V14565" i="1"/>
  <c r="V14566" i="1"/>
  <c r="V14567" i="1"/>
  <c r="V14568" i="1"/>
  <c r="V14569" i="1"/>
  <c r="V14570" i="1"/>
  <c r="V14571" i="1"/>
  <c r="V14572" i="1"/>
  <c r="V14573" i="1"/>
  <c r="V14574" i="1"/>
  <c r="V14575" i="1"/>
  <c r="V14576" i="1"/>
  <c r="V14577" i="1"/>
  <c r="V14578" i="1"/>
  <c r="V14579" i="1"/>
  <c r="V14580" i="1"/>
  <c r="V14581" i="1"/>
  <c r="V14582" i="1"/>
  <c r="V14583" i="1"/>
  <c r="V14584" i="1"/>
  <c r="V14585" i="1"/>
  <c r="V14586" i="1"/>
  <c r="V14587" i="1"/>
  <c r="V14588" i="1"/>
  <c r="V14589" i="1"/>
  <c r="V14590" i="1"/>
  <c r="V14591" i="1"/>
  <c r="V14592" i="1"/>
  <c r="V14593" i="1"/>
  <c r="V14594" i="1"/>
  <c r="V14595" i="1"/>
  <c r="V14596" i="1"/>
  <c r="V14597" i="1"/>
  <c r="V14598" i="1"/>
  <c r="V14599" i="1"/>
  <c r="V14600" i="1"/>
  <c r="V14601" i="1"/>
  <c r="V14602" i="1"/>
  <c r="V14603" i="1"/>
  <c r="V14604" i="1"/>
  <c r="V14605" i="1"/>
  <c r="V14606" i="1"/>
  <c r="V14607" i="1"/>
  <c r="V14608" i="1"/>
  <c r="V14609" i="1"/>
  <c r="V14610" i="1"/>
  <c r="V14611" i="1"/>
  <c r="V14612" i="1"/>
  <c r="V14613" i="1"/>
  <c r="V14614" i="1"/>
  <c r="V14615" i="1"/>
  <c r="V14616" i="1"/>
  <c r="V14617" i="1"/>
  <c r="V14618" i="1"/>
  <c r="V14619" i="1"/>
  <c r="V14620" i="1"/>
  <c r="V14621" i="1"/>
  <c r="V14622" i="1"/>
  <c r="V14623" i="1"/>
  <c r="V14624" i="1"/>
  <c r="V14625" i="1"/>
  <c r="V14626" i="1"/>
  <c r="V14627" i="1"/>
  <c r="V14628" i="1"/>
  <c r="V14629" i="1"/>
  <c r="V14630" i="1"/>
  <c r="V14631" i="1"/>
  <c r="V14632" i="1"/>
  <c r="V14633" i="1"/>
  <c r="V14634" i="1"/>
  <c r="V14635" i="1"/>
  <c r="V14636" i="1"/>
  <c r="V14637" i="1"/>
  <c r="V14638" i="1"/>
  <c r="V14639" i="1"/>
  <c r="V14640" i="1"/>
  <c r="V14641" i="1"/>
  <c r="V14642" i="1"/>
  <c r="V14643" i="1"/>
  <c r="V14644" i="1"/>
  <c r="V14645" i="1"/>
  <c r="V14646" i="1"/>
  <c r="V14647" i="1"/>
  <c r="V14648" i="1"/>
  <c r="V14649" i="1"/>
  <c r="V14650" i="1"/>
  <c r="V14651" i="1"/>
  <c r="V14652" i="1"/>
  <c r="V14653" i="1"/>
  <c r="V14654" i="1"/>
  <c r="V14655" i="1"/>
  <c r="V14656" i="1"/>
  <c r="V14657" i="1"/>
  <c r="V14658" i="1"/>
  <c r="V14659" i="1"/>
  <c r="V14660" i="1"/>
  <c r="V14661" i="1"/>
  <c r="V14662" i="1"/>
  <c r="V14663" i="1"/>
  <c r="V14664" i="1"/>
  <c r="V14665" i="1"/>
  <c r="V14666" i="1"/>
  <c r="V14667" i="1"/>
  <c r="V14668" i="1"/>
  <c r="V14669" i="1"/>
  <c r="V14670" i="1"/>
  <c r="V14671" i="1"/>
  <c r="V14672" i="1"/>
  <c r="V14673" i="1"/>
  <c r="V14674" i="1"/>
  <c r="V14675" i="1"/>
  <c r="V14676" i="1"/>
  <c r="V14677" i="1"/>
  <c r="V14678" i="1"/>
  <c r="V14679" i="1"/>
  <c r="V14680" i="1"/>
  <c r="V14681" i="1"/>
  <c r="V14682" i="1"/>
  <c r="V14683" i="1"/>
  <c r="V14684" i="1"/>
  <c r="V14685" i="1"/>
  <c r="V14686" i="1"/>
  <c r="V14687" i="1"/>
  <c r="V14688" i="1"/>
  <c r="V14689" i="1"/>
  <c r="V14690" i="1"/>
  <c r="V14691" i="1"/>
  <c r="V14692" i="1"/>
  <c r="V14693" i="1"/>
  <c r="V14694" i="1"/>
  <c r="V14695" i="1"/>
  <c r="V14696" i="1"/>
  <c r="V14697" i="1"/>
  <c r="V14698" i="1"/>
  <c r="V14699" i="1"/>
  <c r="V14700" i="1"/>
  <c r="V14701" i="1"/>
  <c r="V14702" i="1"/>
  <c r="V14703" i="1"/>
  <c r="V14704" i="1"/>
  <c r="V14705" i="1"/>
  <c r="V14706" i="1"/>
  <c r="V14707" i="1"/>
  <c r="V14708" i="1"/>
  <c r="V14709" i="1"/>
  <c r="V14710" i="1"/>
  <c r="V14711" i="1"/>
  <c r="V14712" i="1"/>
  <c r="V14713" i="1"/>
  <c r="V14714" i="1"/>
  <c r="V14715" i="1"/>
  <c r="V14716" i="1"/>
  <c r="V14717" i="1"/>
  <c r="V14718" i="1"/>
  <c r="V14719" i="1"/>
  <c r="V14720" i="1"/>
  <c r="V14721" i="1"/>
  <c r="V14722" i="1"/>
  <c r="V14723" i="1"/>
  <c r="V14724" i="1"/>
  <c r="V14725" i="1"/>
  <c r="V14726" i="1"/>
  <c r="V14727" i="1"/>
  <c r="V14728" i="1"/>
  <c r="V14729" i="1"/>
  <c r="V14730" i="1"/>
  <c r="V14731" i="1"/>
  <c r="V14732" i="1"/>
  <c r="V14733" i="1"/>
  <c r="V14734" i="1"/>
  <c r="V14735" i="1"/>
  <c r="V14736" i="1"/>
  <c r="V14737" i="1"/>
  <c r="V14738" i="1"/>
  <c r="V14739" i="1"/>
  <c r="V14740" i="1"/>
  <c r="V14741" i="1"/>
  <c r="V14742" i="1"/>
  <c r="V14743" i="1"/>
  <c r="V14744" i="1"/>
  <c r="V14745" i="1"/>
  <c r="V14746" i="1"/>
  <c r="V14747" i="1"/>
  <c r="V14748" i="1"/>
  <c r="V14749" i="1"/>
  <c r="V14750" i="1"/>
  <c r="V14751" i="1"/>
  <c r="V14752" i="1"/>
  <c r="V14753" i="1"/>
  <c r="V14754" i="1"/>
  <c r="V14755" i="1"/>
  <c r="V14756" i="1"/>
  <c r="V14757" i="1"/>
  <c r="V14542" i="1"/>
  <c r="V14326" i="1"/>
  <c r="V14327" i="1"/>
  <c r="V14328" i="1"/>
  <c r="V14329" i="1"/>
  <c r="V14330" i="1"/>
  <c r="V14331" i="1"/>
  <c r="V14332" i="1"/>
  <c r="V14333" i="1"/>
  <c r="V14334" i="1"/>
  <c r="V14335" i="1"/>
  <c r="V14336" i="1"/>
  <c r="V14337" i="1"/>
  <c r="V14338" i="1"/>
  <c r="V14339" i="1"/>
  <c r="V14340" i="1"/>
  <c r="V14341" i="1"/>
  <c r="V14342" i="1"/>
  <c r="V14343" i="1"/>
  <c r="V14344" i="1"/>
  <c r="V14345" i="1"/>
  <c r="V14346" i="1"/>
  <c r="V14347" i="1"/>
  <c r="V14348" i="1"/>
  <c r="V14349" i="1"/>
  <c r="V14350" i="1"/>
  <c r="V14351" i="1"/>
  <c r="V14352" i="1"/>
  <c r="V14353" i="1"/>
  <c r="V14354" i="1"/>
  <c r="V14355" i="1"/>
  <c r="V14356" i="1"/>
  <c r="V14357" i="1"/>
  <c r="V14358" i="1"/>
  <c r="V14359" i="1"/>
  <c r="V14360" i="1"/>
  <c r="V14361" i="1"/>
  <c r="V14362" i="1"/>
  <c r="V14363" i="1"/>
  <c r="V14364" i="1"/>
  <c r="V14365" i="1"/>
  <c r="V14366" i="1"/>
  <c r="V14367" i="1"/>
  <c r="V14368" i="1"/>
  <c r="V14369" i="1"/>
  <c r="V14370" i="1"/>
  <c r="V14371" i="1"/>
  <c r="V14372" i="1"/>
  <c r="V14373" i="1"/>
  <c r="V14374" i="1"/>
  <c r="V14375" i="1"/>
  <c r="V14376" i="1"/>
  <c r="V14377" i="1"/>
  <c r="V14378" i="1"/>
  <c r="V14379" i="1"/>
  <c r="V14380" i="1"/>
  <c r="V14381" i="1"/>
  <c r="V14382" i="1"/>
  <c r="V14383" i="1"/>
  <c r="V14384" i="1"/>
  <c r="V14385" i="1"/>
  <c r="V14386" i="1"/>
  <c r="V14387" i="1"/>
  <c r="V14388" i="1"/>
  <c r="V14389" i="1"/>
  <c r="V14390" i="1"/>
  <c r="V14391" i="1"/>
  <c r="V14392" i="1"/>
  <c r="V14393" i="1"/>
  <c r="V14394" i="1"/>
  <c r="V14395" i="1"/>
  <c r="V14396" i="1"/>
  <c r="V14397" i="1"/>
  <c r="V14398" i="1"/>
  <c r="V14399" i="1"/>
  <c r="V14400" i="1"/>
  <c r="V14401" i="1"/>
  <c r="V14402" i="1"/>
  <c r="V14403" i="1"/>
  <c r="V14404" i="1"/>
  <c r="V14405" i="1"/>
  <c r="V14406" i="1"/>
  <c r="V14407" i="1"/>
  <c r="V14408" i="1"/>
  <c r="V14409" i="1"/>
  <c r="V14410" i="1"/>
  <c r="V14411" i="1"/>
  <c r="V14412" i="1"/>
  <c r="V14413" i="1"/>
  <c r="V14414" i="1"/>
  <c r="V14415" i="1"/>
  <c r="V14416" i="1"/>
  <c r="V14417" i="1"/>
  <c r="V14418" i="1"/>
  <c r="V14419" i="1"/>
  <c r="V14420" i="1"/>
  <c r="V14421" i="1"/>
  <c r="V14422" i="1"/>
  <c r="V14423" i="1"/>
  <c r="V14424" i="1"/>
  <c r="V14425" i="1"/>
  <c r="V14426" i="1"/>
  <c r="V14427" i="1"/>
  <c r="V14428" i="1"/>
  <c r="V14429" i="1"/>
  <c r="V14430" i="1"/>
  <c r="V14431" i="1"/>
  <c r="V14432" i="1"/>
  <c r="V14433" i="1"/>
  <c r="V14434" i="1"/>
  <c r="V14435" i="1"/>
  <c r="V14436" i="1"/>
  <c r="V14437" i="1"/>
  <c r="V14438" i="1"/>
  <c r="V14439" i="1"/>
  <c r="V14440" i="1"/>
  <c r="V14441" i="1"/>
  <c r="V14442" i="1"/>
  <c r="V14443" i="1"/>
  <c r="V14444" i="1"/>
  <c r="V14445" i="1"/>
  <c r="V14446" i="1"/>
  <c r="V14447" i="1"/>
  <c r="V14448" i="1"/>
  <c r="V14449" i="1"/>
  <c r="V14450" i="1"/>
  <c r="V14451" i="1"/>
  <c r="V14452" i="1"/>
  <c r="V14453" i="1"/>
  <c r="V14454" i="1"/>
  <c r="V14455" i="1"/>
  <c r="V14456" i="1"/>
  <c r="V14457" i="1"/>
  <c r="V14458" i="1"/>
  <c r="V14459" i="1"/>
  <c r="V14460" i="1"/>
  <c r="V14461" i="1"/>
  <c r="V14462" i="1"/>
  <c r="V14463" i="1"/>
  <c r="V14464" i="1"/>
  <c r="V14465" i="1"/>
  <c r="V14466" i="1"/>
  <c r="V14467" i="1"/>
  <c r="V14468" i="1"/>
  <c r="V14469" i="1"/>
  <c r="V14470" i="1"/>
  <c r="V14471" i="1"/>
  <c r="V14472" i="1"/>
  <c r="V14473" i="1"/>
  <c r="V14474" i="1"/>
  <c r="V14475" i="1"/>
  <c r="V14476" i="1"/>
  <c r="V14477" i="1"/>
  <c r="V14478" i="1"/>
  <c r="V14479" i="1"/>
  <c r="V14480" i="1"/>
  <c r="V14481" i="1"/>
  <c r="V14482" i="1"/>
  <c r="V14483" i="1"/>
  <c r="V14484" i="1"/>
  <c r="V14485" i="1"/>
  <c r="V14486" i="1"/>
  <c r="V14487" i="1"/>
  <c r="V14488" i="1"/>
  <c r="V14489" i="1"/>
  <c r="V14490" i="1"/>
  <c r="V14491" i="1"/>
  <c r="V14492" i="1"/>
  <c r="V14493" i="1"/>
  <c r="V14494" i="1"/>
  <c r="V14495" i="1"/>
  <c r="V14496" i="1"/>
  <c r="V14497" i="1"/>
  <c r="V14498" i="1"/>
  <c r="V14499" i="1"/>
  <c r="V14500" i="1"/>
  <c r="V14501" i="1"/>
  <c r="V14502" i="1"/>
  <c r="V14503" i="1"/>
  <c r="V14504" i="1"/>
  <c r="V14505" i="1"/>
  <c r="V14506" i="1"/>
  <c r="V14507" i="1"/>
  <c r="V14508" i="1"/>
  <c r="V14509" i="1"/>
  <c r="V14510" i="1"/>
  <c r="V14511" i="1"/>
  <c r="V14512" i="1"/>
  <c r="V14513" i="1"/>
  <c r="V14514" i="1"/>
  <c r="V14515" i="1"/>
  <c r="V14516" i="1"/>
  <c r="V14517" i="1"/>
  <c r="V14518" i="1"/>
  <c r="V14519" i="1"/>
  <c r="V14520" i="1"/>
  <c r="V14521" i="1"/>
  <c r="V14522" i="1"/>
  <c r="V14523" i="1"/>
  <c r="V14524" i="1"/>
  <c r="V14525" i="1"/>
  <c r="V14526" i="1"/>
  <c r="V14527" i="1"/>
  <c r="V14528" i="1"/>
  <c r="V14529" i="1"/>
  <c r="V14530" i="1"/>
  <c r="V14531" i="1"/>
  <c r="V14532" i="1"/>
  <c r="V14533" i="1"/>
  <c r="V14534" i="1"/>
  <c r="V14535" i="1"/>
  <c r="V14536" i="1"/>
  <c r="V14537" i="1"/>
  <c r="V14538" i="1"/>
  <c r="V14539" i="1"/>
  <c r="V14540" i="1"/>
  <c r="V14325" i="1"/>
  <c r="V14109" i="1"/>
  <c r="V14110" i="1"/>
  <c r="V14111" i="1"/>
  <c r="V14112" i="1"/>
  <c r="V14113" i="1"/>
  <c r="V14114" i="1"/>
  <c r="V14115" i="1"/>
  <c r="V14116" i="1"/>
  <c r="V14117" i="1"/>
  <c r="V14118" i="1"/>
  <c r="V14119" i="1"/>
  <c r="V14120" i="1"/>
  <c r="V14121" i="1"/>
  <c r="V14122" i="1"/>
  <c r="V14123" i="1"/>
  <c r="V14124" i="1"/>
  <c r="V14125" i="1"/>
  <c r="V14126" i="1"/>
  <c r="V14127" i="1"/>
  <c r="V14128" i="1"/>
  <c r="V14129" i="1"/>
  <c r="V14130" i="1"/>
  <c r="V14131" i="1"/>
  <c r="V14132" i="1"/>
  <c r="V14133" i="1"/>
  <c r="V14134" i="1"/>
  <c r="V14135" i="1"/>
  <c r="V14136" i="1"/>
  <c r="V14137" i="1"/>
  <c r="V14138" i="1"/>
  <c r="V14139" i="1"/>
  <c r="V14140" i="1"/>
  <c r="V14141" i="1"/>
  <c r="V14142" i="1"/>
  <c r="V14143" i="1"/>
  <c r="V14144" i="1"/>
  <c r="V14145" i="1"/>
  <c r="V14146" i="1"/>
  <c r="V14147" i="1"/>
  <c r="V14148" i="1"/>
  <c r="V14149" i="1"/>
  <c r="V14150" i="1"/>
  <c r="V14151" i="1"/>
  <c r="V14152" i="1"/>
  <c r="V14153" i="1"/>
  <c r="V14154" i="1"/>
  <c r="V14155" i="1"/>
  <c r="V14156" i="1"/>
  <c r="V14157" i="1"/>
  <c r="V14158" i="1"/>
  <c r="V14159" i="1"/>
  <c r="V14160" i="1"/>
  <c r="V14161" i="1"/>
  <c r="V14162" i="1"/>
  <c r="V14163" i="1"/>
  <c r="V14164" i="1"/>
  <c r="V14165" i="1"/>
  <c r="V14166" i="1"/>
  <c r="V14167" i="1"/>
  <c r="V14168" i="1"/>
  <c r="V14169" i="1"/>
  <c r="V14170" i="1"/>
  <c r="V14171" i="1"/>
  <c r="V14172" i="1"/>
  <c r="V14173" i="1"/>
  <c r="V14174" i="1"/>
  <c r="V14175" i="1"/>
  <c r="V14176" i="1"/>
  <c r="V14177" i="1"/>
  <c r="V14178" i="1"/>
  <c r="V14179" i="1"/>
  <c r="V14180" i="1"/>
  <c r="V14181" i="1"/>
  <c r="V14182" i="1"/>
  <c r="V14183" i="1"/>
  <c r="V14184" i="1"/>
  <c r="V14185" i="1"/>
  <c r="V14186" i="1"/>
  <c r="V14187" i="1"/>
  <c r="V14188" i="1"/>
  <c r="V14189" i="1"/>
  <c r="V14190" i="1"/>
  <c r="V14191" i="1"/>
  <c r="V14192" i="1"/>
  <c r="V14193" i="1"/>
  <c r="V14194" i="1"/>
  <c r="V14195" i="1"/>
  <c r="V14196" i="1"/>
  <c r="V14197" i="1"/>
  <c r="V14198" i="1"/>
  <c r="V14199" i="1"/>
  <c r="V14200" i="1"/>
  <c r="V14201" i="1"/>
  <c r="V14202" i="1"/>
  <c r="V14203" i="1"/>
  <c r="V14204" i="1"/>
  <c r="V14205" i="1"/>
  <c r="V14206" i="1"/>
  <c r="V14207" i="1"/>
  <c r="V14208" i="1"/>
  <c r="V14209" i="1"/>
  <c r="V14210" i="1"/>
  <c r="V14211" i="1"/>
  <c r="V14212" i="1"/>
  <c r="V14213" i="1"/>
  <c r="V14214" i="1"/>
  <c r="V14215" i="1"/>
  <c r="V14216" i="1"/>
  <c r="V14217" i="1"/>
  <c r="V14218" i="1"/>
  <c r="V14219" i="1"/>
  <c r="V14220" i="1"/>
  <c r="V14221" i="1"/>
  <c r="V14222" i="1"/>
  <c r="V14223" i="1"/>
  <c r="V14224" i="1"/>
  <c r="V14225" i="1"/>
  <c r="V14226" i="1"/>
  <c r="V14227" i="1"/>
  <c r="V14228" i="1"/>
  <c r="V14229" i="1"/>
  <c r="V14230" i="1"/>
  <c r="V14231" i="1"/>
  <c r="V14232" i="1"/>
  <c r="V14233" i="1"/>
  <c r="V14234" i="1"/>
  <c r="V14235" i="1"/>
  <c r="V14236" i="1"/>
  <c r="V14237" i="1"/>
  <c r="V14238" i="1"/>
  <c r="V14239" i="1"/>
  <c r="V14240" i="1"/>
  <c r="V14241" i="1"/>
  <c r="V14242" i="1"/>
  <c r="V14243" i="1"/>
  <c r="V14244" i="1"/>
  <c r="V14245" i="1"/>
  <c r="V14246" i="1"/>
  <c r="V14247" i="1"/>
  <c r="V14248" i="1"/>
  <c r="V14249" i="1"/>
  <c r="V14250" i="1"/>
  <c r="V14251" i="1"/>
  <c r="V14252" i="1"/>
  <c r="V14253" i="1"/>
  <c r="V14254" i="1"/>
  <c r="V14255" i="1"/>
  <c r="V14256" i="1"/>
  <c r="V14257" i="1"/>
  <c r="V14258" i="1"/>
  <c r="V14259" i="1"/>
  <c r="V14260" i="1"/>
  <c r="V14261" i="1"/>
  <c r="V14262" i="1"/>
  <c r="V14263" i="1"/>
  <c r="V14264" i="1"/>
  <c r="V14265" i="1"/>
  <c r="V14266" i="1"/>
  <c r="V14267" i="1"/>
  <c r="V14268" i="1"/>
  <c r="V14269" i="1"/>
  <c r="V14270" i="1"/>
  <c r="V14271" i="1"/>
  <c r="V14272" i="1"/>
  <c r="V14273" i="1"/>
  <c r="V14274" i="1"/>
  <c r="V14275" i="1"/>
  <c r="V14276" i="1"/>
  <c r="V14277" i="1"/>
  <c r="V14278" i="1"/>
  <c r="V14279" i="1"/>
  <c r="V14280" i="1"/>
  <c r="V14281" i="1"/>
  <c r="V14282" i="1"/>
  <c r="V14283" i="1"/>
  <c r="V14284" i="1"/>
  <c r="V14285" i="1"/>
  <c r="V14286" i="1"/>
  <c r="V14287" i="1"/>
  <c r="V14288" i="1"/>
  <c r="V14289" i="1"/>
  <c r="V14290" i="1"/>
  <c r="V14291" i="1"/>
  <c r="V14292" i="1"/>
  <c r="V14293" i="1"/>
  <c r="V14294" i="1"/>
  <c r="V14295" i="1"/>
  <c r="V14296" i="1"/>
  <c r="V14297" i="1"/>
  <c r="V14298" i="1"/>
  <c r="V14299" i="1"/>
  <c r="V14300" i="1"/>
  <c r="V14301" i="1"/>
  <c r="V14302" i="1"/>
  <c r="V14303" i="1"/>
  <c r="V14304" i="1"/>
  <c r="V14305" i="1"/>
  <c r="V14306" i="1"/>
  <c r="V14307" i="1"/>
  <c r="V14308" i="1"/>
  <c r="V14309" i="1"/>
  <c r="V14310" i="1"/>
  <c r="V14311" i="1"/>
  <c r="V14312" i="1"/>
  <c r="V14313" i="1"/>
  <c r="V14314" i="1"/>
  <c r="V14315" i="1"/>
  <c r="V14316" i="1"/>
  <c r="V14317" i="1"/>
  <c r="V14318" i="1"/>
  <c r="V14319" i="1"/>
  <c r="V14320" i="1"/>
  <c r="V14321" i="1"/>
  <c r="V14322" i="1"/>
  <c r="V14323" i="1"/>
  <c r="V14108" i="1"/>
  <c r="V13892" i="1"/>
  <c r="V13893" i="1"/>
  <c r="V13894" i="1"/>
  <c r="V13895" i="1"/>
  <c r="V13896" i="1"/>
  <c r="V13897" i="1"/>
  <c r="V13898" i="1"/>
  <c r="V13899" i="1"/>
  <c r="V13900" i="1"/>
  <c r="V13901" i="1"/>
  <c r="V13902" i="1"/>
  <c r="V13903" i="1"/>
  <c r="V13904" i="1"/>
  <c r="V13905" i="1"/>
  <c r="V13906" i="1"/>
  <c r="V13907" i="1"/>
  <c r="V13908" i="1"/>
  <c r="V13909" i="1"/>
  <c r="V13910" i="1"/>
  <c r="V13911" i="1"/>
  <c r="V13912" i="1"/>
  <c r="V13913" i="1"/>
  <c r="V13914" i="1"/>
  <c r="V13915" i="1"/>
  <c r="V13916" i="1"/>
  <c r="V13917" i="1"/>
  <c r="V13918" i="1"/>
  <c r="V13919" i="1"/>
  <c r="V13920" i="1"/>
  <c r="V13921" i="1"/>
  <c r="V13922" i="1"/>
  <c r="V13923" i="1"/>
  <c r="V13924" i="1"/>
  <c r="V13925" i="1"/>
  <c r="V13926" i="1"/>
  <c r="V13927" i="1"/>
  <c r="V13928" i="1"/>
  <c r="V13929" i="1"/>
  <c r="V13930" i="1"/>
  <c r="V13931" i="1"/>
  <c r="V13932" i="1"/>
  <c r="V13933" i="1"/>
  <c r="V13934" i="1"/>
  <c r="V13935" i="1"/>
  <c r="V13936" i="1"/>
  <c r="V13937" i="1"/>
  <c r="V13938" i="1"/>
  <c r="V13939" i="1"/>
  <c r="V13940" i="1"/>
  <c r="V13941" i="1"/>
  <c r="V13942" i="1"/>
  <c r="V13943" i="1"/>
  <c r="V13944" i="1"/>
  <c r="V13945" i="1"/>
  <c r="V13946" i="1"/>
  <c r="V13947" i="1"/>
  <c r="V13948" i="1"/>
  <c r="V13949" i="1"/>
  <c r="V13950" i="1"/>
  <c r="V13951" i="1"/>
  <c r="V13952" i="1"/>
  <c r="V13953" i="1"/>
  <c r="V13954" i="1"/>
  <c r="V13955" i="1"/>
  <c r="V13956" i="1"/>
  <c r="V13957" i="1"/>
  <c r="V13958" i="1"/>
  <c r="V13959" i="1"/>
  <c r="V13960" i="1"/>
  <c r="V13961" i="1"/>
  <c r="V13962" i="1"/>
  <c r="V13963" i="1"/>
  <c r="V13964" i="1"/>
  <c r="V13965" i="1"/>
  <c r="V13966" i="1"/>
  <c r="V13967" i="1"/>
  <c r="V13968" i="1"/>
  <c r="V13969" i="1"/>
  <c r="V13970" i="1"/>
  <c r="V13971" i="1"/>
  <c r="V13972" i="1"/>
  <c r="V13973" i="1"/>
  <c r="V13974" i="1"/>
  <c r="V13975" i="1"/>
  <c r="V13976" i="1"/>
  <c r="V13977" i="1"/>
  <c r="V13978" i="1"/>
  <c r="V13979" i="1"/>
  <c r="V13980" i="1"/>
  <c r="V13981" i="1"/>
  <c r="V13982" i="1"/>
  <c r="V13983" i="1"/>
  <c r="V13984" i="1"/>
  <c r="V13985" i="1"/>
  <c r="V13986" i="1"/>
  <c r="V13987" i="1"/>
  <c r="V13988" i="1"/>
  <c r="V13989" i="1"/>
  <c r="V13990" i="1"/>
  <c r="V13991" i="1"/>
  <c r="V13992" i="1"/>
  <c r="V13993" i="1"/>
  <c r="V13994" i="1"/>
  <c r="V13995" i="1"/>
  <c r="V13996" i="1"/>
  <c r="V13997" i="1"/>
  <c r="V13998" i="1"/>
  <c r="V13999" i="1"/>
  <c r="V14000" i="1"/>
  <c r="V14001" i="1"/>
  <c r="V14002" i="1"/>
  <c r="V14003" i="1"/>
  <c r="V14004" i="1"/>
  <c r="V14005" i="1"/>
  <c r="V14006" i="1"/>
  <c r="V14007" i="1"/>
  <c r="V14008" i="1"/>
  <c r="V14009" i="1"/>
  <c r="V14010" i="1"/>
  <c r="V14011" i="1"/>
  <c r="V14012" i="1"/>
  <c r="V14013" i="1"/>
  <c r="V14014" i="1"/>
  <c r="V14015" i="1"/>
  <c r="V14016" i="1"/>
  <c r="V14017" i="1"/>
  <c r="V14018" i="1"/>
  <c r="V14019" i="1"/>
  <c r="V14020" i="1"/>
  <c r="V14021" i="1"/>
  <c r="V14022" i="1"/>
  <c r="V14023" i="1"/>
  <c r="V14024" i="1"/>
  <c r="V14025" i="1"/>
  <c r="V14026" i="1"/>
  <c r="V14027" i="1"/>
  <c r="V14028" i="1"/>
  <c r="V14029" i="1"/>
  <c r="V14030" i="1"/>
  <c r="V14031" i="1"/>
  <c r="V14032" i="1"/>
  <c r="V14033" i="1"/>
  <c r="V14034" i="1"/>
  <c r="V14035" i="1"/>
  <c r="V14036" i="1"/>
  <c r="V14037" i="1"/>
  <c r="V14038" i="1"/>
  <c r="V14039" i="1"/>
  <c r="V14040" i="1"/>
  <c r="V14041" i="1"/>
  <c r="V14042" i="1"/>
  <c r="V14043" i="1"/>
  <c r="V14044" i="1"/>
  <c r="V14045" i="1"/>
  <c r="V14046" i="1"/>
  <c r="V14047" i="1"/>
  <c r="V14048" i="1"/>
  <c r="V14049" i="1"/>
  <c r="V14050" i="1"/>
  <c r="V14051" i="1"/>
  <c r="V14052" i="1"/>
  <c r="V14053" i="1"/>
  <c r="V14054" i="1"/>
  <c r="V14055" i="1"/>
  <c r="V14056" i="1"/>
  <c r="V14057" i="1"/>
  <c r="V14058" i="1"/>
  <c r="V14059" i="1"/>
  <c r="V14060" i="1"/>
  <c r="V14061" i="1"/>
  <c r="V14062" i="1"/>
  <c r="V14063" i="1"/>
  <c r="V14064" i="1"/>
  <c r="V14065" i="1"/>
  <c r="V14066" i="1"/>
  <c r="V14067" i="1"/>
  <c r="V14068" i="1"/>
  <c r="V14069" i="1"/>
  <c r="V14070" i="1"/>
  <c r="V14071" i="1"/>
  <c r="V14072" i="1"/>
  <c r="V14073" i="1"/>
  <c r="V14074" i="1"/>
  <c r="V14075" i="1"/>
  <c r="V14076" i="1"/>
  <c r="V14077" i="1"/>
  <c r="V14078" i="1"/>
  <c r="V14079" i="1"/>
  <c r="V14080" i="1"/>
  <c r="V14081" i="1"/>
  <c r="V14082" i="1"/>
  <c r="V14083" i="1"/>
  <c r="V14084" i="1"/>
  <c r="V14085" i="1"/>
  <c r="V14086" i="1"/>
  <c r="V14087" i="1"/>
  <c r="V14088" i="1"/>
  <c r="V14089" i="1"/>
  <c r="V14090" i="1"/>
  <c r="V14091" i="1"/>
  <c r="V14092" i="1"/>
  <c r="V14093" i="1"/>
  <c r="V14094" i="1"/>
  <c r="V14095" i="1"/>
  <c r="V14096" i="1"/>
  <c r="V14097" i="1"/>
  <c r="V14098" i="1"/>
  <c r="V14099" i="1"/>
  <c r="V14100" i="1"/>
  <c r="V14101" i="1"/>
  <c r="V14102" i="1"/>
  <c r="V14103" i="1"/>
  <c r="V14104" i="1"/>
  <c r="V14105" i="1"/>
  <c r="V14106" i="1"/>
  <c r="V13891" i="1"/>
  <c r="V13676" i="1"/>
  <c r="V13677" i="1"/>
  <c r="V13678" i="1"/>
  <c r="V13679" i="1"/>
  <c r="V13680" i="1"/>
  <c r="V13681" i="1"/>
  <c r="V13682" i="1"/>
  <c r="V13683" i="1"/>
  <c r="V13684" i="1"/>
  <c r="V13685" i="1"/>
  <c r="V13686" i="1"/>
  <c r="V13687" i="1"/>
  <c r="V13688" i="1"/>
  <c r="V13689" i="1"/>
  <c r="V13690" i="1"/>
  <c r="V13691" i="1"/>
  <c r="V13692" i="1"/>
  <c r="V13693" i="1"/>
  <c r="V13694" i="1"/>
  <c r="V13695" i="1"/>
  <c r="V13696" i="1"/>
  <c r="V13697" i="1"/>
  <c r="V13698" i="1"/>
  <c r="V13699" i="1"/>
  <c r="V13700" i="1"/>
  <c r="V13701" i="1"/>
  <c r="V13702" i="1"/>
  <c r="V13703" i="1"/>
  <c r="V13704" i="1"/>
  <c r="V13705" i="1"/>
  <c r="V13706" i="1"/>
  <c r="V13707" i="1"/>
  <c r="V13708" i="1"/>
  <c r="V13709" i="1"/>
  <c r="V13710" i="1"/>
  <c r="V13711" i="1"/>
  <c r="V13712" i="1"/>
  <c r="V13713" i="1"/>
  <c r="V13714" i="1"/>
  <c r="V13715" i="1"/>
  <c r="V13716" i="1"/>
  <c r="V13717" i="1"/>
  <c r="V13718" i="1"/>
  <c r="V13719" i="1"/>
  <c r="V13720" i="1"/>
  <c r="V13721" i="1"/>
  <c r="V13722" i="1"/>
  <c r="V13723" i="1"/>
  <c r="V13724" i="1"/>
  <c r="V13725" i="1"/>
  <c r="V13726" i="1"/>
  <c r="V13727" i="1"/>
  <c r="V13728" i="1"/>
  <c r="V13729" i="1"/>
  <c r="V13730" i="1"/>
  <c r="V13731" i="1"/>
  <c r="V13732" i="1"/>
  <c r="V13733" i="1"/>
  <c r="V13734" i="1"/>
  <c r="V13735" i="1"/>
  <c r="V13736" i="1"/>
  <c r="V13737" i="1"/>
  <c r="V13738" i="1"/>
  <c r="V13739" i="1"/>
  <c r="V13740" i="1"/>
  <c r="V13741" i="1"/>
  <c r="V13742" i="1"/>
  <c r="V13743" i="1"/>
  <c r="V13744" i="1"/>
  <c r="V13745" i="1"/>
  <c r="V13746" i="1"/>
  <c r="V13747" i="1"/>
  <c r="V13748" i="1"/>
  <c r="V13749" i="1"/>
  <c r="V13750" i="1"/>
  <c r="V13751" i="1"/>
  <c r="V13752" i="1"/>
  <c r="V13753" i="1"/>
  <c r="V13754" i="1"/>
  <c r="V13755" i="1"/>
  <c r="V13756" i="1"/>
  <c r="V13757" i="1"/>
  <c r="V13758" i="1"/>
  <c r="V13759" i="1"/>
  <c r="V13760" i="1"/>
  <c r="V13761" i="1"/>
  <c r="V13762" i="1"/>
  <c r="V13763" i="1"/>
  <c r="V13764" i="1"/>
  <c r="V13765" i="1"/>
  <c r="V13766" i="1"/>
  <c r="V13767" i="1"/>
  <c r="V13768" i="1"/>
  <c r="V13769" i="1"/>
  <c r="V13770" i="1"/>
  <c r="V13771" i="1"/>
  <c r="V13772" i="1"/>
  <c r="V13773" i="1"/>
  <c r="V13774" i="1"/>
  <c r="V13775" i="1"/>
  <c r="V13776" i="1"/>
  <c r="V13777" i="1"/>
  <c r="V13778" i="1"/>
  <c r="V13779" i="1"/>
  <c r="V13780" i="1"/>
  <c r="V13781" i="1"/>
  <c r="V13782" i="1"/>
  <c r="V13783" i="1"/>
  <c r="V13784" i="1"/>
  <c r="V13785" i="1"/>
  <c r="V13786" i="1"/>
  <c r="V13787" i="1"/>
  <c r="V13788" i="1"/>
  <c r="V13789" i="1"/>
  <c r="V13790" i="1"/>
  <c r="V13791" i="1"/>
  <c r="V13792" i="1"/>
  <c r="V13793" i="1"/>
  <c r="V13794" i="1"/>
  <c r="V13795" i="1"/>
  <c r="V13796" i="1"/>
  <c r="V13797" i="1"/>
  <c r="V13798" i="1"/>
  <c r="V13799" i="1"/>
  <c r="V13800" i="1"/>
  <c r="V13801" i="1"/>
  <c r="V13802" i="1"/>
  <c r="V13803" i="1"/>
  <c r="V13804" i="1"/>
  <c r="V13805" i="1"/>
  <c r="V13806" i="1"/>
  <c r="V13807" i="1"/>
  <c r="V13808" i="1"/>
  <c r="V13809" i="1"/>
  <c r="V13810" i="1"/>
  <c r="V13811" i="1"/>
  <c r="V13812" i="1"/>
  <c r="V13813" i="1"/>
  <c r="V13814" i="1"/>
  <c r="V13815" i="1"/>
  <c r="V13816" i="1"/>
  <c r="V13817" i="1"/>
  <c r="V13818" i="1"/>
  <c r="V13819" i="1"/>
  <c r="V13820" i="1"/>
  <c r="V13821" i="1"/>
  <c r="V13822" i="1"/>
  <c r="V13823" i="1"/>
  <c r="V13824" i="1"/>
  <c r="V13825" i="1"/>
  <c r="V13826" i="1"/>
  <c r="V13827" i="1"/>
  <c r="V13828" i="1"/>
  <c r="V13829" i="1"/>
  <c r="V13830" i="1"/>
  <c r="V13831" i="1"/>
  <c r="V13832" i="1"/>
  <c r="V13833" i="1"/>
  <c r="V13834" i="1"/>
  <c r="V13835" i="1"/>
  <c r="V13836" i="1"/>
  <c r="V13837" i="1"/>
  <c r="V13838" i="1"/>
  <c r="V13839" i="1"/>
  <c r="V13840" i="1"/>
  <c r="V13841" i="1"/>
  <c r="V13842" i="1"/>
  <c r="V13843" i="1"/>
  <c r="V13844" i="1"/>
  <c r="V13845" i="1"/>
  <c r="V13846" i="1"/>
  <c r="V13847" i="1"/>
  <c r="V13848" i="1"/>
  <c r="V13849" i="1"/>
  <c r="V13850" i="1"/>
  <c r="V13851" i="1"/>
  <c r="V13852" i="1"/>
  <c r="V13853" i="1"/>
  <c r="V13854" i="1"/>
  <c r="V13855" i="1"/>
  <c r="V13856" i="1"/>
  <c r="V13857" i="1"/>
  <c r="V13858" i="1"/>
  <c r="V13859" i="1"/>
  <c r="V13860" i="1"/>
  <c r="V13861" i="1"/>
  <c r="V13862" i="1"/>
  <c r="V13863" i="1"/>
  <c r="V13864" i="1"/>
  <c r="V13865" i="1"/>
  <c r="V13866" i="1"/>
  <c r="V13867" i="1"/>
  <c r="V13868" i="1"/>
  <c r="V13869" i="1"/>
  <c r="V13870" i="1"/>
  <c r="V13871" i="1"/>
  <c r="V13872" i="1"/>
  <c r="V13873" i="1"/>
  <c r="V13874" i="1"/>
  <c r="V13875" i="1"/>
  <c r="V13876" i="1"/>
  <c r="V13877" i="1"/>
  <c r="V13878" i="1"/>
  <c r="V13879" i="1"/>
  <c r="V13880" i="1"/>
  <c r="V13881" i="1"/>
  <c r="V13882" i="1"/>
  <c r="V13883" i="1"/>
  <c r="V13884" i="1"/>
  <c r="V13885" i="1"/>
  <c r="V13886" i="1"/>
  <c r="V13887" i="1"/>
  <c r="V13888" i="1"/>
  <c r="V13889" i="1"/>
  <c r="V13675" i="1"/>
  <c r="V13674" i="1"/>
  <c r="V13458" i="1"/>
  <c r="V13459" i="1"/>
  <c r="V13460" i="1"/>
  <c r="V13461" i="1"/>
  <c r="V13462" i="1"/>
  <c r="V13463" i="1"/>
  <c r="V13464" i="1"/>
  <c r="V13465" i="1"/>
  <c r="V13466" i="1"/>
  <c r="V13467" i="1"/>
  <c r="V13468" i="1"/>
  <c r="V13469" i="1"/>
  <c r="V13470" i="1"/>
  <c r="V13471" i="1"/>
  <c r="V13472" i="1"/>
  <c r="V13473" i="1"/>
  <c r="V13474" i="1"/>
  <c r="V13475" i="1"/>
  <c r="V13476" i="1"/>
  <c r="V13477" i="1"/>
  <c r="V13478" i="1"/>
  <c r="V13479" i="1"/>
  <c r="V13480" i="1"/>
  <c r="V13481" i="1"/>
  <c r="V13482" i="1"/>
  <c r="V13483" i="1"/>
  <c r="V13484" i="1"/>
  <c r="V13485" i="1"/>
  <c r="V13486" i="1"/>
  <c r="V13487" i="1"/>
  <c r="V13488" i="1"/>
  <c r="V13489" i="1"/>
  <c r="V13490" i="1"/>
  <c r="V13491" i="1"/>
  <c r="V13492" i="1"/>
  <c r="V13493" i="1"/>
  <c r="V13494" i="1"/>
  <c r="V13495" i="1"/>
  <c r="V13496" i="1"/>
  <c r="V13497" i="1"/>
  <c r="V13498" i="1"/>
  <c r="V13499" i="1"/>
  <c r="V13500" i="1"/>
  <c r="V13501" i="1"/>
  <c r="V13502" i="1"/>
  <c r="V13503" i="1"/>
  <c r="V13504" i="1"/>
  <c r="V13505" i="1"/>
  <c r="V13506" i="1"/>
  <c r="V13507" i="1"/>
  <c r="V13508" i="1"/>
  <c r="V13509" i="1"/>
  <c r="V13510" i="1"/>
  <c r="V13511" i="1"/>
  <c r="V13512" i="1"/>
  <c r="V13513" i="1"/>
  <c r="V13514" i="1"/>
  <c r="V13515" i="1"/>
  <c r="V13516" i="1"/>
  <c r="V13517" i="1"/>
  <c r="V13518" i="1"/>
  <c r="V13519" i="1"/>
  <c r="V13520" i="1"/>
  <c r="V13521" i="1"/>
  <c r="V13522" i="1"/>
  <c r="V13523" i="1"/>
  <c r="V13524" i="1"/>
  <c r="V13525" i="1"/>
  <c r="V13526" i="1"/>
  <c r="V13527" i="1"/>
  <c r="V13528" i="1"/>
  <c r="V13529" i="1"/>
  <c r="V13530" i="1"/>
  <c r="V13531" i="1"/>
  <c r="V13532" i="1"/>
  <c r="V13533" i="1"/>
  <c r="V13534" i="1"/>
  <c r="V13535" i="1"/>
  <c r="V13536" i="1"/>
  <c r="V13537" i="1"/>
  <c r="V13538" i="1"/>
  <c r="V13539" i="1"/>
  <c r="V13540" i="1"/>
  <c r="V13541" i="1"/>
  <c r="V13542" i="1"/>
  <c r="V13543" i="1"/>
  <c r="V13544" i="1"/>
  <c r="V13545" i="1"/>
  <c r="V13546" i="1"/>
  <c r="V13547" i="1"/>
  <c r="V13548" i="1"/>
  <c r="V13549" i="1"/>
  <c r="V13550" i="1"/>
  <c r="V13551" i="1"/>
  <c r="V13552" i="1"/>
  <c r="V13553" i="1"/>
  <c r="V13554" i="1"/>
  <c r="V13555" i="1"/>
  <c r="V13556" i="1"/>
  <c r="V13557" i="1"/>
  <c r="V13558" i="1"/>
  <c r="V13559" i="1"/>
  <c r="V13560" i="1"/>
  <c r="V13561" i="1"/>
  <c r="V13562" i="1"/>
  <c r="V13563" i="1"/>
  <c r="V13564" i="1"/>
  <c r="V13565" i="1"/>
  <c r="V13566" i="1"/>
  <c r="V13567" i="1"/>
  <c r="V13568" i="1"/>
  <c r="V13569" i="1"/>
  <c r="V13570" i="1"/>
  <c r="V13571" i="1"/>
  <c r="V13572" i="1"/>
  <c r="V13573" i="1"/>
  <c r="V13574" i="1"/>
  <c r="V13575" i="1"/>
  <c r="V13576" i="1"/>
  <c r="V13577" i="1"/>
  <c r="V13578" i="1"/>
  <c r="V13579" i="1"/>
  <c r="V13580" i="1"/>
  <c r="V13581" i="1"/>
  <c r="V13582" i="1"/>
  <c r="V13583" i="1"/>
  <c r="V13584" i="1"/>
  <c r="V13585" i="1"/>
  <c r="V13586" i="1"/>
  <c r="V13587" i="1"/>
  <c r="V13588" i="1"/>
  <c r="V13589" i="1"/>
  <c r="V13590" i="1"/>
  <c r="V13591" i="1"/>
  <c r="V13592" i="1"/>
  <c r="V13593" i="1"/>
  <c r="V13594" i="1"/>
  <c r="V13595" i="1"/>
  <c r="V13596" i="1"/>
  <c r="V13597" i="1"/>
  <c r="V13598" i="1"/>
  <c r="V13599" i="1"/>
  <c r="V13600" i="1"/>
  <c r="V13601" i="1"/>
  <c r="V13602" i="1"/>
  <c r="V13603" i="1"/>
  <c r="V13604" i="1"/>
  <c r="V13605" i="1"/>
  <c r="V13606" i="1"/>
  <c r="V13607" i="1"/>
  <c r="V13608" i="1"/>
  <c r="V13609" i="1"/>
  <c r="V13610" i="1"/>
  <c r="V13611" i="1"/>
  <c r="V13612" i="1"/>
  <c r="V13613" i="1"/>
  <c r="V13614" i="1"/>
  <c r="V13615" i="1"/>
  <c r="V13616" i="1"/>
  <c r="V13617" i="1"/>
  <c r="V13618" i="1"/>
  <c r="V13619" i="1"/>
  <c r="V13620" i="1"/>
  <c r="V13621" i="1"/>
  <c r="V13622" i="1"/>
  <c r="V13623" i="1"/>
  <c r="V13624" i="1"/>
  <c r="V13625" i="1"/>
  <c r="V13626" i="1"/>
  <c r="V13627" i="1"/>
  <c r="V13628" i="1"/>
  <c r="V13629" i="1"/>
  <c r="V13630" i="1"/>
  <c r="V13631" i="1"/>
  <c r="V13632" i="1"/>
  <c r="V13633" i="1"/>
  <c r="V13634" i="1"/>
  <c r="V13635" i="1"/>
  <c r="V13636" i="1"/>
  <c r="V13637" i="1"/>
  <c r="V13638" i="1"/>
  <c r="V13639" i="1"/>
  <c r="V13640" i="1"/>
  <c r="V13641" i="1"/>
  <c r="V13642" i="1"/>
  <c r="V13643" i="1"/>
  <c r="V13644" i="1"/>
  <c r="V13645" i="1"/>
  <c r="V13646" i="1"/>
  <c r="V13647" i="1"/>
  <c r="V13648" i="1"/>
  <c r="V13649" i="1"/>
  <c r="V13650" i="1"/>
  <c r="V13651" i="1"/>
  <c r="V13652" i="1"/>
  <c r="V13653" i="1"/>
  <c r="V13654" i="1"/>
  <c r="V13655" i="1"/>
  <c r="V13656" i="1"/>
  <c r="V13657" i="1"/>
  <c r="V13658" i="1"/>
  <c r="V13659" i="1"/>
  <c r="V13660" i="1"/>
  <c r="V13661" i="1"/>
  <c r="V13662" i="1"/>
  <c r="V13663" i="1"/>
  <c r="V13664" i="1"/>
  <c r="V13665" i="1"/>
  <c r="V13666" i="1"/>
  <c r="V13667" i="1"/>
  <c r="V13668" i="1"/>
  <c r="V13669" i="1"/>
  <c r="V13670" i="1"/>
  <c r="V13671" i="1"/>
  <c r="V13672" i="1"/>
  <c r="V13457" i="1"/>
  <c r="V13241" i="1"/>
  <c r="V13242" i="1"/>
  <c r="V13243" i="1"/>
  <c r="V13244" i="1"/>
  <c r="V13245" i="1"/>
  <c r="V13246" i="1"/>
  <c r="V13247" i="1"/>
  <c r="V13248" i="1"/>
  <c r="V13249" i="1"/>
  <c r="V13250" i="1"/>
  <c r="V13251" i="1"/>
  <c r="V13252" i="1"/>
  <c r="V13253" i="1"/>
  <c r="V13254" i="1"/>
  <c r="V13255" i="1"/>
  <c r="V13256" i="1"/>
  <c r="V13257" i="1"/>
  <c r="V13258" i="1"/>
  <c r="V13259" i="1"/>
  <c r="V13260" i="1"/>
  <c r="V13261" i="1"/>
  <c r="V13262" i="1"/>
  <c r="V13263" i="1"/>
  <c r="V13264" i="1"/>
  <c r="V13265" i="1"/>
  <c r="V13266" i="1"/>
  <c r="V13267" i="1"/>
  <c r="V13268" i="1"/>
  <c r="V13269" i="1"/>
  <c r="V13270" i="1"/>
  <c r="V13271" i="1"/>
  <c r="V13272" i="1"/>
  <c r="V13273" i="1"/>
  <c r="V13274" i="1"/>
  <c r="V13275" i="1"/>
  <c r="V13276" i="1"/>
  <c r="V13277" i="1"/>
  <c r="V13278" i="1"/>
  <c r="V13279" i="1"/>
  <c r="V13280" i="1"/>
  <c r="V13281" i="1"/>
  <c r="V13282" i="1"/>
  <c r="V13283" i="1"/>
  <c r="V13284" i="1"/>
  <c r="V13285" i="1"/>
  <c r="V13286" i="1"/>
  <c r="V13287" i="1"/>
  <c r="V13288" i="1"/>
  <c r="V13289" i="1"/>
  <c r="V13290" i="1"/>
  <c r="V13291" i="1"/>
  <c r="V13292" i="1"/>
  <c r="V13293" i="1"/>
  <c r="V13294" i="1"/>
  <c r="V13295" i="1"/>
  <c r="V13296" i="1"/>
  <c r="V13297" i="1"/>
  <c r="V13298" i="1"/>
  <c r="V13299" i="1"/>
  <c r="V13300" i="1"/>
  <c r="V13301" i="1"/>
  <c r="V13302" i="1"/>
  <c r="V13303" i="1"/>
  <c r="V13304" i="1"/>
  <c r="V13305" i="1"/>
  <c r="V13306" i="1"/>
  <c r="V13307" i="1"/>
  <c r="V13308" i="1"/>
  <c r="V13309" i="1"/>
  <c r="V13310" i="1"/>
  <c r="V13311" i="1"/>
  <c r="V13312" i="1"/>
  <c r="V13313" i="1"/>
  <c r="V13314" i="1"/>
  <c r="V13315" i="1"/>
  <c r="V13316" i="1"/>
  <c r="V13317" i="1"/>
  <c r="V13318" i="1"/>
  <c r="V13319" i="1"/>
  <c r="V13320" i="1"/>
  <c r="V13321" i="1"/>
  <c r="V13322" i="1"/>
  <c r="V13323" i="1"/>
  <c r="V13324" i="1"/>
  <c r="V13325" i="1"/>
  <c r="V13326" i="1"/>
  <c r="V13327" i="1"/>
  <c r="V13328" i="1"/>
  <c r="V13329" i="1"/>
  <c r="V13330" i="1"/>
  <c r="V13331" i="1"/>
  <c r="V13332" i="1"/>
  <c r="V13333" i="1"/>
  <c r="V13334" i="1"/>
  <c r="V13335" i="1"/>
  <c r="V13336" i="1"/>
  <c r="V13337" i="1"/>
  <c r="V13338" i="1"/>
  <c r="V13339" i="1"/>
  <c r="V13340" i="1"/>
  <c r="V13341" i="1"/>
  <c r="V13342" i="1"/>
  <c r="V13343" i="1"/>
  <c r="V13344" i="1"/>
  <c r="V13345" i="1"/>
  <c r="V13346" i="1"/>
  <c r="V13347" i="1"/>
  <c r="V13348" i="1"/>
  <c r="V13349" i="1"/>
  <c r="V13350" i="1"/>
  <c r="V13351" i="1"/>
  <c r="V13352" i="1"/>
  <c r="V13353" i="1"/>
  <c r="V13354" i="1"/>
  <c r="V13355" i="1"/>
  <c r="V13356" i="1"/>
  <c r="V13357" i="1"/>
  <c r="V13358" i="1"/>
  <c r="V13359" i="1"/>
  <c r="V13360" i="1"/>
  <c r="V13361" i="1"/>
  <c r="V13362" i="1"/>
  <c r="V13363" i="1"/>
  <c r="V13364" i="1"/>
  <c r="V13365" i="1"/>
  <c r="V13366" i="1"/>
  <c r="V13367" i="1"/>
  <c r="V13368" i="1"/>
  <c r="V13369" i="1"/>
  <c r="V13370" i="1"/>
  <c r="V13371" i="1"/>
  <c r="V13372" i="1"/>
  <c r="V13373" i="1"/>
  <c r="V13374" i="1"/>
  <c r="V13375" i="1"/>
  <c r="V13376" i="1"/>
  <c r="V13377" i="1"/>
  <c r="V13378" i="1"/>
  <c r="V13379" i="1"/>
  <c r="V13380" i="1"/>
  <c r="V13381" i="1"/>
  <c r="V13382" i="1"/>
  <c r="V13383" i="1"/>
  <c r="V13384" i="1"/>
  <c r="V13385" i="1"/>
  <c r="V13386" i="1"/>
  <c r="V13387" i="1"/>
  <c r="V13388" i="1"/>
  <c r="V13389" i="1"/>
  <c r="V13390" i="1"/>
  <c r="V13391" i="1"/>
  <c r="V13392" i="1"/>
  <c r="V13393" i="1"/>
  <c r="V13394" i="1"/>
  <c r="V13395" i="1"/>
  <c r="V13396" i="1"/>
  <c r="V13397" i="1"/>
  <c r="V13398" i="1"/>
  <c r="V13399" i="1"/>
  <c r="V13400" i="1"/>
  <c r="V13401" i="1"/>
  <c r="V13402" i="1"/>
  <c r="V13403" i="1"/>
  <c r="V13404" i="1"/>
  <c r="V13405" i="1"/>
  <c r="V13406" i="1"/>
  <c r="V13407" i="1"/>
  <c r="V13408" i="1"/>
  <c r="V13409" i="1"/>
  <c r="V13410" i="1"/>
  <c r="V13411" i="1"/>
  <c r="V13412" i="1"/>
  <c r="V13413" i="1"/>
  <c r="V13414" i="1"/>
  <c r="V13415" i="1"/>
  <c r="V13416" i="1"/>
  <c r="V13417" i="1"/>
  <c r="V13418" i="1"/>
  <c r="V13419" i="1"/>
  <c r="V13420" i="1"/>
  <c r="V13421" i="1"/>
  <c r="V13422" i="1"/>
  <c r="V13423" i="1"/>
  <c r="V13424" i="1"/>
  <c r="V13425" i="1"/>
  <c r="V13426" i="1"/>
  <c r="V13427" i="1"/>
  <c r="V13428" i="1"/>
  <c r="V13429" i="1"/>
  <c r="V13430" i="1"/>
  <c r="V13431" i="1"/>
  <c r="V13432" i="1"/>
  <c r="V13433" i="1"/>
  <c r="V13434" i="1"/>
  <c r="V13435" i="1"/>
  <c r="V13436" i="1"/>
  <c r="V13437" i="1"/>
  <c r="V13438" i="1"/>
  <c r="V13439" i="1"/>
  <c r="V13440" i="1"/>
  <c r="V13441" i="1"/>
  <c r="V13442" i="1"/>
  <c r="V13443" i="1"/>
  <c r="V13444" i="1"/>
  <c r="V13445" i="1"/>
  <c r="V13446" i="1"/>
  <c r="V13447" i="1"/>
  <c r="V13448" i="1"/>
  <c r="V13449" i="1"/>
  <c r="V13450" i="1"/>
  <c r="V13451" i="1"/>
  <c r="V13452" i="1"/>
  <c r="V13453" i="1"/>
  <c r="V13454" i="1"/>
  <c r="V13455" i="1"/>
  <c r="V13240" i="1"/>
  <c r="V13024" i="1"/>
  <c r="V13025" i="1"/>
  <c r="V13026" i="1"/>
  <c r="V13027" i="1"/>
  <c r="V13028" i="1"/>
  <c r="V13029" i="1"/>
  <c r="V13030" i="1"/>
  <c r="V13031" i="1"/>
  <c r="V13032" i="1"/>
  <c r="V13033" i="1"/>
  <c r="V13034" i="1"/>
  <c r="V13035" i="1"/>
  <c r="V13036" i="1"/>
  <c r="V13037" i="1"/>
  <c r="V13038" i="1"/>
  <c r="V13039" i="1"/>
  <c r="V13040" i="1"/>
  <c r="V13041" i="1"/>
  <c r="V13042" i="1"/>
  <c r="V13043" i="1"/>
  <c r="V13044" i="1"/>
  <c r="V13045" i="1"/>
  <c r="V13046" i="1"/>
  <c r="V13047" i="1"/>
  <c r="V13048" i="1"/>
  <c r="V13049" i="1"/>
  <c r="V13050" i="1"/>
  <c r="V13051" i="1"/>
  <c r="V13052" i="1"/>
  <c r="V13053" i="1"/>
  <c r="V13054" i="1"/>
  <c r="V13055" i="1"/>
  <c r="V13056" i="1"/>
  <c r="V13057" i="1"/>
  <c r="V13058" i="1"/>
  <c r="V13059" i="1"/>
  <c r="V13060" i="1"/>
  <c r="V13061" i="1"/>
  <c r="V13062" i="1"/>
  <c r="V13063" i="1"/>
  <c r="V13064" i="1"/>
  <c r="V13065" i="1"/>
  <c r="V13066" i="1"/>
  <c r="V13067" i="1"/>
  <c r="V13068" i="1"/>
  <c r="V13069" i="1"/>
  <c r="V13070" i="1"/>
  <c r="V13071" i="1"/>
  <c r="V13072" i="1"/>
  <c r="V13073" i="1"/>
  <c r="V13074" i="1"/>
  <c r="V13075" i="1"/>
  <c r="V13076" i="1"/>
  <c r="V13077" i="1"/>
  <c r="V13078" i="1"/>
  <c r="V13079" i="1"/>
  <c r="V13080" i="1"/>
  <c r="V13081" i="1"/>
  <c r="V13082" i="1"/>
  <c r="V13083" i="1"/>
  <c r="V13084" i="1"/>
  <c r="V13085" i="1"/>
  <c r="V13086" i="1"/>
  <c r="V13087" i="1"/>
  <c r="V13088" i="1"/>
  <c r="V13089" i="1"/>
  <c r="V13090" i="1"/>
  <c r="V13091" i="1"/>
  <c r="V13092" i="1"/>
  <c r="V13093" i="1"/>
  <c r="V13094" i="1"/>
  <c r="V13095" i="1"/>
  <c r="V13096" i="1"/>
  <c r="V13097" i="1"/>
  <c r="V13098" i="1"/>
  <c r="V13099" i="1"/>
  <c r="V13100" i="1"/>
  <c r="V13101" i="1"/>
  <c r="V13102" i="1"/>
  <c r="V13103" i="1"/>
  <c r="V13104" i="1"/>
  <c r="V13105" i="1"/>
  <c r="V13106" i="1"/>
  <c r="V13107" i="1"/>
  <c r="V13108" i="1"/>
  <c r="V13109" i="1"/>
  <c r="V13110" i="1"/>
  <c r="V13111" i="1"/>
  <c r="V13112" i="1"/>
  <c r="V13113" i="1"/>
  <c r="V13114" i="1"/>
  <c r="V13115" i="1"/>
  <c r="V13116" i="1"/>
  <c r="V13117" i="1"/>
  <c r="V13118" i="1"/>
  <c r="V13119" i="1"/>
  <c r="V13120" i="1"/>
  <c r="V13121" i="1"/>
  <c r="V13122" i="1"/>
  <c r="V13123" i="1"/>
  <c r="V13124" i="1"/>
  <c r="V13125" i="1"/>
  <c r="V13126" i="1"/>
  <c r="V13127" i="1"/>
  <c r="V13128" i="1"/>
  <c r="V13129" i="1"/>
  <c r="V13130" i="1"/>
  <c r="V13131" i="1"/>
  <c r="V13132" i="1"/>
  <c r="V13133" i="1"/>
  <c r="V13134" i="1"/>
  <c r="V13135" i="1"/>
  <c r="V13136" i="1"/>
  <c r="V13137" i="1"/>
  <c r="V13138" i="1"/>
  <c r="V13139" i="1"/>
  <c r="V13140" i="1"/>
  <c r="V13141" i="1"/>
  <c r="V13142" i="1"/>
  <c r="V13143" i="1"/>
  <c r="V13144" i="1"/>
  <c r="V13145" i="1"/>
  <c r="V13146" i="1"/>
  <c r="V13147" i="1"/>
  <c r="V13148" i="1"/>
  <c r="V13149" i="1"/>
  <c r="V13150" i="1"/>
  <c r="V13151" i="1"/>
  <c r="V13152" i="1"/>
  <c r="V13153" i="1"/>
  <c r="V13154" i="1"/>
  <c r="V13155" i="1"/>
  <c r="V13156" i="1"/>
  <c r="V13157" i="1"/>
  <c r="V13158" i="1"/>
  <c r="V13159" i="1"/>
  <c r="V13160" i="1"/>
  <c r="V13161" i="1"/>
  <c r="V13162" i="1"/>
  <c r="V13163" i="1"/>
  <c r="V13164" i="1"/>
  <c r="V13165" i="1"/>
  <c r="V13166" i="1"/>
  <c r="V13167" i="1"/>
  <c r="V13168" i="1"/>
  <c r="V13169" i="1"/>
  <c r="V13170" i="1"/>
  <c r="V13171" i="1"/>
  <c r="V13172" i="1"/>
  <c r="V13173" i="1"/>
  <c r="V13174" i="1"/>
  <c r="V13175" i="1"/>
  <c r="V13176" i="1"/>
  <c r="V13177" i="1"/>
  <c r="V13178" i="1"/>
  <c r="V13179" i="1"/>
  <c r="V13180" i="1"/>
  <c r="V13181" i="1"/>
  <c r="V13182" i="1"/>
  <c r="V13183" i="1"/>
  <c r="V13184" i="1"/>
  <c r="V13185" i="1"/>
  <c r="V13186" i="1"/>
  <c r="V13187" i="1"/>
  <c r="V13188" i="1"/>
  <c r="V13189" i="1"/>
  <c r="V13190" i="1"/>
  <c r="V13191" i="1"/>
  <c r="V13192" i="1"/>
  <c r="V13193" i="1"/>
  <c r="V13194" i="1"/>
  <c r="V13195" i="1"/>
  <c r="V13196" i="1"/>
  <c r="V13197" i="1"/>
  <c r="V13198" i="1"/>
  <c r="V13199" i="1"/>
  <c r="V13200" i="1"/>
  <c r="V13201" i="1"/>
  <c r="V13202" i="1"/>
  <c r="V13203" i="1"/>
  <c r="V13204" i="1"/>
  <c r="V13205" i="1"/>
  <c r="V13206" i="1"/>
  <c r="V13207" i="1"/>
  <c r="V13208" i="1"/>
  <c r="V13209" i="1"/>
  <c r="V13210" i="1"/>
  <c r="V13211" i="1"/>
  <c r="V13212" i="1"/>
  <c r="V13213" i="1"/>
  <c r="V13214" i="1"/>
  <c r="V13215" i="1"/>
  <c r="V13216" i="1"/>
  <c r="V13217" i="1"/>
  <c r="V13218" i="1"/>
  <c r="V13219" i="1"/>
  <c r="V13220" i="1"/>
  <c r="V13221" i="1"/>
  <c r="V13222" i="1"/>
  <c r="V13223" i="1"/>
  <c r="V13224" i="1"/>
  <c r="V13225" i="1"/>
  <c r="V13226" i="1"/>
  <c r="V13227" i="1"/>
  <c r="V13228" i="1"/>
  <c r="V13229" i="1"/>
  <c r="V13230" i="1"/>
  <c r="V13231" i="1"/>
  <c r="V13232" i="1"/>
  <c r="V13233" i="1"/>
  <c r="V13234" i="1"/>
  <c r="V13235" i="1"/>
  <c r="V13236" i="1"/>
  <c r="V13237" i="1"/>
  <c r="V13238" i="1"/>
  <c r="V13023" i="1"/>
  <c r="V12590" i="1"/>
  <c r="V12591" i="1"/>
  <c r="V12592" i="1"/>
  <c r="V12593" i="1"/>
  <c r="V12594" i="1"/>
  <c r="V12595" i="1"/>
  <c r="V12596" i="1"/>
  <c r="V12597" i="1"/>
  <c r="V12598" i="1"/>
  <c r="V12599" i="1"/>
  <c r="V12600" i="1"/>
  <c r="V12601" i="1"/>
  <c r="V12602" i="1"/>
  <c r="V12603" i="1"/>
  <c r="V12604" i="1"/>
  <c r="V12605" i="1"/>
  <c r="V12606" i="1"/>
  <c r="V12607" i="1"/>
  <c r="V12608" i="1"/>
  <c r="V12609" i="1"/>
  <c r="V12610" i="1"/>
  <c r="V12611" i="1"/>
  <c r="V12612" i="1"/>
  <c r="V12613" i="1"/>
  <c r="V12614" i="1"/>
  <c r="V12615" i="1"/>
  <c r="V12616" i="1"/>
  <c r="V12617" i="1"/>
  <c r="V12618" i="1"/>
  <c r="V12619" i="1"/>
  <c r="V12620" i="1"/>
  <c r="V12621" i="1"/>
  <c r="V12622" i="1"/>
  <c r="V12623" i="1"/>
  <c r="V12624" i="1"/>
  <c r="V12625" i="1"/>
  <c r="V12626" i="1"/>
  <c r="V12627" i="1"/>
  <c r="V12628" i="1"/>
  <c r="V12629" i="1"/>
  <c r="V12630" i="1"/>
  <c r="V12631" i="1"/>
  <c r="V12632" i="1"/>
  <c r="V12633" i="1"/>
  <c r="V12634" i="1"/>
  <c r="V12635" i="1"/>
  <c r="V12636" i="1"/>
  <c r="V12637" i="1"/>
  <c r="V12638" i="1"/>
  <c r="V12639" i="1"/>
  <c r="V12640" i="1"/>
  <c r="V12641" i="1"/>
  <c r="V12642" i="1"/>
  <c r="V12643" i="1"/>
  <c r="V12644" i="1"/>
  <c r="V12645" i="1"/>
  <c r="V12646" i="1"/>
  <c r="V12647" i="1"/>
  <c r="V12648" i="1"/>
  <c r="V12649" i="1"/>
  <c r="V12650" i="1"/>
  <c r="V12651" i="1"/>
  <c r="V12652" i="1"/>
  <c r="V12653" i="1"/>
  <c r="V12654" i="1"/>
  <c r="V12655" i="1"/>
  <c r="V12656" i="1"/>
  <c r="V12657" i="1"/>
  <c r="V12658" i="1"/>
  <c r="V12659" i="1"/>
  <c r="V12660" i="1"/>
  <c r="V12661" i="1"/>
  <c r="V12662" i="1"/>
  <c r="V12663" i="1"/>
  <c r="V12664" i="1"/>
  <c r="V12665" i="1"/>
  <c r="V12666" i="1"/>
  <c r="V12667" i="1"/>
  <c r="V12668" i="1"/>
  <c r="V12669" i="1"/>
  <c r="V12670" i="1"/>
  <c r="V12671" i="1"/>
  <c r="V12672" i="1"/>
  <c r="V12673" i="1"/>
  <c r="V12674" i="1"/>
  <c r="V12675" i="1"/>
  <c r="V12676" i="1"/>
  <c r="V12677" i="1"/>
  <c r="V12678" i="1"/>
  <c r="V12679" i="1"/>
  <c r="V12680" i="1"/>
  <c r="V12681" i="1"/>
  <c r="V12682" i="1"/>
  <c r="V12683" i="1"/>
  <c r="V12684" i="1"/>
  <c r="V12685" i="1"/>
  <c r="V12686" i="1"/>
  <c r="V12687" i="1"/>
  <c r="V12688" i="1"/>
  <c r="V12689" i="1"/>
  <c r="V12690" i="1"/>
  <c r="V12691" i="1"/>
  <c r="V12692" i="1"/>
  <c r="V12693" i="1"/>
  <c r="V12694" i="1"/>
  <c r="V12695" i="1"/>
  <c r="V12696" i="1"/>
  <c r="V12697" i="1"/>
  <c r="V12698" i="1"/>
  <c r="V12699" i="1"/>
  <c r="V12700" i="1"/>
  <c r="V12701" i="1"/>
  <c r="V12702" i="1"/>
  <c r="V12703" i="1"/>
  <c r="V12704" i="1"/>
  <c r="V12705" i="1"/>
  <c r="V12706" i="1"/>
  <c r="V12707" i="1"/>
  <c r="V12708" i="1"/>
  <c r="V12709" i="1"/>
  <c r="V12710" i="1"/>
  <c r="V12711" i="1"/>
  <c r="V12712" i="1"/>
  <c r="V12713" i="1"/>
  <c r="V12714" i="1"/>
  <c r="V12715" i="1"/>
  <c r="V12716" i="1"/>
  <c r="V12717" i="1"/>
  <c r="V12718" i="1"/>
  <c r="V12719" i="1"/>
  <c r="V12720" i="1"/>
  <c r="V12721" i="1"/>
  <c r="V12722" i="1"/>
  <c r="V12723" i="1"/>
  <c r="V12724" i="1"/>
  <c r="V12725" i="1"/>
  <c r="V12726" i="1"/>
  <c r="V12727" i="1"/>
  <c r="V12728" i="1"/>
  <c r="V12729" i="1"/>
  <c r="V12730" i="1"/>
  <c r="V12731" i="1"/>
  <c r="V12732" i="1"/>
  <c r="V12733" i="1"/>
  <c r="V12734" i="1"/>
  <c r="V12735" i="1"/>
  <c r="V12736" i="1"/>
  <c r="V12737" i="1"/>
  <c r="V12738" i="1"/>
  <c r="V12739" i="1"/>
  <c r="V12740" i="1"/>
  <c r="V12741" i="1"/>
  <c r="V12742" i="1"/>
  <c r="V12743" i="1"/>
  <c r="V12744" i="1"/>
  <c r="V12745" i="1"/>
  <c r="V12746" i="1"/>
  <c r="V12747" i="1"/>
  <c r="V12748" i="1"/>
  <c r="V12749" i="1"/>
  <c r="V12750" i="1"/>
  <c r="V12751" i="1"/>
  <c r="V12752" i="1"/>
  <c r="V12753" i="1"/>
  <c r="V12754" i="1"/>
  <c r="V12755" i="1"/>
  <c r="V12756" i="1"/>
  <c r="V12757" i="1"/>
  <c r="V12758" i="1"/>
  <c r="V12759" i="1"/>
  <c r="V12760" i="1"/>
  <c r="V12761" i="1"/>
  <c r="V12762" i="1"/>
  <c r="V12763" i="1"/>
  <c r="V12764" i="1"/>
  <c r="V12765" i="1"/>
  <c r="V12766" i="1"/>
  <c r="V12767" i="1"/>
  <c r="V12768" i="1"/>
  <c r="V12769" i="1"/>
  <c r="V12770" i="1"/>
  <c r="V12771" i="1"/>
  <c r="V12772" i="1"/>
  <c r="V12773" i="1"/>
  <c r="V12774" i="1"/>
  <c r="V12775" i="1"/>
  <c r="V12776" i="1"/>
  <c r="V12777" i="1"/>
  <c r="V12778" i="1"/>
  <c r="V12779" i="1"/>
  <c r="V12780" i="1"/>
  <c r="V12781" i="1"/>
  <c r="V12782" i="1"/>
  <c r="V12783" i="1"/>
  <c r="V12784" i="1"/>
  <c r="V12785" i="1"/>
  <c r="V12786" i="1"/>
  <c r="V12787" i="1"/>
  <c r="V12788" i="1"/>
  <c r="V12789" i="1"/>
  <c r="V12790" i="1"/>
  <c r="V12791" i="1"/>
  <c r="V12792" i="1"/>
  <c r="V12793" i="1"/>
  <c r="V12794" i="1"/>
  <c r="V12795" i="1"/>
  <c r="V12796" i="1"/>
  <c r="V12797" i="1"/>
  <c r="V12798" i="1"/>
  <c r="V12799" i="1"/>
  <c r="V12800" i="1"/>
  <c r="V12801" i="1"/>
  <c r="V12802" i="1"/>
  <c r="V12803" i="1"/>
  <c r="V12804" i="1"/>
  <c r="V12589" i="1"/>
  <c r="V12373" i="1"/>
  <c r="V12374" i="1"/>
  <c r="V12375" i="1"/>
  <c r="V12376" i="1"/>
  <c r="V12377" i="1"/>
  <c r="V12378" i="1"/>
  <c r="V12379" i="1"/>
  <c r="V12380" i="1"/>
  <c r="V12381" i="1"/>
  <c r="V12382" i="1"/>
  <c r="V12383" i="1"/>
  <c r="V12384" i="1"/>
  <c r="V12385" i="1"/>
  <c r="V12386" i="1"/>
  <c r="V12387" i="1"/>
  <c r="V12388" i="1"/>
  <c r="V12389" i="1"/>
  <c r="V12390" i="1"/>
  <c r="V12391" i="1"/>
  <c r="V12392" i="1"/>
  <c r="V12393" i="1"/>
  <c r="V12394" i="1"/>
  <c r="V12395" i="1"/>
  <c r="V12396" i="1"/>
  <c r="V12397" i="1"/>
  <c r="V12398" i="1"/>
  <c r="V12399" i="1"/>
  <c r="V12400" i="1"/>
  <c r="V12401" i="1"/>
  <c r="V12402" i="1"/>
  <c r="V12403" i="1"/>
  <c r="V12404" i="1"/>
  <c r="V12405" i="1"/>
  <c r="V12406" i="1"/>
  <c r="V12407" i="1"/>
  <c r="V12408" i="1"/>
  <c r="V12409" i="1"/>
  <c r="V12410" i="1"/>
  <c r="V12411" i="1"/>
  <c r="V12412" i="1"/>
  <c r="V12413" i="1"/>
  <c r="V12414" i="1"/>
  <c r="V12415" i="1"/>
  <c r="V12416" i="1"/>
  <c r="V12417" i="1"/>
  <c r="V12418" i="1"/>
  <c r="V12419" i="1"/>
  <c r="V12420" i="1"/>
  <c r="V12421" i="1"/>
  <c r="V12422" i="1"/>
  <c r="V12423" i="1"/>
  <c r="V12424" i="1"/>
  <c r="V12425" i="1"/>
  <c r="V12426" i="1"/>
  <c r="V12427" i="1"/>
  <c r="V12428" i="1"/>
  <c r="V12429" i="1"/>
  <c r="V12430" i="1"/>
  <c r="V12431" i="1"/>
  <c r="V12432" i="1"/>
  <c r="V12433" i="1"/>
  <c r="V12434" i="1"/>
  <c r="V12435" i="1"/>
  <c r="V12436" i="1"/>
  <c r="V12437" i="1"/>
  <c r="V12438" i="1"/>
  <c r="V12439" i="1"/>
  <c r="V12440" i="1"/>
  <c r="V12441" i="1"/>
  <c r="V12442" i="1"/>
  <c r="V12443" i="1"/>
  <c r="V12444" i="1"/>
  <c r="V12445" i="1"/>
  <c r="V12446" i="1"/>
  <c r="V12447" i="1"/>
  <c r="V12448" i="1"/>
  <c r="V12449" i="1"/>
  <c r="V12450" i="1"/>
  <c r="V12451" i="1"/>
  <c r="V12452" i="1"/>
  <c r="V12453" i="1"/>
  <c r="V12454" i="1"/>
  <c r="V12455" i="1"/>
  <c r="V12456" i="1"/>
  <c r="V12457" i="1"/>
  <c r="V12458" i="1"/>
  <c r="V12459" i="1"/>
  <c r="V12460" i="1"/>
  <c r="V12461" i="1"/>
  <c r="V12462" i="1"/>
  <c r="V12463" i="1"/>
  <c r="V12464" i="1"/>
  <c r="V12465" i="1"/>
  <c r="V12466" i="1"/>
  <c r="V12467" i="1"/>
  <c r="V12468" i="1"/>
  <c r="V12469" i="1"/>
  <c r="V12470" i="1"/>
  <c r="V12471" i="1"/>
  <c r="V12472" i="1"/>
  <c r="V12473" i="1"/>
  <c r="V12474" i="1"/>
  <c r="V12475" i="1"/>
  <c r="V12476" i="1"/>
  <c r="V12477" i="1"/>
  <c r="V12478" i="1"/>
  <c r="V12479" i="1"/>
  <c r="V12480" i="1"/>
  <c r="V12481" i="1"/>
  <c r="V12482" i="1"/>
  <c r="V12483" i="1"/>
  <c r="V12484" i="1"/>
  <c r="V12485" i="1"/>
  <c r="V12486" i="1"/>
  <c r="V12487" i="1"/>
  <c r="V12488" i="1"/>
  <c r="V12489" i="1"/>
  <c r="V12490" i="1"/>
  <c r="V12491" i="1"/>
  <c r="V12492" i="1"/>
  <c r="V12493" i="1"/>
  <c r="V12494" i="1"/>
  <c r="V12495" i="1"/>
  <c r="V12496" i="1"/>
  <c r="V12497" i="1"/>
  <c r="V12498" i="1"/>
  <c r="V12499" i="1"/>
  <c r="V12500" i="1"/>
  <c r="V12501" i="1"/>
  <c r="V12502" i="1"/>
  <c r="V12503" i="1"/>
  <c r="V12504" i="1"/>
  <c r="V12505" i="1"/>
  <c r="V12506" i="1"/>
  <c r="V12507" i="1"/>
  <c r="V12508" i="1"/>
  <c r="V12509" i="1"/>
  <c r="V12510" i="1"/>
  <c r="V12511" i="1"/>
  <c r="V12512" i="1"/>
  <c r="V12513" i="1"/>
  <c r="V12514" i="1"/>
  <c r="V12515" i="1"/>
  <c r="V12516" i="1"/>
  <c r="V12517" i="1"/>
  <c r="V12518" i="1"/>
  <c r="V12519" i="1"/>
  <c r="V12520" i="1"/>
  <c r="V12521" i="1"/>
  <c r="V12522" i="1"/>
  <c r="V12523" i="1"/>
  <c r="V12524" i="1"/>
  <c r="V12525" i="1"/>
  <c r="V12526" i="1"/>
  <c r="V12527" i="1"/>
  <c r="V12528" i="1"/>
  <c r="V12529" i="1"/>
  <c r="V12530" i="1"/>
  <c r="V12531" i="1"/>
  <c r="V12532" i="1"/>
  <c r="V12533" i="1"/>
  <c r="V12534" i="1"/>
  <c r="V12535" i="1"/>
  <c r="V12536" i="1"/>
  <c r="V12537" i="1"/>
  <c r="V12538" i="1"/>
  <c r="V12539" i="1"/>
  <c r="V12540" i="1"/>
  <c r="V12541" i="1"/>
  <c r="V12542" i="1"/>
  <c r="V12543" i="1"/>
  <c r="V12544" i="1"/>
  <c r="V12545" i="1"/>
  <c r="V12546" i="1"/>
  <c r="V12547" i="1"/>
  <c r="V12548" i="1"/>
  <c r="V12549" i="1"/>
  <c r="V12550" i="1"/>
  <c r="V12551" i="1"/>
  <c r="V12552" i="1"/>
  <c r="V12553" i="1"/>
  <c r="V12554" i="1"/>
  <c r="V12555" i="1"/>
  <c r="V12556" i="1"/>
  <c r="V12557" i="1"/>
  <c r="V12558" i="1"/>
  <c r="V12559" i="1"/>
  <c r="V12560" i="1"/>
  <c r="V12561" i="1"/>
  <c r="V12562" i="1"/>
  <c r="V12563" i="1"/>
  <c r="V12564" i="1"/>
  <c r="V12565" i="1"/>
  <c r="V12566" i="1"/>
  <c r="V12567" i="1"/>
  <c r="V12568" i="1"/>
  <c r="V12569" i="1"/>
  <c r="V12570" i="1"/>
  <c r="V12571" i="1"/>
  <c r="V12572" i="1"/>
  <c r="V12573" i="1"/>
  <c r="V12574" i="1"/>
  <c r="V12575" i="1"/>
  <c r="V12576" i="1"/>
  <c r="V12577" i="1"/>
  <c r="V12578" i="1"/>
  <c r="V12579" i="1"/>
  <c r="V12580" i="1"/>
  <c r="V12581" i="1"/>
  <c r="V12582" i="1"/>
  <c r="V12583" i="1"/>
  <c r="V12584" i="1"/>
  <c r="V12585" i="1"/>
  <c r="V12586" i="1"/>
  <c r="V12587" i="1"/>
  <c r="V12372" i="1"/>
  <c r="V12156" i="1"/>
  <c r="V12157" i="1"/>
  <c r="V12158" i="1"/>
  <c r="V12159" i="1"/>
  <c r="V12160" i="1"/>
  <c r="V12161" i="1"/>
  <c r="V12162" i="1"/>
  <c r="V12163" i="1"/>
  <c r="V12164" i="1"/>
  <c r="V12165" i="1"/>
  <c r="V12166" i="1"/>
  <c r="V12167" i="1"/>
  <c r="V12168" i="1"/>
  <c r="V12169" i="1"/>
  <c r="V12170" i="1"/>
  <c r="V12171" i="1"/>
  <c r="V12172" i="1"/>
  <c r="V12173" i="1"/>
  <c r="V12174" i="1"/>
  <c r="V12175" i="1"/>
  <c r="V12176" i="1"/>
  <c r="V12177" i="1"/>
  <c r="V12178" i="1"/>
  <c r="V12179" i="1"/>
  <c r="V12180" i="1"/>
  <c r="V12181" i="1"/>
  <c r="V12182" i="1"/>
  <c r="V12183" i="1"/>
  <c r="V12184" i="1"/>
  <c r="V12185" i="1"/>
  <c r="V12186" i="1"/>
  <c r="V12187" i="1"/>
  <c r="V12188" i="1"/>
  <c r="V12189" i="1"/>
  <c r="V12190" i="1"/>
  <c r="V12191" i="1"/>
  <c r="V12192" i="1"/>
  <c r="V12193" i="1"/>
  <c r="V12194" i="1"/>
  <c r="V12195" i="1"/>
  <c r="V12196" i="1"/>
  <c r="V12197" i="1"/>
  <c r="V12198" i="1"/>
  <c r="V12199" i="1"/>
  <c r="V12200" i="1"/>
  <c r="V12201" i="1"/>
  <c r="V12202" i="1"/>
  <c r="V12203" i="1"/>
  <c r="V12204" i="1"/>
  <c r="V12205" i="1"/>
  <c r="V12206" i="1"/>
  <c r="V12207" i="1"/>
  <c r="V12208" i="1"/>
  <c r="V12209" i="1"/>
  <c r="V12210" i="1"/>
  <c r="V12211" i="1"/>
  <c r="V12212" i="1"/>
  <c r="V12213" i="1"/>
  <c r="V12214" i="1"/>
  <c r="V12215" i="1"/>
  <c r="V12216" i="1"/>
  <c r="V12217" i="1"/>
  <c r="V12218" i="1"/>
  <c r="V12219" i="1"/>
  <c r="V12220" i="1"/>
  <c r="V12221" i="1"/>
  <c r="V12222" i="1"/>
  <c r="V12223" i="1"/>
  <c r="V12224" i="1"/>
  <c r="V12225" i="1"/>
  <c r="V12226" i="1"/>
  <c r="V12227" i="1"/>
  <c r="V12228" i="1"/>
  <c r="V12229" i="1"/>
  <c r="V12230" i="1"/>
  <c r="V12231" i="1"/>
  <c r="V12232" i="1"/>
  <c r="V12233" i="1"/>
  <c r="V12234" i="1"/>
  <c r="V12235" i="1"/>
  <c r="V12236" i="1"/>
  <c r="V12237" i="1"/>
  <c r="V12238" i="1"/>
  <c r="V12239" i="1"/>
  <c r="V12240" i="1"/>
  <c r="V12241" i="1"/>
  <c r="V12242" i="1"/>
  <c r="V12243" i="1"/>
  <c r="V12244" i="1"/>
  <c r="V12245" i="1"/>
  <c r="V12246" i="1"/>
  <c r="V12247" i="1"/>
  <c r="V12248" i="1"/>
  <c r="V12249" i="1"/>
  <c r="V12250" i="1"/>
  <c r="V12251" i="1"/>
  <c r="V12252" i="1"/>
  <c r="V12253" i="1"/>
  <c r="V12254" i="1"/>
  <c r="V12255" i="1"/>
  <c r="V12256" i="1"/>
  <c r="V12257" i="1"/>
  <c r="V12258" i="1"/>
  <c r="V12259" i="1"/>
  <c r="V12260" i="1"/>
  <c r="V12261" i="1"/>
  <c r="V12262" i="1"/>
  <c r="V12263" i="1"/>
  <c r="V12264" i="1"/>
  <c r="V12265" i="1"/>
  <c r="V12266" i="1"/>
  <c r="V12267" i="1"/>
  <c r="V12268" i="1"/>
  <c r="V12269" i="1"/>
  <c r="V12270" i="1"/>
  <c r="V12271" i="1"/>
  <c r="V12272" i="1"/>
  <c r="V12273" i="1"/>
  <c r="V12274" i="1"/>
  <c r="V12275" i="1"/>
  <c r="V12276" i="1"/>
  <c r="V12277" i="1"/>
  <c r="V12278" i="1"/>
  <c r="V12279" i="1"/>
  <c r="V12280" i="1"/>
  <c r="V12281" i="1"/>
  <c r="V12282" i="1"/>
  <c r="V12283" i="1"/>
  <c r="V12284" i="1"/>
  <c r="V12285" i="1"/>
  <c r="V12286" i="1"/>
  <c r="V12287" i="1"/>
  <c r="V12288" i="1"/>
  <c r="V12289" i="1"/>
  <c r="V12290" i="1"/>
  <c r="V12291" i="1"/>
  <c r="V12292" i="1"/>
  <c r="V12293" i="1"/>
  <c r="V12294" i="1"/>
  <c r="V12295" i="1"/>
  <c r="V12296" i="1"/>
  <c r="V12297" i="1"/>
  <c r="V12298" i="1"/>
  <c r="V12299" i="1"/>
  <c r="V12300" i="1"/>
  <c r="V12301" i="1"/>
  <c r="V12302" i="1"/>
  <c r="V12303" i="1"/>
  <c r="V12304" i="1"/>
  <c r="V12305" i="1"/>
  <c r="V12306" i="1"/>
  <c r="V12307" i="1"/>
  <c r="V12308" i="1"/>
  <c r="V12309" i="1"/>
  <c r="V12310" i="1"/>
  <c r="V12311" i="1"/>
  <c r="V12312" i="1"/>
  <c r="V12313" i="1"/>
  <c r="V12314" i="1"/>
  <c r="V12315" i="1"/>
  <c r="V12316" i="1"/>
  <c r="V12317" i="1"/>
  <c r="V12318" i="1"/>
  <c r="V12319" i="1"/>
  <c r="V12320" i="1"/>
  <c r="V12321" i="1"/>
  <c r="V12322" i="1"/>
  <c r="V12323" i="1"/>
  <c r="V12324" i="1"/>
  <c r="V12325" i="1"/>
  <c r="V12326" i="1"/>
  <c r="V12327" i="1"/>
  <c r="V12328" i="1"/>
  <c r="V12329" i="1"/>
  <c r="V12330" i="1"/>
  <c r="V12331" i="1"/>
  <c r="V12332" i="1"/>
  <c r="V12333" i="1"/>
  <c r="V12334" i="1"/>
  <c r="V12335" i="1"/>
  <c r="V12336" i="1"/>
  <c r="V12337" i="1"/>
  <c r="V12338" i="1"/>
  <c r="V12339" i="1"/>
  <c r="V12340" i="1"/>
  <c r="V12341" i="1"/>
  <c r="V12342" i="1"/>
  <c r="V12343" i="1"/>
  <c r="V12344" i="1"/>
  <c r="V12345" i="1"/>
  <c r="V12346" i="1"/>
  <c r="V12347" i="1"/>
  <c r="V12348" i="1"/>
  <c r="V12349" i="1"/>
  <c r="V12350" i="1"/>
  <c r="V12351" i="1"/>
  <c r="V12352" i="1"/>
  <c r="V12353" i="1"/>
  <c r="V12354" i="1"/>
  <c r="V12355" i="1"/>
  <c r="V12356" i="1"/>
  <c r="V12357" i="1"/>
  <c r="V12358" i="1"/>
  <c r="V12359" i="1"/>
  <c r="V12360" i="1"/>
  <c r="V12361" i="1"/>
  <c r="V12362" i="1"/>
  <c r="V12363" i="1"/>
  <c r="V12364" i="1"/>
  <c r="V12365" i="1"/>
  <c r="V12366" i="1"/>
  <c r="V12367" i="1"/>
  <c r="V12368" i="1"/>
  <c r="V12369" i="1"/>
  <c r="V12370" i="1"/>
  <c r="V12155" i="1"/>
  <c r="V11939" i="1"/>
  <c r="V11940" i="1"/>
  <c r="V11941" i="1"/>
  <c r="V11942" i="1"/>
  <c r="V11943" i="1"/>
  <c r="V11944" i="1"/>
  <c r="V11945" i="1"/>
  <c r="V11946" i="1"/>
  <c r="V11947" i="1"/>
  <c r="V11948" i="1"/>
  <c r="V11949" i="1"/>
  <c r="V11950" i="1"/>
  <c r="V11951" i="1"/>
  <c r="V11952" i="1"/>
  <c r="V11953" i="1"/>
  <c r="V11954" i="1"/>
  <c r="V11955" i="1"/>
  <c r="V11956" i="1"/>
  <c r="V11957" i="1"/>
  <c r="V11958" i="1"/>
  <c r="V11959" i="1"/>
  <c r="V11960" i="1"/>
  <c r="V11961" i="1"/>
  <c r="V11962" i="1"/>
  <c r="V11963" i="1"/>
  <c r="V11964" i="1"/>
  <c r="V11965" i="1"/>
  <c r="V11966" i="1"/>
  <c r="V11967" i="1"/>
  <c r="V11968" i="1"/>
  <c r="V11969" i="1"/>
  <c r="V11970" i="1"/>
  <c r="V11971" i="1"/>
  <c r="V11972" i="1"/>
  <c r="V11973" i="1"/>
  <c r="V11974" i="1"/>
  <c r="V11975" i="1"/>
  <c r="V11976" i="1"/>
  <c r="V11977" i="1"/>
  <c r="V11978" i="1"/>
  <c r="V11979" i="1"/>
  <c r="V11980" i="1"/>
  <c r="V11981" i="1"/>
  <c r="V11982" i="1"/>
  <c r="V11983" i="1"/>
  <c r="V11984" i="1"/>
  <c r="V11985" i="1"/>
  <c r="V11986" i="1"/>
  <c r="V11987" i="1"/>
  <c r="V11988" i="1"/>
  <c r="V11989" i="1"/>
  <c r="V11990" i="1"/>
  <c r="V11991" i="1"/>
  <c r="V11992" i="1"/>
  <c r="V11993" i="1"/>
  <c r="V11994" i="1"/>
  <c r="V11995" i="1"/>
  <c r="V11996" i="1"/>
  <c r="V11997" i="1"/>
  <c r="V11998" i="1"/>
  <c r="V11999" i="1"/>
  <c r="V12000" i="1"/>
  <c r="V12001" i="1"/>
  <c r="V12002" i="1"/>
  <c r="V12003" i="1"/>
  <c r="V12004" i="1"/>
  <c r="V12005" i="1"/>
  <c r="V12006" i="1"/>
  <c r="V12007" i="1"/>
  <c r="V12008" i="1"/>
  <c r="V12009" i="1"/>
  <c r="V12010" i="1"/>
  <c r="V12011" i="1"/>
  <c r="V12012" i="1"/>
  <c r="V12013" i="1"/>
  <c r="V12014" i="1"/>
  <c r="V12015" i="1"/>
  <c r="V12016" i="1"/>
  <c r="V12017" i="1"/>
  <c r="V12018" i="1"/>
  <c r="V12019" i="1"/>
  <c r="V12020" i="1"/>
  <c r="V12021" i="1"/>
  <c r="V12022" i="1"/>
  <c r="V12023" i="1"/>
  <c r="V12024" i="1"/>
  <c r="V12025" i="1"/>
  <c r="V12026" i="1"/>
  <c r="V12027" i="1"/>
  <c r="V12028" i="1"/>
  <c r="V12029" i="1"/>
  <c r="V12030" i="1"/>
  <c r="V12031" i="1"/>
  <c r="V12032" i="1"/>
  <c r="V12033" i="1"/>
  <c r="V12034" i="1"/>
  <c r="V12035" i="1"/>
  <c r="V12036" i="1"/>
  <c r="V12037" i="1"/>
  <c r="V12038" i="1"/>
  <c r="V12039" i="1"/>
  <c r="V12040" i="1"/>
  <c r="V12041" i="1"/>
  <c r="V12042" i="1"/>
  <c r="V12043" i="1"/>
  <c r="V12044" i="1"/>
  <c r="V12045" i="1"/>
  <c r="V12046" i="1"/>
  <c r="V12047" i="1"/>
  <c r="V12048" i="1"/>
  <c r="V12049" i="1"/>
  <c r="V12050" i="1"/>
  <c r="V12051" i="1"/>
  <c r="V12052" i="1"/>
  <c r="V12053" i="1"/>
  <c r="V12054" i="1"/>
  <c r="V12055" i="1"/>
  <c r="V12056" i="1"/>
  <c r="V12057" i="1"/>
  <c r="V12058" i="1"/>
  <c r="V12059" i="1"/>
  <c r="V12060" i="1"/>
  <c r="V12061" i="1"/>
  <c r="V12062" i="1"/>
  <c r="V12063" i="1"/>
  <c r="V12064" i="1"/>
  <c r="V12065" i="1"/>
  <c r="V12066" i="1"/>
  <c r="V12067" i="1"/>
  <c r="V12068" i="1"/>
  <c r="V12069" i="1"/>
  <c r="V12070" i="1"/>
  <c r="V12071" i="1"/>
  <c r="V12072" i="1"/>
  <c r="V12073" i="1"/>
  <c r="V12074" i="1"/>
  <c r="V12075" i="1"/>
  <c r="V12076" i="1"/>
  <c r="V12077" i="1"/>
  <c r="V12078" i="1"/>
  <c r="V12079" i="1"/>
  <c r="V12080" i="1"/>
  <c r="V12081" i="1"/>
  <c r="V12082" i="1"/>
  <c r="V12083" i="1"/>
  <c r="V12084" i="1"/>
  <c r="V12085" i="1"/>
  <c r="V12086" i="1"/>
  <c r="V12087" i="1"/>
  <c r="V12088" i="1"/>
  <c r="V12089" i="1"/>
  <c r="V12090" i="1"/>
  <c r="V12091" i="1"/>
  <c r="V12092" i="1"/>
  <c r="V12093" i="1"/>
  <c r="V12094" i="1"/>
  <c r="V12095" i="1"/>
  <c r="V12096" i="1"/>
  <c r="V12097" i="1"/>
  <c r="V12098" i="1"/>
  <c r="V12099" i="1"/>
  <c r="V12100" i="1"/>
  <c r="V12101" i="1"/>
  <c r="V12102" i="1"/>
  <c r="V12103" i="1"/>
  <c r="V12104" i="1"/>
  <c r="V12105" i="1"/>
  <c r="V12106" i="1"/>
  <c r="V12107" i="1"/>
  <c r="V12108" i="1"/>
  <c r="V12109" i="1"/>
  <c r="V12110" i="1"/>
  <c r="V12111" i="1"/>
  <c r="V12112" i="1"/>
  <c r="V12113" i="1"/>
  <c r="V12114" i="1"/>
  <c r="V12115" i="1"/>
  <c r="V12116" i="1"/>
  <c r="V12117" i="1"/>
  <c r="V12118" i="1"/>
  <c r="V12119" i="1"/>
  <c r="V12120" i="1"/>
  <c r="V12121" i="1"/>
  <c r="V12122" i="1"/>
  <c r="V12123" i="1"/>
  <c r="V12124" i="1"/>
  <c r="V12125" i="1"/>
  <c r="V12126" i="1"/>
  <c r="V12127" i="1"/>
  <c r="V12128" i="1"/>
  <c r="V12129" i="1"/>
  <c r="V12130" i="1"/>
  <c r="V12131" i="1"/>
  <c r="V12132" i="1"/>
  <c r="V12133" i="1"/>
  <c r="V12134" i="1"/>
  <c r="V12135" i="1"/>
  <c r="V12136" i="1"/>
  <c r="V12137" i="1"/>
  <c r="V12138" i="1"/>
  <c r="V12139" i="1"/>
  <c r="V12140" i="1"/>
  <c r="V12141" i="1"/>
  <c r="V12142" i="1"/>
  <c r="V12143" i="1"/>
  <c r="V12144" i="1"/>
  <c r="V12145" i="1"/>
  <c r="V12146" i="1"/>
  <c r="V12147" i="1"/>
  <c r="V12148" i="1"/>
  <c r="V12149" i="1"/>
  <c r="V12150" i="1"/>
  <c r="V12151" i="1"/>
  <c r="V12152" i="1"/>
  <c r="V12153" i="1"/>
  <c r="V11938" i="1"/>
  <c r="V11722" i="1"/>
  <c r="V11723" i="1"/>
  <c r="V11724" i="1"/>
  <c r="V11725" i="1"/>
  <c r="V11726" i="1"/>
  <c r="V11727" i="1"/>
  <c r="V11728" i="1"/>
  <c r="V11729" i="1"/>
  <c r="V11730" i="1"/>
  <c r="V11731" i="1"/>
  <c r="V11732" i="1"/>
  <c r="V11733" i="1"/>
  <c r="V11734" i="1"/>
  <c r="V11735" i="1"/>
  <c r="V11736" i="1"/>
  <c r="V11737" i="1"/>
  <c r="V11738" i="1"/>
  <c r="V11739" i="1"/>
  <c r="V11740" i="1"/>
  <c r="V11741" i="1"/>
  <c r="V11742" i="1"/>
  <c r="V11743" i="1"/>
  <c r="V11744" i="1"/>
  <c r="V11745" i="1"/>
  <c r="V11746" i="1"/>
  <c r="V11747" i="1"/>
  <c r="V11748" i="1"/>
  <c r="V11749" i="1"/>
  <c r="V11750" i="1"/>
  <c r="V11751" i="1"/>
  <c r="V11752" i="1"/>
  <c r="V11753" i="1"/>
  <c r="V11754" i="1"/>
  <c r="V11755" i="1"/>
  <c r="V11756" i="1"/>
  <c r="V11757" i="1"/>
  <c r="V11758" i="1"/>
  <c r="V11759" i="1"/>
  <c r="V11760" i="1"/>
  <c r="V11761" i="1"/>
  <c r="V11762" i="1"/>
  <c r="V11763" i="1"/>
  <c r="V11764" i="1"/>
  <c r="V11765" i="1"/>
  <c r="V11766" i="1"/>
  <c r="V11767" i="1"/>
  <c r="V11768" i="1"/>
  <c r="V11769" i="1"/>
  <c r="V11770" i="1"/>
  <c r="V11771" i="1"/>
  <c r="V11772" i="1"/>
  <c r="V11773" i="1"/>
  <c r="V11774" i="1"/>
  <c r="V11775" i="1"/>
  <c r="V11776" i="1"/>
  <c r="V11777" i="1"/>
  <c r="V11778" i="1"/>
  <c r="V11779" i="1"/>
  <c r="V11780" i="1"/>
  <c r="V11781" i="1"/>
  <c r="V11782" i="1"/>
  <c r="V11783" i="1"/>
  <c r="V11784" i="1"/>
  <c r="V11785" i="1"/>
  <c r="V11786" i="1"/>
  <c r="V11787" i="1"/>
  <c r="V11788" i="1"/>
  <c r="V11789" i="1"/>
  <c r="V11790" i="1"/>
  <c r="V11791" i="1"/>
  <c r="V11792" i="1"/>
  <c r="V11793" i="1"/>
  <c r="V11794" i="1"/>
  <c r="V11795" i="1"/>
  <c r="V11796" i="1"/>
  <c r="V11797" i="1"/>
  <c r="V11798" i="1"/>
  <c r="V11799" i="1"/>
  <c r="V11800" i="1"/>
  <c r="V11801" i="1"/>
  <c r="V11802" i="1"/>
  <c r="V11803" i="1"/>
  <c r="V11804" i="1"/>
  <c r="V11805" i="1"/>
  <c r="V11806" i="1"/>
  <c r="V11807" i="1"/>
  <c r="V11808" i="1"/>
  <c r="V11809" i="1"/>
  <c r="V11810" i="1"/>
  <c r="V11811" i="1"/>
  <c r="V11812" i="1"/>
  <c r="V11813" i="1"/>
  <c r="V11814" i="1"/>
  <c r="V11815" i="1"/>
  <c r="V11816" i="1"/>
  <c r="V11817" i="1"/>
  <c r="V11818" i="1"/>
  <c r="V11819" i="1"/>
  <c r="V11820" i="1"/>
  <c r="V11821" i="1"/>
  <c r="V11822" i="1"/>
  <c r="V11823" i="1"/>
  <c r="V11824" i="1"/>
  <c r="V11825" i="1"/>
  <c r="V11826" i="1"/>
  <c r="V11827" i="1"/>
  <c r="V11828" i="1"/>
  <c r="V11829" i="1"/>
  <c r="V11830" i="1"/>
  <c r="V11831" i="1"/>
  <c r="V11832" i="1"/>
  <c r="V11833" i="1"/>
  <c r="V11834" i="1"/>
  <c r="V11835" i="1"/>
  <c r="V11836" i="1"/>
  <c r="V11837" i="1"/>
  <c r="V11838" i="1"/>
  <c r="V11839" i="1"/>
  <c r="V11840" i="1"/>
  <c r="V11841" i="1"/>
  <c r="V11842" i="1"/>
  <c r="V11843" i="1"/>
  <c r="V11844" i="1"/>
  <c r="V11845" i="1"/>
  <c r="V11846" i="1"/>
  <c r="V11847" i="1"/>
  <c r="V11848" i="1"/>
  <c r="V11849" i="1"/>
  <c r="V11850" i="1"/>
  <c r="V11851" i="1"/>
  <c r="V11852" i="1"/>
  <c r="V11853" i="1"/>
  <c r="V11854" i="1"/>
  <c r="V11855" i="1"/>
  <c r="V11856" i="1"/>
  <c r="V11857" i="1"/>
  <c r="V11858" i="1"/>
  <c r="V11859" i="1"/>
  <c r="V11860" i="1"/>
  <c r="V11861" i="1"/>
  <c r="V11862" i="1"/>
  <c r="V11863" i="1"/>
  <c r="V11864" i="1"/>
  <c r="V11865" i="1"/>
  <c r="V11866" i="1"/>
  <c r="V11867" i="1"/>
  <c r="V11868" i="1"/>
  <c r="V11869" i="1"/>
  <c r="V11870" i="1"/>
  <c r="V11871" i="1"/>
  <c r="V11872" i="1"/>
  <c r="V11873" i="1"/>
  <c r="V11874" i="1"/>
  <c r="V11875" i="1"/>
  <c r="V11876" i="1"/>
  <c r="V11877" i="1"/>
  <c r="V11878" i="1"/>
  <c r="V11879" i="1"/>
  <c r="V11880" i="1"/>
  <c r="V11881" i="1"/>
  <c r="V11882" i="1"/>
  <c r="V11883" i="1"/>
  <c r="V11884" i="1"/>
  <c r="V11885" i="1"/>
  <c r="V11886" i="1"/>
  <c r="V11887" i="1"/>
  <c r="V11888" i="1"/>
  <c r="V11889" i="1"/>
  <c r="V11890" i="1"/>
  <c r="V11891" i="1"/>
  <c r="V11892" i="1"/>
  <c r="V11893" i="1"/>
  <c r="V11894" i="1"/>
  <c r="V11895" i="1"/>
  <c r="V11896" i="1"/>
  <c r="V11897" i="1"/>
  <c r="V11898" i="1"/>
  <c r="V11899" i="1"/>
  <c r="V11900" i="1"/>
  <c r="V11901" i="1"/>
  <c r="V11902" i="1"/>
  <c r="V11903" i="1"/>
  <c r="V11904" i="1"/>
  <c r="V11905" i="1"/>
  <c r="V11906" i="1"/>
  <c r="V11907" i="1"/>
  <c r="V11908" i="1"/>
  <c r="V11909" i="1"/>
  <c r="V11910" i="1"/>
  <c r="V11911" i="1"/>
  <c r="V11912" i="1"/>
  <c r="V11913" i="1"/>
  <c r="V11914" i="1"/>
  <c r="V11915" i="1"/>
  <c r="V11916" i="1"/>
  <c r="V11917" i="1"/>
  <c r="V11918" i="1"/>
  <c r="V11919" i="1"/>
  <c r="V11920" i="1"/>
  <c r="V11921" i="1"/>
  <c r="V11922" i="1"/>
  <c r="V11923" i="1"/>
  <c r="V11924" i="1"/>
  <c r="V11925" i="1"/>
  <c r="V11926" i="1"/>
  <c r="V11927" i="1"/>
  <c r="V11928" i="1"/>
  <c r="V11929" i="1"/>
  <c r="V11930" i="1"/>
  <c r="V11931" i="1"/>
  <c r="V11932" i="1"/>
  <c r="V11933" i="1"/>
  <c r="V11934" i="1"/>
  <c r="V11935" i="1"/>
  <c r="V11936" i="1"/>
  <c r="V11721" i="1"/>
  <c r="V11509" i="1"/>
  <c r="V11510" i="1"/>
  <c r="V11511" i="1"/>
  <c r="V11512" i="1"/>
  <c r="V11513" i="1"/>
  <c r="V11514" i="1"/>
  <c r="V11515" i="1"/>
  <c r="V11516" i="1"/>
  <c r="V11517" i="1"/>
  <c r="V11518" i="1"/>
  <c r="V11519" i="1"/>
  <c r="V11520" i="1"/>
  <c r="V11521" i="1"/>
  <c r="V11522" i="1"/>
  <c r="V11523" i="1"/>
  <c r="V11524" i="1"/>
  <c r="V11525" i="1"/>
  <c r="V11526" i="1"/>
  <c r="V11527" i="1"/>
  <c r="V11528" i="1"/>
  <c r="V11529" i="1"/>
  <c r="V11530" i="1"/>
  <c r="V11531" i="1"/>
  <c r="V11532" i="1"/>
  <c r="V11533" i="1"/>
  <c r="V11534" i="1"/>
  <c r="V11535" i="1"/>
  <c r="V11536" i="1"/>
  <c r="V11537" i="1"/>
  <c r="V11538" i="1"/>
  <c r="V11539" i="1"/>
  <c r="V11540" i="1"/>
  <c r="V11541" i="1"/>
  <c r="V11542" i="1"/>
  <c r="V11543" i="1"/>
  <c r="V11544" i="1"/>
  <c r="V11545" i="1"/>
  <c r="V11546" i="1"/>
  <c r="V11547" i="1"/>
  <c r="V11548" i="1"/>
  <c r="V11549" i="1"/>
  <c r="V11550" i="1"/>
  <c r="V11551" i="1"/>
  <c r="V11552" i="1"/>
  <c r="V11553" i="1"/>
  <c r="V11554" i="1"/>
  <c r="V11555" i="1"/>
  <c r="V11556" i="1"/>
  <c r="V11557" i="1"/>
  <c r="V11558" i="1"/>
  <c r="V11559" i="1"/>
  <c r="V11560" i="1"/>
  <c r="V11561" i="1"/>
  <c r="V11562" i="1"/>
  <c r="V11563" i="1"/>
  <c r="V11564" i="1"/>
  <c r="V11565" i="1"/>
  <c r="V11566" i="1"/>
  <c r="V11567" i="1"/>
  <c r="V11568" i="1"/>
  <c r="V11569" i="1"/>
  <c r="V11570" i="1"/>
  <c r="V11571" i="1"/>
  <c r="V11572" i="1"/>
  <c r="V11573" i="1"/>
  <c r="V11574" i="1"/>
  <c r="V11575" i="1"/>
  <c r="V11576" i="1"/>
  <c r="V11577" i="1"/>
  <c r="V11578" i="1"/>
  <c r="V11579" i="1"/>
  <c r="V11580" i="1"/>
  <c r="V11581" i="1"/>
  <c r="V11582" i="1"/>
  <c r="V11583" i="1"/>
  <c r="V11584" i="1"/>
  <c r="V11585" i="1"/>
  <c r="V11586" i="1"/>
  <c r="V11587" i="1"/>
  <c r="V11588" i="1"/>
  <c r="V11589" i="1"/>
  <c r="V11590" i="1"/>
  <c r="V11591" i="1"/>
  <c r="V11592" i="1"/>
  <c r="V11593" i="1"/>
  <c r="V11594" i="1"/>
  <c r="V11595" i="1"/>
  <c r="V11596" i="1"/>
  <c r="V11597" i="1"/>
  <c r="V11598" i="1"/>
  <c r="V11599" i="1"/>
  <c r="V11600" i="1"/>
  <c r="V11601" i="1"/>
  <c r="V11602" i="1"/>
  <c r="V11603" i="1"/>
  <c r="V11604" i="1"/>
  <c r="V11605" i="1"/>
  <c r="V11606" i="1"/>
  <c r="V11607" i="1"/>
  <c r="V11608" i="1"/>
  <c r="V11609" i="1"/>
  <c r="V11610" i="1"/>
  <c r="V11611" i="1"/>
  <c r="V11612" i="1"/>
  <c r="V11613" i="1"/>
  <c r="V11614" i="1"/>
  <c r="V11615" i="1"/>
  <c r="V11616" i="1"/>
  <c r="V11617" i="1"/>
  <c r="V11618" i="1"/>
  <c r="V11619" i="1"/>
  <c r="V11620" i="1"/>
  <c r="V11621" i="1"/>
  <c r="V11622" i="1"/>
  <c r="V11623" i="1"/>
  <c r="V11624" i="1"/>
  <c r="V11625" i="1"/>
  <c r="V11626" i="1"/>
  <c r="V11627" i="1"/>
  <c r="V11628" i="1"/>
  <c r="V11629" i="1"/>
  <c r="V11630" i="1"/>
  <c r="V11631" i="1"/>
  <c r="V11632" i="1"/>
  <c r="V11633" i="1"/>
  <c r="V11634" i="1"/>
  <c r="V11635" i="1"/>
  <c r="V11636" i="1"/>
  <c r="V11637" i="1"/>
  <c r="V11638" i="1"/>
  <c r="V11639" i="1"/>
  <c r="V11640" i="1"/>
  <c r="V11641" i="1"/>
  <c r="V11642" i="1"/>
  <c r="V11643" i="1"/>
  <c r="V11644" i="1"/>
  <c r="V11645" i="1"/>
  <c r="V11646" i="1"/>
  <c r="V11647" i="1"/>
  <c r="V11648" i="1"/>
  <c r="V11649" i="1"/>
  <c r="V11650" i="1"/>
  <c r="V11651" i="1"/>
  <c r="V11652" i="1"/>
  <c r="V11653" i="1"/>
  <c r="V11654" i="1"/>
  <c r="V11655" i="1"/>
  <c r="V11656" i="1"/>
  <c r="V11657" i="1"/>
  <c r="V11658" i="1"/>
  <c r="V11659" i="1"/>
  <c r="V11660" i="1"/>
  <c r="V11661" i="1"/>
  <c r="V11662" i="1"/>
  <c r="V11663" i="1"/>
  <c r="V11664" i="1"/>
  <c r="V11665" i="1"/>
  <c r="V11666" i="1"/>
  <c r="V11667" i="1"/>
  <c r="V11668" i="1"/>
  <c r="V11669" i="1"/>
  <c r="V11670" i="1"/>
  <c r="V11671" i="1"/>
  <c r="V11672" i="1"/>
  <c r="V11673" i="1"/>
  <c r="V11674" i="1"/>
  <c r="V11675" i="1"/>
  <c r="V11676" i="1"/>
  <c r="V11677" i="1"/>
  <c r="V11678" i="1"/>
  <c r="V11679" i="1"/>
  <c r="V11680" i="1"/>
  <c r="V11681" i="1"/>
  <c r="V11682" i="1"/>
  <c r="V11683" i="1"/>
  <c r="V11684" i="1"/>
  <c r="V11685" i="1"/>
  <c r="V11686" i="1"/>
  <c r="V11687" i="1"/>
  <c r="V11688" i="1"/>
  <c r="V11689" i="1"/>
  <c r="V11690" i="1"/>
  <c r="V11691" i="1"/>
  <c r="V11692" i="1"/>
  <c r="V11693" i="1"/>
  <c r="V11694" i="1"/>
  <c r="V11695" i="1"/>
  <c r="V11696" i="1"/>
  <c r="V11697" i="1"/>
  <c r="V11698" i="1"/>
  <c r="V11699" i="1"/>
  <c r="V11700" i="1"/>
  <c r="V11701" i="1"/>
  <c r="V11702" i="1"/>
  <c r="V11703" i="1"/>
  <c r="V11704" i="1"/>
  <c r="V11705" i="1"/>
  <c r="V11706" i="1"/>
  <c r="V11707" i="1"/>
  <c r="V11708" i="1"/>
  <c r="V11709" i="1"/>
  <c r="V11710" i="1"/>
  <c r="V11711" i="1"/>
  <c r="V11712" i="1"/>
  <c r="V11713" i="1"/>
  <c r="V11714" i="1"/>
  <c r="V11715" i="1"/>
  <c r="V11716" i="1"/>
  <c r="V11717" i="1"/>
  <c r="V11718" i="1"/>
  <c r="V11719" i="1"/>
  <c r="V11505" i="1"/>
  <c r="V11506" i="1"/>
  <c r="V11507" i="1"/>
  <c r="V11508" i="1"/>
  <c r="V11504" i="1"/>
  <c r="V11288" i="1"/>
  <c r="V11289" i="1"/>
  <c r="V11290" i="1"/>
  <c r="V11291" i="1"/>
  <c r="V11292" i="1"/>
  <c r="V11293" i="1"/>
  <c r="V11294" i="1"/>
  <c r="V11295" i="1"/>
  <c r="V11296" i="1"/>
  <c r="V11297" i="1"/>
  <c r="V11298" i="1"/>
  <c r="V11299" i="1"/>
  <c r="V11300" i="1"/>
  <c r="V11301" i="1"/>
  <c r="V11302" i="1"/>
  <c r="V11303" i="1"/>
  <c r="V11304" i="1"/>
  <c r="V11305" i="1"/>
  <c r="V11306" i="1"/>
  <c r="V11307" i="1"/>
  <c r="V11308" i="1"/>
  <c r="V11309" i="1"/>
  <c r="V11310" i="1"/>
  <c r="V11311" i="1"/>
  <c r="V11312" i="1"/>
  <c r="V11313" i="1"/>
  <c r="V11314" i="1"/>
  <c r="V11315" i="1"/>
  <c r="V11316" i="1"/>
  <c r="V11317" i="1"/>
  <c r="V11318" i="1"/>
  <c r="V11319" i="1"/>
  <c r="V11320" i="1"/>
  <c r="V11321" i="1"/>
  <c r="V11322" i="1"/>
  <c r="V11323" i="1"/>
  <c r="V11324" i="1"/>
  <c r="V11325" i="1"/>
  <c r="V11326" i="1"/>
  <c r="V11327" i="1"/>
  <c r="V11328" i="1"/>
  <c r="V11329" i="1"/>
  <c r="V11330" i="1"/>
  <c r="V11331" i="1"/>
  <c r="V11332" i="1"/>
  <c r="V11333" i="1"/>
  <c r="V11334" i="1"/>
  <c r="V11335" i="1"/>
  <c r="V11336" i="1"/>
  <c r="V11337" i="1"/>
  <c r="V11338" i="1"/>
  <c r="V11339" i="1"/>
  <c r="V11340" i="1"/>
  <c r="V11341" i="1"/>
  <c r="V11342" i="1"/>
  <c r="V11343" i="1"/>
  <c r="V11344" i="1"/>
  <c r="V11345" i="1"/>
  <c r="V11346" i="1"/>
  <c r="V11347" i="1"/>
  <c r="V11348" i="1"/>
  <c r="V11349" i="1"/>
  <c r="V11350" i="1"/>
  <c r="V11351" i="1"/>
  <c r="V11352" i="1"/>
  <c r="V11353" i="1"/>
  <c r="V11354" i="1"/>
  <c r="V11355" i="1"/>
  <c r="V11356" i="1"/>
  <c r="V11357" i="1"/>
  <c r="V11358" i="1"/>
  <c r="V11359" i="1"/>
  <c r="V11360" i="1"/>
  <c r="V11361" i="1"/>
  <c r="V11362" i="1"/>
  <c r="V11363" i="1"/>
  <c r="V11364" i="1"/>
  <c r="V11365" i="1"/>
  <c r="V11366" i="1"/>
  <c r="V11367" i="1"/>
  <c r="V11368" i="1"/>
  <c r="V11369" i="1"/>
  <c r="V11370" i="1"/>
  <c r="V11371" i="1"/>
  <c r="V11372" i="1"/>
  <c r="V11373" i="1"/>
  <c r="V11374" i="1"/>
  <c r="V11375" i="1"/>
  <c r="V11376" i="1"/>
  <c r="V11377" i="1"/>
  <c r="V11378" i="1"/>
  <c r="V11379" i="1"/>
  <c r="V11380" i="1"/>
  <c r="V11381" i="1"/>
  <c r="V11382" i="1"/>
  <c r="V11383" i="1"/>
  <c r="V11384" i="1"/>
  <c r="V11385" i="1"/>
  <c r="V11386" i="1"/>
  <c r="V11387" i="1"/>
  <c r="V11388" i="1"/>
  <c r="V11389" i="1"/>
  <c r="V11390" i="1"/>
  <c r="V11391" i="1"/>
  <c r="V11392" i="1"/>
  <c r="V11393" i="1"/>
  <c r="V11394" i="1"/>
  <c r="V11395" i="1"/>
  <c r="V11396" i="1"/>
  <c r="V11397" i="1"/>
  <c r="V11398" i="1"/>
  <c r="V11399" i="1"/>
  <c r="V11400" i="1"/>
  <c r="V11401" i="1"/>
  <c r="V11402" i="1"/>
  <c r="V11403" i="1"/>
  <c r="V11404" i="1"/>
  <c r="V11405" i="1"/>
  <c r="V11406" i="1"/>
  <c r="V11407" i="1"/>
  <c r="V11408" i="1"/>
  <c r="V11409" i="1"/>
  <c r="V11410" i="1"/>
  <c r="V11411" i="1"/>
  <c r="V11412" i="1"/>
  <c r="V11413" i="1"/>
  <c r="V11414" i="1"/>
  <c r="V11415" i="1"/>
  <c r="V11416" i="1"/>
  <c r="V11417" i="1"/>
  <c r="V11418" i="1"/>
  <c r="V11419" i="1"/>
  <c r="V11420" i="1"/>
  <c r="V11421" i="1"/>
  <c r="V11422" i="1"/>
  <c r="V11423" i="1"/>
  <c r="V11424" i="1"/>
  <c r="V11425" i="1"/>
  <c r="V11426" i="1"/>
  <c r="V11427" i="1"/>
  <c r="V11428" i="1"/>
  <c r="V11429" i="1"/>
  <c r="V11430" i="1"/>
  <c r="V11431" i="1"/>
  <c r="V11432" i="1"/>
  <c r="V11433" i="1"/>
  <c r="V11434" i="1"/>
  <c r="V11435" i="1"/>
  <c r="V11436" i="1"/>
  <c r="V11437" i="1"/>
  <c r="V11438" i="1"/>
  <c r="V11439" i="1"/>
  <c r="V11440" i="1"/>
  <c r="V11441" i="1"/>
  <c r="V11442" i="1"/>
  <c r="V11443" i="1"/>
  <c r="V11444" i="1"/>
  <c r="V11445" i="1"/>
  <c r="V11446" i="1"/>
  <c r="V11447" i="1"/>
  <c r="V11448" i="1"/>
  <c r="V11449" i="1"/>
  <c r="V11450" i="1"/>
  <c r="V11451" i="1"/>
  <c r="V11452" i="1"/>
  <c r="V11453" i="1"/>
  <c r="V11454" i="1"/>
  <c r="V11455" i="1"/>
  <c r="V11456" i="1"/>
  <c r="V11457" i="1"/>
  <c r="V11458" i="1"/>
  <c r="V11459" i="1"/>
  <c r="V11460" i="1"/>
  <c r="V11461" i="1"/>
  <c r="V11462" i="1"/>
  <c r="V11463" i="1"/>
  <c r="V11464" i="1"/>
  <c r="V11465" i="1"/>
  <c r="V11466" i="1"/>
  <c r="V11467" i="1"/>
  <c r="V11468" i="1"/>
  <c r="V11469" i="1"/>
  <c r="V11470" i="1"/>
  <c r="V11471" i="1"/>
  <c r="V11472" i="1"/>
  <c r="V11473" i="1"/>
  <c r="V11474" i="1"/>
  <c r="V11475" i="1"/>
  <c r="V11476" i="1"/>
  <c r="V11477" i="1"/>
  <c r="V11478" i="1"/>
  <c r="V11479" i="1"/>
  <c r="V11480" i="1"/>
  <c r="V11481" i="1"/>
  <c r="V11482" i="1"/>
  <c r="V11483" i="1"/>
  <c r="V11484" i="1"/>
  <c r="V11485" i="1"/>
  <c r="V11486" i="1"/>
  <c r="V11487" i="1"/>
  <c r="V11488" i="1"/>
  <c r="V11489" i="1"/>
  <c r="V11490" i="1"/>
  <c r="V11491" i="1"/>
  <c r="V11492" i="1"/>
  <c r="V11493" i="1"/>
  <c r="V11494" i="1"/>
  <c r="V11495" i="1"/>
  <c r="V11496" i="1"/>
  <c r="V11497" i="1"/>
  <c r="V11498" i="1"/>
  <c r="V11499" i="1"/>
  <c r="V11500" i="1"/>
  <c r="V11501" i="1"/>
  <c r="V11502" i="1"/>
  <c r="V11287" i="1"/>
  <c r="V11071" i="1"/>
  <c r="V11072" i="1"/>
  <c r="V11073" i="1"/>
  <c r="V11074" i="1"/>
  <c r="V11075" i="1"/>
  <c r="V11076" i="1"/>
  <c r="V11077" i="1"/>
  <c r="V11078" i="1"/>
  <c r="V11079" i="1"/>
  <c r="V11080" i="1"/>
  <c r="V11081" i="1"/>
  <c r="V11082" i="1"/>
  <c r="V11083" i="1"/>
  <c r="V11084" i="1"/>
  <c r="V11085" i="1"/>
  <c r="V11086" i="1"/>
  <c r="V11087" i="1"/>
  <c r="V11088" i="1"/>
  <c r="V11089" i="1"/>
  <c r="V11090" i="1"/>
  <c r="V11091" i="1"/>
  <c r="V11092" i="1"/>
  <c r="V11093" i="1"/>
  <c r="V11094" i="1"/>
  <c r="V11095" i="1"/>
  <c r="V11096" i="1"/>
  <c r="V11097" i="1"/>
  <c r="V11098" i="1"/>
  <c r="V11099" i="1"/>
  <c r="V11100" i="1"/>
  <c r="V11101" i="1"/>
  <c r="V11102" i="1"/>
  <c r="V11103" i="1"/>
  <c r="V11104" i="1"/>
  <c r="V11105" i="1"/>
  <c r="V11106" i="1"/>
  <c r="V11107" i="1"/>
  <c r="V11108" i="1"/>
  <c r="V11109" i="1"/>
  <c r="V11110" i="1"/>
  <c r="V11111" i="1"/>
  <c r="V11112" i="1"/>
  <c r="V11113" i="1"/>
  <c r="V11114" i="1"/>
  <c r="V11115" i="1"/>
  <c r="V11116" i="1"/>
  <c r="V11117" i="1"/>
  <c r="V11118" i="1"/>
  <c r="V11119" i="1"/>
  <c r="V11120" i="1"/>
  <c r="V11121" i="1"/>
  <c r="V11122" i="1"/>
  <c r="V11123" i="1"/>
  <c r="V11124" i="1"/>
  <c r="V11125" i="1"/>
  <c r="V11126" i="1"/>
  <c r="V11127" i="1"/>
  <c r="V11128" i="1"/>
  <c r="V11129" i="1"/>
  <c r="V11130" i="1"/>
  <c r="V11131" i="1"/>
  <c r="V11132" i="1"/>
  <c r="V11133" i="1"/>
  <c r="V11134" i="1"/>
  <c r="V11135" i="1"/>
  <c r="V11136" i="1"/>
  <c r="V11137" i="1"/>
  <c r="V11138" i="1"/>
  <c r="V11139" i="1"/>
  <c r="V11140" i="1"/>
  <c r="V11141" i="1"/>
  <c r="V11142" i="1"/>
  <c r="V11143" i="1"/>
  <c r="V11144" i="1"/>
  <c r="V11145" i="1"/>
  <c r="V11146" i="1"/>
  <c r="V11147" i="1"/>
  <c r="V11148" i="1"/>
  <c r="V11149" i="1"/>
  <c r="V11150" i="1"/>
  <c r="V11151" i="1"/>
  <c r="V11152" i="1"/>
  <c r="V11153" i="1"/>
  <c r="V11154" i="1"/>
  <c r="V11155" i="1"/>
  <c r="V11156" i="1"/>
  <c r="V11157" i="1"/>
  <c r="V11158" i="1"/>
  <c r="V11159" i="1"/>
  <c r="V11160" i="1"/>
  <c r="V11161" i="1"/>
  <c r="V11162" i="1"/>
  <c r="V11163" i="1"/>
  <c r="V11164" i="1"/>
  <c r="V11165" i="1"/>
  <c r="V11166" i="1"/>
  <c r="V11167" i="1"/>
  <c r="V11168" i="1"/>
  <c r="V11169" i="1"/>
  <c r="V11170" i="1"/>
  <c r="V11171" i="1"/>
  <c r="V11172" i="1"/>
  <c r="V11173" i="1"/>
  <c r="V11174" i="1"/>
  <c r="V11175" i="1"/>
  <c r="V11176" i="1"/>
  <c r="V11177" i="1"/>
  <c r="V11178" i="1"/>
  <c r="V11179" i="1"/>
  <c r="V11180" i="1"/>
  <c r="V11181" i="1"/>
  <c r="V11182" i="1"/>
  <c r="V11183" i="1"/>
  <c r="V11184" i="1"/>
  <c r="V11185" i="1"/>
  <c r="V11186" i="1"/>
  <c r="V11187" i="1"/>
  <c r="V11188" i="1"/>
  <c r="V11189" i="1"/>
  <c r="V11190" i="1"/>
  <c r="V11191" i="1"/>
  <c r="V11192" i="1"/>
  <c r="V11193" i="1"/>
  <c r="V11194" i="1"/>
  <c r="V11195" i="1"/>
  <c r="V11196" i="1"/>
  <c r="V11197" i="1"/>
  <c r="V11198" i="1"/>
  <c r="V11199" i="1"/>
  <c r="V11200" i="1"/>
  <c r="V11201" i="1"/>
  <c r="V11202" i="1"/>
  <c r="V11203" i="1"/>
  <c r="V11204" i="1"/>
  <c r="V11205" i="1"/>
  <c r="V11206" i="1"/>
  <c r="V11207" i="1"/>
  <c r="V11208" i="1"/>
  <c r="V11209" i="1"/>
  <c r="V11210" i="1"/>
  <c r="V11211" i="1"/>
  <c r="V11212" i="1"/>
  <c r="V11213" i="1"/>
  <c r="V11214" i="1"/>
  <c r="V11215" i="1"/>
  <c r="V11216" i="1"/>
  <c r="V11217" i="1"/>
  <c r="V11218" i="1"/>
  <c r="V11219" i="1"/>
  <c r="V11220" i="1"/>
  <c r="V11221" i="1"/>
  <c r="V11222" i="1"/>
  <c r="V11223" i="1"/>
  <c r="V11224" i="1"/>
  <c r="V11225" i="1"/>
  <c r="V11226" i="1"/>
  <c r="V11227" i="1"/>
  <c r="V11228" i="1"/>
  <c r="V11229" i="1"/>
  <c r="V11230" i="1"/>
  <c r="V11231" i="1"/>
  <c r="V11232" i="1"/>
  <c r="V11233" i="1"/>
  <c r="V11234" i="1"/>
  <c r="V11235" i="1"/>
  <c r="V11236" i="1"/>
  <c r="V11237" i="1"/>
  <c r="V11238" i="1"/>
  <c r="V11239" i="1"/>
  <c r="V11240" i="1"/>
  <c r="V11241" i="1"/>
  <c r="V11242" i="1"/>
  <c r="V11243" i="1"/>
  <c r="V11244" i="1"/>
  <c r="V11245" i="1"/>
  <c r="V11246" i="1"/>
  <c r="V11247" i="1"/>
  <c r="V11248" i="1"/>
  <c r="V11249" i="1"/>
  <c r="V11250" i="1"/>
  <c r="V11251" i="1"/>
  <c r="V11252" i="1"/>
  <c r="V11253" i="1"/>
  <c r="V11254" i="1"/>
  <c r="V11255" i="1"/>
  <c r="V11256" i="1"/>
  <c r="V11257" i="1"/>
  <c r="V11258" i="1"/>
  <c r="V11259" i="1"/>
  <c r="V11260" i="1"/>
  <c r="V11261" i="1"/>
  <c r="V11262" i="1"/>
  <c r="V11263" i="1"/>
  <c r="V11264" i="1"/>
  <c r="V11265" i="1"/>
  <c r="V11266" i="1"/>
  <c r="V11267" i="1"/>
  <c r="V11268" i="1"/>
  <c r="V11269" i="1"/>
  <c r="V11270" i="1"/>
  <c r="V11271" i="1"/>
  <c r="V11272" i="1"/>
  <c r="V11273" i="1"/>
  <c r="V11274" i="1"/>
  <c r="V11275" i="1"/>
  <c r="V11276" i="1"/>
  <c r="V11277" i="1"/>
  <c r="V11278" i="1"/>
  <c r="V11279" i="1"/>
  <c r="V11280" i="1"/>
  <c r="V11281" i="1"/>
  <c r="V11282" i="1"/>
  <c r="V11283" i="1"/>
  <c r="V11284" i="1"/>
  <c r="V11285" i="1"/>
  <c r="V11070" i="1"/>
  <c r="V10854" i="1"/>
  <c r="V10855" i="1"/>
  <c r="V10856" i="1"/>
  <c r="V10857" i="1"/>
  <c r="V10858" i="1"/>
  <c r="V10859" i="1"/>
  <c r="V10860" i="1"/>
  <c r="V10861" i="1"/>
  <c r="V10862" i="1"/>
  <c r="V10863" i="1"/>
  <c r="V10864" i="1"/>
  <c r="V10865" i="1"/>
  <c r="V10866" i="1"/>
  <c r="V10867" i="1"/>
  <c r="V10868" i="1"/>
  <c r="V10869" i="1"/>
  <c r="V10870" i="1"/>
  <c r="V10871" i="1"/>
  <c r="V10872" i="1"/>
  <c r="V10873" i="1"/>
  <c r="V10874" i="1"/>
  <c r="V10875" i="1"/>
  <c r="V10876" i="1"/>
  <c r="V10877" i="1"/>
  <c r="V10878" i="1"/>
  <c r="V10879" i="1"/>
  <c r="V10880" i="1"/>
  <c r="V10881" i="1"/>
  <c r="V10882" i="1"/>
  <c r="V10883" i="1"/>
  <c r="V10884" i="1"/>
  <c r="V10885" i="1"/>
  <c r="V10886" i="1"/>
  <c r="V10887" i="1"/>
  <c r="V10888" i="1"/>
  <c r="V10889" i="1"/>
  <c r="V10890" i="1"/>
  <c r="V10891" i="1"/>
  <c r="V10892" i="1"/>
  <c r="V10893" i="1"/>
  <c r="V10894" i="1"/>
  <c r="V10895" i="1"/>
  <c r="V10896" i="1"/>
  <c r="V10897" i="1"/>
  <c r="V10898" i="1"/>
  <c r="V10899" i="1"/>
  <c r="V10900" i="1"/>
  <c r="V10901" i="1"/>
  <c r="V10902" i="1"/>
  <c r="V10903" i="1"/>
  <c r="V10904" i="1"/>
  <c r="V10905" i="1"/>
  <c r="V10906" i="1"/>
  <c r="V10907" i="1"/>
  <c r="V10908" i="1"/>
  <c r="V10909" i="1"/>
  <c r="V10910" i="1"/>
  <c r="V10911" i="1"/>
  <c r="V10912" i="1"/>
  <c r="V10913" i="1"/>
  <c r="V10914" i="1"/>
  <c r="V10915" i="1"/>
  <c r="V10916" i="1"/>
  <c r="V10917" i="1"/>
  <c r="V10918" i="1"/>
  <c r="V10919" i="1"/>
  <c r="V10920" i="1"/>
  <c r="V10921" i="1"/>
  <c r="V10922" i="1"/>
  <c r="V10923" i="1"/>
  <c r="V10924" i="1"/>
  <c r="V10925" i="1"/>
  <c r="V10926" i="1"/>
  <c r="V10927" i="1"/>
  <c r="V10928" i="1"/>
  <c r="V10929" i="1"/>
  <c r="V10930" i="1"/>
  <c r="V10931" i="1"/>
  <c r="V10932" i="1"/>
  <c r="V10933" i="1"/>
  <c r="V10934" i="1"/>
  <c r="V10935" i="1"/>
  <c r="V10936" i="1"/>
  <c r="V10937" i="1"/>
  <c r="V10938" i="1"/>
  <c r="V10939" i="1"/>
  <c r="V10940" i="1"/>
  <c r="V10941" i="1"/>
  <c r="V10942" i="1"/>
  <c r="V10943" i="1"/>
  <c r="V10944" i="1"/>
  <c r="V10945" i="1"/>
  <c r="V10946" i="1"/>
  <c r="V10947" i="1"/>
  <c r="V10948" i="1"/>
  <c r="V10949" i="1"/>
  <c r="V10950" i="1"/>
  <c r="V10951" i="1"/>
  <c r="V10952" i="1"/>
  <c r="V10953" i="1"/>
  <c r="V10954" i="1"/>
  <c r="V10955" i="1"/>
  <c r="V10956" i="1"/>
  <c r="V10957" i="1"/>
  <c r="V10958" i="1"/>
  <c r="V10959" i="1"/>
  <c r="V10960" i="1"/>
  <c r="V10961" i="1"/>
  <c r="V10962" i="1"/>
  <c r="V10963" i="1"/>
  <c r="V10964" i="1"/>
  <c r="V10965" i="1"/>
  <c r="V10966" i="1"/>
  <c r="V10967" i="1"/>
  <c r="V10968" i="1"/>
  <c r="V10969" i="1"/>
  <c r="V10970" i="1"/>
  <c r="V10971" i="1"/>
  <c r="V10972" i="1"/>
  <c r="V10973" i="1"/>
  <c r="V10974" i="1"/>
  <c r="V10975" i="1"/>
  <c r="V10976" i="1"/>
  <c r="V10977" i="1"/>
  <c r="V10978" i="1"/>
  <c r="V10979" i="1"/>
  <c r="V10980" i="1"/>
  <c r="V10981" i="1"/>
  <c r="V10982" i="1"/>
  <c r="V10983" i="1"/>
  <c r="V10984" i="1"/>
  <c r="V10985" i="1"/>
  <c r="V10986" i="1"/>
  <c r="V10987" i="1"/>
  <c r="V10988" i="1"/>
  <c r="V10989" i="1"/>
  <c r="V10990" i="1"/>
  <c r="V10991" i="1"/>
  <c r="V10992" i="1"/>
  <c r="V10993" i="1"/>
  <c r="V10994" i="1"/>
  <c r="V10995" i="1"/>
  <c r="V10996" i="1"/>
  <c r="V10997" i="1"/>
  <c r="V10998" i="1"/>
  <c r="V10999" i="1"/>
  <c r="V11000" i="1"/>
  <c r="V11001" i="1"/>
  <c r="V11002" i="1"/>
  <c r="V11003" i="1"/>
  <c r="V11004" i="1"/>
  <c r="V11005" i="1"/>
  <c r="V11006" i="1"/>
  <c r="V11007" i="1"/>
  <c r="V11008" i="1"/>
  <c r="V11009" i="1"/>
  <c r="V11010" i="1"/>
  <c r="V11011" i="1"/>
  <c r="V11012" i="1"/>
  <c r="V11013" i="1"/>
  <c r="V11014" i="1"/>
  <c r="V11015" i="1"/>
  <c r="V11016" i="1"/>
  <c r="V11017" i="1"/>
  <c r="V11018" i="1"/>
  <c r="V11019" i="1"/>
  <c r="V11020" i="1"/>
  <c r="V11021" i="1"/>
  <c r="V11022" i="1"/>
  <c r="V11023" i="1"/>
  <c r="V11024" i="1"/>
  <c r="V11025" i="1"/>
  <c r="V11026" i="1"/>
  <c r="V11027" i="1"/>
  <c r="V11028" i="1"/>
  <c r="V11029" i="1"/>
  <c r="V11030" i="1"/>
  <c r="V11031" i="1"/>
  <c r="V11032" i="1"/>
  <c r="V11033" i="1"/>
  <c r="V11034" i="1"/>
  <c r="V11035" i="1"/>
  <c r="V11036" i="1"/>
  <c r="V11037" i="1"/>
  <c r="V11038" i="1"/>
  <c r="V11039" i="1"/>
  <c r="V11040" i="1"/>
  <c r="V11041" i="1"/>
  <c r="V11042" i="1"/>
  <c r="V11043" i="1"/>
  <c r="V11044" i="1"/>
  <c r="V11045" i="1"/>
  <c r="V11046" i="1"/>
  <c r="V11047" i="1"/>
  <c r="V11048" i="1"/>
  <c r="V11049" i="1"/>
  <c r="V11050" i="1"/>
  <c r="V11051" i="1"/>
  <c r="V11052" i="1"/>
  <c r="V11053" i="1"/>
  <c r="V11054" i="1"/>
  <c r="V11055" i="1"/>
  <c r="V11056" i="1"/>
  <c r="V11057" i="1"/>
  <c r="V11058" i="1"/>
  <c r="V11059" i="1"/>
  <c r="V11060" i="1"/>
  <c r="V11061" i="1"/>
  <c r="V11062" i="1"/>
  <c r="V11063" i="1"/>
  <c r="V11064" i="1"/>
  <c r="V11065" i="1"/>
  <c r="V11066" i="1"/>
  <c r="V11067" i="1"/>
  <c r="V11068" i="1"/>
  <c r="V10853" i="1"/>
  <c r="V10637" i="1"/>
  <c r="V10638" i="1"/>
  <c r="V10639" i="1"/>
  <c r="V10640" i="1"/>
  <c r="V10641" i="1"/>
  <c r="V10642" i="1"/>
  <c r="V10643" i="1"/>
  <c r="V10644" i="1"/>
  <c r="V10645" i="1"/>
  <c r="V10646" i="1"/>
  <c r="V10647" i="1"/>
  <c r="V10648" i="1"/>
  <c r="V10649" i="1"/>
  <c r="V10650" i="1"/>
  <c r="V10651" i="1"/>
  <c r="V10652" i="1"/>
  <c r="V10653" i="1"/>
  <c r="V10654" i="1"/>
  <c r="V10655" i="1"/>
  <c r="V10656" i="1"/>
  <c r="V10657" i="1"/>
  <c r="V10658" i="1"/>
  <c r="V10659" i="1"/>
  <c r="V10660" i="1"/>
  <c r="V10661" i="1"/>
  <c r="V10662" i="1"/>
  <c r="V10663" i="1"/>
  <c r="V10664" i="1"/>
  <c r="V10665" i="1"/>
  <c r="V10666" i="1"/>
  <c r="V10667" i="1"/>
  <c r="V10668" i="1"/>
  <c r="V10669" i="1"/>
  <c r="V10670" i="1"/>
  <c r="V10671" i="1"/>
  <c r="V10672" i="1"/>
  <c r="V10673" i="1"/>
  <c r="V10674" i="1"/>
  <c r="V10675" i="1"/>
  <c r="V10676" i="1"/>
  <c r="V10677" i="1"/>
  <c r="V10678" i="1"/>
  <c r="V10679" i="1"/>
  <c r="V10680" i="1"/>
  <c r="V10681" i="1"/>
  <c r="V10682" i="1"/>
  <c r="V10683" i="1"/>
  <c r="V10684" i="1"/>
  <c r="V10685" i="1"/>
  <c r="V10686" i="1"/>
  <c r="V10687" i="1"/>
  <c r="V10688" i="1"/>
  <c r="V10689" i="1"/>
  <c r="V10690" i="1"/>
  <c r="V10691" i="1"/>
  <c r="V10692" i="1"/>
  <c r="V10693" i="1"/>
  <c r="V10694" i="1"/>
  <c r="V10695" i="1"/>
  <c r="V10696" i="1"/>
  <c r="V10697" i="1"/>
  <c r="V10698" i="1"/>
  <c r="V10699" i="1"/>
  <c r="V10700" i="1"/>
  <c r="V10701" i="1"/>
  <c r="V10702" i="1"/>
  <c r="V10703" i="1"/>
  <c r="V10704" i="1"/>
  <c r="V10705" i="1"/>
  <c r="V10706" i="1"/>
  <c r="V10707" i="1"/>
  <c r="V10708" i="1"/>
  <c r="V10709" i="1"/>
  <c r="V10710" i="1"/>
  <c r="V10711" i="1"/>
  <c r="V10712" i="1"/>
  <c r="V10713" i="1"/>
  <c r="V10714" i="1"/>
  <c r="V10715" i="1"/>
  <c r="V10716" i="1"/>
  <c r="V10717" i="1"/>
  <c r="V10718" i="1"/>
  <c r="V10719" i="1"/>
  <c r="V10720" i="1"/>
  <c r="V10721" i="1"/>
  <c r="V10722" i="1"/>
  <c r="V10723" i="1"/>
  <c r="V10724" i="1"/>
  <c r="V10725" i="1"/>
  <c r="V10726" i="1"/>
  <c r="V10727" i="1"/>
  <c r="V10728" i="1"/>
  <c r="V10729" i="1"/>
  <c r="V10730" i="1"/>
  <c r="V10731" i="1"/>
  <c r="V10732" i="1"/>
  <c r="V10733" i="1"/>
  <c r="V10734" i="1"/>
  <c r="V10735" i="1"/>
  <c r="V10736" i="1"/>
  <c r="V10737" i="1"/>
  <c r="V10738" i="1"/>
  <c r="V10739" i="1"/>
  <c r="V10740" i="1"/>
  <c r="V10741" i="1"/>
  <c r="V10742" i="1"/>
  <c r="V10743" i="1"/>
  <c r="V10744" i="1"/>
  <c r="V10745" i="1"/>
  <c r="V10746" i="1"/>
  <c r="V10747" i="1"/>
  <c r="V10748" i="1"/>
  <c r="V10749" i="1"/>
  <c r="V10750" i="1"/>
  <c r="V10751" i="1"/>
  <c r="V10752" i="1"/>
  <c r="V10753" i="1"/>
  <c r="V10754" i="1"/>
  <c r="V10755" i="1"/>
  <c r="V10756" i="1"/>
  <c r="V10757" i="1"/>
  <c r="V10758" i="1"/>
  <c r="V10759" i="1"/>
  <c r="V10760" i="1"/>
  <c r="V10761" i="1"/>
  <c r="V10762" i="1"/>
  <c r="V10763" i="1"/>
  <c r="V10764" i="1"/>
  <c r="V10765" i="1"/>
  <c r="V10766" i="1"/>
  <c r="V10767" i="1"/>
  <c r="V10768" i="1"/>
  <c r="V10769" i="1"/>
  <c r="V10770" i="1"/>
  <c r="V10771" i="1"/>
  <c r="V10772" i="1"/>
  <c r="V10773" i="1"/>
  <c r="V10774" i="1"/>
  <c r="V10775" i="1"/>
  <c r="V10776" i="1"/>
  <c r="V10777" i="1"/>
  <c r="V10778" i="1"/>
  <c r="V10779" i="1"/>
  <c r="V10780" i="1"/>
  <c r="V10781" i="1"/>
  <c r="V10782" i="1"/>
  <c r="V10783" i="1"/>
  <c r="V10784" i="1"/>
  <c r="V10785" i="1"/>
  <c r="V10786" i="1"/>
  <c r="V10787" i="1"/>
  <c r="V10788" i="1"/>
  <c r="V10789" i="1"/>
  <c r="V10790" i="1"/>
  <c r="V10791" i="1"/>
  <c r="V10792" i="1"/>
  <c r="V10793" i="1"/>
  <c r="V10794" i="1"/>
  <c r="V10795" i="1"/>
  <c r="V10796" i="1"/>
  <c r="V10797" i="1"/>
  <c r="V10798" i="1"/>
  <c r="V10799" i="1"/>
  <c r="V10800" i="1"/>
  <c r="V10801" i="1"/>
  <c r="V10802" i="1"/>
  <c r="V10803" i="1"/>
  <c r="V10804" i="1"/>
  <c r="V10805" i="1"/>
  <c r="V10806" i="1"/>
  <c r="V10807" i="1"/>
  <c r="V10808" i="1"/>
  <c r="V10809" i="1"/>
  <c r="V10810" i="1"/>
  <c r="V10811" i="1"/>
  <c r="V10812" i="1"/>
  <c r="V10813" i="1"/>
  <c r="V10814" i="1"/>
  <c r="V10815" i="1"/>
  <c r="V10816" i="1"/>
  <c r="V10817" i="1"/>
  <c r="V10818" i="1"/>
  <c r="V10819" i="1"/>
  <c r="V10820" i="1"/>
  <c r="V10821" i="1"/>
  <c r="V10822" i="1"/>
  <c r="V10823" i="1"/>
  <c r="V10824" i="1"/>
  <c r="V10825" i="1"/>
  <c r="V10826" i="1"/>
  <c r="V10827" i="1"/>
  <c r="V10828" i="1"/>
  <c r="V10829" i="1"/>
  <c r="V10830" i="1"/>
  <c r="V10831" i="1"/>
  <c r="V10832" i="1"/>
  <c r="V10833" i="1"/>
  <c r="V10834" i="1"/>
  <c r="V10835" i="1"/>
  <c r="V10836" i="1"/>
  <c r="V10837" i="1"/>
  <c r="V10838" i="1"/>
  <c r="V10839" i="1"/>
  <c r="V10840" i="1"/>
  <c r="V10841" i="1"/>
  <c r="V10842" i="1"/>
  <c r="V10843" i="1"/>
  <c r="V10844" i="1"/>
  <c r="V10845" i="1"/>
  <c r="V10846" i="1"/>
  <c r="V10847" i="1"/>
  <c r="V10848" i="1"/>
  <c r="V10849" i="1"/>
  <c r="V10850" i="1"/>
  <c r="V10851" i="1"/>
  <c r="V10636" i="1"/>
  <c r="V10420" i="1"/>
  <c r="V10421" i="1"/>
  <c r="V10422" i="1"/>
  <c r="V10423" i="1"/>
  <c r="V10424" i="1"/>
  <c r="V10425" i="1"/>
  <c r="V10426" i="1"/>
  <c r="V10427" i="1"/>
  <c r="V10428" i="1"/>
  <c r="V10429" i="1"/>
  <c r="V10430" i="1"/>
  <c r="V10431" i="1"/>
  <c r="V10432" i="1"/>
  <c r="V10433" i="1"/>
  <c r="V10434" i="1"/>
  <c r="V10435" i="1"/>
  <c r="V10436" i="1"/>
  <c r="V10437" i="1"/>
  <c r="V10438" i="1"/>
  <c r="V10439" i="1"/>
  <c r="V10440" i="1"/>
  <c r="V10441" i="1"/>
  <c r="V10442" i="1"/>
  <c r="V10443" i="1"/>
  <c r="V10444" i="1"/>
  <c r="V10445" i="1"/>
  <c r="V10446" i="1"/>
  <c r="V10447" i="1"/>
  <c r="V10448" i="1"/>
  <c r="V10449" i="1"/>
  <c r="V10450" i="1"/>
  <c r="V10451" i="1"/>
  <c r="V10452" i="1"/>
  <c r="V10453" i="1"/>
  <c r="V10454" i="1"/>
  <c r="V10455" i="1"/>
  <c r="V10456" i="1"/>
  <c r="V10457" i="1"/>
  <c r="V10458" i="1"/>
  <c r="V10459" i="1"/>
  <c r="V10460" i="1"/>
  <c r="V10461" i="1"/>
  <c r="V10462" i="1"/>
  <c r="V10463" i="1"/>
  <c r="V10464" i="1"/>
  <c r="V10465" i="1"/>
  <c r="V10466" i="1"/>
  <c r="V10467" i="1"/>
  <c r="V10468" i="1"/>
  <c r="V10469" i="1"/>
  <c r="V10470" i="1"/>
  <c r="V10471" i="1"/>
  <c r="V10472" i="1"/>
  <c r="V10473" i="1"/>
  <c r="V10474" i="1"/>
  <c r="V10475" i="1"/>
  <c r="V10476" i="1"/>
  <c r="V10477" i="1"/>
  <c r="V10478" i="1"/>
  <c r="V10479" i="1"/>
  <c r="V10480" i="1"/>
  <c r="V10481" i="1"/>
  <c r="V10482" i="1"/>
  <c r="V10483" i="1"/>
  <c r="V10484" i="1"/>
  <c r="V10485" i="1"/>
  <c r="V10486" i="1"/>
  <c r="V10487" i="1"/>
  <c r="V10488" i="1"/>
  <c r="V10489" i="1"/>
  <c r="V10490" i="1"/>
  <c r="V10491" i="1"/>
  <c r="V10492" i="1"/>
  <c r="V10493" i="1"/>
  <c r="V10494" i="1"/>
  <c r="V10495" i="1"/>
  <c r="V10496" i="1"/>
  <c r="V10497" i="1"/>
  <c r="V10498" i="1"/>
  <c r="V10499" i="1"/>
  <c r="V10500" i="1"/>
  <c r="V10501" i="1"/>
  <c r="V10502" i="1"/>
  <c r="V10503" i="1"/>
  <c r="V10504" i="1"/>
  <c r="V10505" i="1"/>
  <c r="V10506" i="1"/>
  <c r="V10507" i="1"/>
  <c r="V10508" i="1"/>
  <c r="V10509" i="1"/>
  <c r="V10510" i="1"/>
  <c r="V10511" i="1"/>
  <c r="V10512" i="1"/>
  <c r="V10513" i="1"/>
  <c r="V10514" i="1"/>
  <c r="V10515" i="1"/>
  <c r="V10516" i="1"/>
  <c r="V10517" i="1"/>
  <c r="V10518" i="1"/>
  <c r="V10519" i="1"/>
  <c r="V10520" i="1"/>
  <c r="V10521" i="1"/>
  <c r="V10522" i="1"/>
  <c r="V10523" i="1"/>
  <c r="V10524" i="1"/>
  <c r="V10525" i="1"/>
  <c r="V10526" i="1"/>
  <c r="V10527" i="1"/>
  <c r="V10528" i="1"/>
  <c r="V10529" i="1"/>
  <c r="V10530" i="1"/>
  <c r="V10531" i="1"/>
  <c r="V10532" i="1"/>
  <c r="V10533" i="1"/>
  <c r="V10534" i="1"/>
  <c r="V10535" i="1"/>
  <c r="V10536" i="1"/>
  <c r="V10537" i="1"/>
  <c r="V10538" i="1"/>
  <c r="V10539" i="1"/>
  <c r="V10540" i="1"/>
  <c r="V10541" i="1"/>
  <c r="V10542" i="1"/>
  <c r="V10543" i="1"/>
  <c r="V10544" i="1"/>
  <c r="V10545" i="1"/>
  <c r="V10546" i="1"/>
  <c r="V10547" i="1"/>
  <c r="V10548" i="1"/>
  <c r="V10549" i="1"/>
  <c r="V10550" i="1"/>
  <c r="V10551" i="1"/>
  <c r="V10552" i="1"/>
  <c r="V10553" i="1"/>
  <c r="V10554" i="1"/>
  <c r="V10555" i="1"/>
  <c r="V10556" i="1"/>
  <c r="V10557" i="1"/>
  <c r="V10558" i="1"/>
  <c r="V10559" i="1"/>
  <c r="V10560" i="1"/>
  <c r="V10561" i="1"/>
  <c r="V10562" i="1"/>
  <c r="V10563" i="1"/>
  <c r="V10564" i="1"/>
  <c r="V10565" i="1"/>
  <c r="V10566" i="1"/>
  <c r="V10567" i="1"/>
  <c r="V10568" i="1"/>
  <c r="V10569" i="1"/>
  <c r="V10570" i="1"/>
  <c r="V10571" i="1"/>
  <c r="V10572" i="1"/>
  <c r="V10573" i="1"/>
  <c r="V10574" i="1"/>
  <c r="V10575" i="1"/>
  <c r="V10576" i="1"/>
  <c r="V10577" i="1"/>
  <c r="V10578" i="1"/>
  <c r="V10579" i="1"/>
  <c r="V10580" i="1"/>
  <c r="V10581" i="1"/>
  <c r="V10582" i="1"/>
  <c r="V10583" i="1"/>
  <c r="V10584" i="1"/>
  <c r="V10585" i="1"/>
  <c r="V10586" i="1"/>
  <c r="V10587" i="1"/>
  <c r="V10588" i="1"/>
  <c r="V10589" i="1"/>
  <c r="V10590" i="1"/>
  <c r="V10591" i="1"/>
  <c r="V10592" i="1"/>
  <c r="V10593" i="1"/>
  <c r="V10594" i="1"/>
  <c r="V10595" i="1"/>
  <c r="V10596" i="1"/>
  <c r="V10597" i="1"/>
  <c r="V10598" i="1"/>
  <c r="V10599" i="1"/>
  <c r="V10600" i="1"/>
  <c r="V10601" i="1"/>
  <c r="V10602" i="1"/>
  <c r="V10603" i="1"/>
  <c r="V10604" i="1"/>
  <c r="V10605" i="1"/>
  <c r="V10606" i="1"/>
  <c r="V10607" i="1"/>
  <c r="V10608" i="1"/>
  <c r="V10609" i="1"/>
  <c r="V10610" i="1"/>
  <c r="V10611" i="1"/>
  <c r="V10612" i="1"/>
  <c r="V10613" i="1"/>
  <c r="V10614" i="1"/>
  <c r="V10615" i="1"/>
  <c r="V10616" i="1"/>
  <c r="V10617" i="1"/>
  <c r="V10618" i="1"/>
  <c r="V10619" i="1"/>
  <c r="V10620" i="1"/>
  <c r="V10621" i="1"/>
  <c r="V10622" i="1"/>
  <c r="V10623" i="1"/>
  <c r="V10624" i="1"/>
  <c r="V10625" i="1"/>
  <c r="V10626" i="1"/>
  <c r="V10627" i="1"/>
  <c r="V10628" i="1"/>
  <c r="V10629" i="1"/>
  <c r="V10630" i="1"/>
  <c r="V10631" i="1"/>
  <c r="V10632" i="1"/>
  <c r="V10633" i="1"/>
  <c r="V10634" i="1"/>
  <c r="V10419"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10020" i="1"/>
  <c r="V10021" i="1"/>
  <c r="V10022" i="1"/>
  <c r="V10023" i="1"/>
  <c r="V10024" i="1"/>
  <c r="V10025" i="1"/>
  <c r="V10026" i="1"/>
  <c r="V10027" i="1"/>
  <c r="V10028" i="1"/>
  <c r="V10029" i="1"/>
  <c r="V10030" i="1"/>
  <c r="V10031" i="1"/>
  <c r="V10032" i="1"/>
  <c r="V10033" i="1"/>
  <c r="V10034" i="1"/>
  <c r="V10035" i="1"/>
  <c r="V10036" i="1"/>
  <c r="V10037" i="1"/>
  <c r="V10038" i="1"/>
  <c r="V10039" i="1"/>
  <c r="V10040" i="1"/>
  <c r="V10041" i="1"/>
  <c r="V10042" i="1"/>
  <c r="V10043" i="1"/>
  <c r="V10044" i="1"/>
  <c r="V10045" i="1"/>
  <c r="V10046" i="1"/>
  <c r="V10047" i="1"/>
  <c r="V10048" i="1"/>
  <c r="V10049" i="1"/>
  <c r="V10050" i="1"/>
  <c r="V10051" i="1"/>
  <c r="V10052" i="1"/>
  <c r="V10053" i="1"/>
  <c r="V10054" i="1"/>
  <c r="V10055" i="1"/>
  <c r="V10056" i="1"/>
  <c r="V10057" i="1"/>
  <c r="V10058" i="1"/>
  <c r="V10059" i="1"/>
  <c r="V10060" i="1"/>
  <c r="V10061" i="1"/>
  <c r="V10062" i="1"/>
  <c r="V10063" i="1"/>
  <c r="V10064" i="1"/>
  <c r="V10065" i="1"/>
  <c r="V10066" i="1"/>
  <c r="V10067" i="1"/>
  <c r="V10068" i="1"/>
  <c r="V10069" i="1"/>
  <c r="V10070" i="1"/>
  <c r="V10071" i="1"/>
  <c r="V10072" i="1"/>
  <c r="V10073" i="1"/>
  <c r="V10074" i="1"/>
  <c r="V10075" i="1"/>
  <c r="V10076" i="1"/>
  <c r="V10077" i="1"/>
  <c r="V10078" i="1"/>
  <c r="V10079" i="1"/>
  <c r="V10080" i="1"/>
  <c r="V10081" i="1"/>
  <c r="V10082" i="1"/>
  <c r="V10083" i="1"/>
  <c r="V10084" i="1"/>
  <c r="V10085" i="1"/>
  <c r="V10086" i="1"/>
  <c r="V10087" i="1"/>
  <c r="V10088" i="1"/>
  <c r="V10089" i="1"/>
  <c r="V10090" i="1"/>
  <c r="V10091" i="1"/>
  <c r="V10092" i="1"/>
  <c r="V10093" i="1"/>
  <c r="V10094" i="1"/>
  <c r="V10095" i="1"/>
  <c r="V10096" i="1"/>
  <c r="V10097" i="1"/>
  <c r="V10098" i="1"/>
  <c r="V10099" i="1"/>
  <c r="V10100" i="1"/>
  <c r="V10101" i="1"/>
  <c r="V10102" i="1"/>
  <c r="V10103" i="1"/>
  <c r="V10104" i="1"/>
  <c r="V10105" i="1"/>
  <c r="V10106" i="1"/>
  <c r="V10107" i="1"/>
  <c r="V10108" i="1"/>
  <c r="V10109" i="1"/>
  <c r="V10110" i="1"/>
  <c r="V10111" i="1"/>
  <c r="V10112" i="1"/>
  <c r="V10113" i="1"/>
  <c r="V10114" i="1"/>
  <c r="V10115" i="1"/>
  <c r="V10116" i="1"/>
  <c r="V10117" i="1"/>
  <c r="V10118" i="1"/>
  <c r="V10119" i="1"/>
  <c r="V10120" i="1"/>
  <c r="V10121" i="1"/>
  <c r="V10122" i="1"/>
  <c r="V10123" i="1"/>
  <c r="V10124" i="1"/>
  <c r="V10125" i="1"/>
  <c r="V10126" i="1"/>
  <c r="V10127" i="1"/>
  <c r="V10128" i="1"/>
  <c r="V10129" i="1"/>
  <c r="V10130" i="1"/>
  <c r="V10131" i="1"/>
  <c r="V10132" i="1"/>
  <c r="V10133" i="1"/>
  <c r="V10134" i="1"/>
  <c r="V10135" i="1"/>
  <c r="V10136" i="1"/>
  <c r="V10137" i="1"/>
  <c r="V10138" i="1"/>
  <c r="V10139" i="1"/>
  <c r="V10140" i="1"/>
  <c r="V10141" i="1"/>
  <c r="V10142" i="1"/>
  <c r="V10143" i="1"/>
  <c r="V10144" i="1"/>
  <c r="V10145" i="1"/>
  <c r="V10146" i="1"/>
  <c r="V10147" i="1"/>
  <c r="V10148" i="1"/>
  <c r="V10149" i="1"/>
  <c r="V10150" i="1"/>
  <c r="V10151" i="1"/>
  <c r="V10152" i="1"/>
  <c r="V10153" i="1"/>
  <c r="V10154" i="1"/>
  <c r="V10155" i="1"/>
  <c r="V10156" i="1"/>
  <c r="V10157" i="1"/>
  <c r="V10158" i="1"/>
  <c r="V10159" i="1"/>
  <c r="V10160" i="1"/>
  <c r="V10161" i="1"/>
  <c r="V10162" i="1"/>
  <c r="V10163" i="1"/>
  <c r="V10164" i="1"/>
  <c r="V10165" i="1"/>
  <c r="V10166" i="1"/>
  <c r="V10167" i="1"/>
  <c r="V10168" i="1"/>
  <c r="V10169" i="1"/>
  <c r="V10170" i="1"/>
  <c r="V10171" i="1"/>
  <c r="V10172" i="1"/>
  <c r="V10173" i="1"/>
  <c r="V10174" i="1"/>
  <c r="V10175" i="1"/>
  <c r="V10176" i="1"/>
  <c r="V10177" i="1"/>
  <c r="V10178" i="1"/>
  <c r="V10179" i="1"/>
  <c r="V10180" i="1"/>
  <c r="V10181" i="1"/>
  <c r="V10182" i="1"/>
  <c r="V10183" i="1"/>
  <c r="V10184" i="1"/>
  <c r="V10185" i="1"/>
  <c r="V10186" i="1"/>
  <c r="V10187" i="1"/>
  <c r="V10188" i="1"/>
  <c r="V10189" i="1"/>
  <c r="V10190" i="1"/>
  <c r="V10191" i="1"/>
  <c r="V10192" i="1"/>
  <c r="V10193" i="1"/>
  <c r="V10194" i="1"/>
  <c r="V10195" i="1"/>
  <c r="V10196" i="1"/>
  <c r="V10197" i="1"/>
  <c r="V10198" i="1"/>
  <c r="V10199" i="1"/>
  <c r="V10200" i="1"/>
  <c r="V10202" i="1"/>
  <c r="V10203" i="1"/>
  <c r="V10204" i="1"/>
  <c r="V10205" i="1"/>
  <c r="V10206" i="1"/>
  <c r="V10207" i="1"/>
  <c r="V10208" i="1"/>
  <c r="V10209" i="1"/>
  <c r="V10210" i="1"/>
  <c r="V10211" i="1"/>
  <c r="V10212" i="1"/>
  <c r="V10213" i="1"/>
  <c r="V10214" i="1"/>
  <c r="V10215" i="1"/>
  <c r="V10216" i="1"/>
  <c r="V10217" i="1"/>
  <c r="V10218" i="1"/>
  <c r="V10219" i="1"/>
  <c r="V10220" i="1"/>
  <c r="V10221" i="1"/>
  <c r="V10222" i="1"/>
  <c r="V10223" i="1"/>
  <c r="V10224" i="1"/>
  <c r="V10225" i="1"/>
  <c r="V10226" i="1"/>
  <c r="V10227" i="1"/>
  <c r="V10228" i="1"/>
  <c r="V10229" i="1"/>
  <c r="V10230" i="1"/>
  <c r="V10231" i="1"/>
  <c r="V10232" i="1"/>
  <c r="V10233" i="1"/>
  <c r="V10234" i="1"/>
  <c r="V10235" i="1"/>
  <c r="V10236" i="1"/>
  <c r="V10237" i="1"/>
  <c r="V10238" i="1"/>
  <c r="V10239" i="1"/>
  <c r="V10240" i="1"/>
  <c r="V10241" i="1"/>
  <c r="V10242" i="1"/>
  <c r="V10243" i="1"/>
  <c r="V10244" i="1"/>
  <c r="V10245" i="1"/>
  <c r="V10246" i="1"/>
  <c r="V10247" i="1"/>
  <c r="V10248" i="1"/>
  <c r="V10249" i="1"/>
  <c r="V10250" i="1"/>
  <c r="V10251" i="1"/>
  <c r="V10252" i="1"/>
  <c r="V10253" i="1"/>
  <c r="V10254" i="1"/>
  <c r="V10255" i="1"/>
  <c r="V10256" i="1"/>
  <c r="V10257" i="1"/>
  <c r="V10258" i="1"/>
  <c r="V10259" i="1"/>
  <c r="V10260" i="1"/>
  <c r="V10261" i="1"/>
  <c r="V10262" i="1"/>
  <c r="V10263" i="1"/>
  <c r="V10264" i="1"/>
  <c r="V10265" i="1"/>
  <c r="V10266" i="1"/>
  <c r="V10267" i="1"/>
  <c r="V10268" i="1"/>
  <c r="V10269" i="1"/>
  <c r="V10270" i="1"/>
  <c r="V10271" i="1"/>
  <c r="V10272" i="1"/>
  <c r="V10273" i="1"/>
  <c r="V10274" i="1"/>
  <c r="V10275" i="1"/>
  <c r="V10276" i="1"/>
  <c r="V10277" i="1"/>
  <c r="V10278" i="1"/>
  <c r="V10279" i="1"/>
  <c r="V10280" i="1"/>
  <c r="V10281" i="1"/>
  <c r="V10282" i="1"/>
  <c r="V10283" i="1"/>
  <c r="V10284" i="1"/>
  <c r="V10285" i="1"/>
  <c r="V10286" i="1"/>
  <c r="V10287" i="1"/>
  <c r="V10288" i="1"/>
  <c r="V10289" i="1"/>
  <c r="V10290" i="1"/>
  <c r="V10291" i="1"/>
  <c r="V10292" i="1"/>
  <c r="V10293" i="1"/>
  <c r="V10294" i="1"/>
  <c r="V10295" i="1"/>
  <c r="V10296" i="1"/>
  <c r="V10297" i="1"/>
  <c r="V10298" i="1"/>
  <c r="V10299" i="1"/>
  <c r="V10300" i="1"/>
  <c r="V10301" i="1"/>
  <c r="V10302" i="1"/>
  <c r="V10303" i="1"/>
  <c r="V10304" i="1"/>
  <c r="V10305" i="1"/>
  <c r="V10306" i="1"/>
  <c r="V10307" i="1"/>
  <c r="V10308" i="1"/>
  <c r="V10309" i="1"/>
  <c r="V10310" i="1"/>
  <c r="V10311" i="1"/>
  <c r="V10312" i="1"/>
  <c r="V10313" i="1"/>
  <c r="V10314" i="1"/>
  <c r="V10315" i="1"/>
  <c r="V10316" i="1"/>
  <c r="V10317" i="1"/>
  <c r="V10318" i="1"/>
  <c r="V10319" i="1"/>
  <c r="V10320" i="1"/>
  <c r="V10321" i="1"/>
  <c r="V10322" i="1"/>
  <c r="V10323" i="1"/>
  <c r="V10324" i="1"/>
  <c r="V10325" i="1"/>
  <c r="V10326" i="1"/>
  <c r="V10327" i="1"/>
  <c r="V10328" i="1"/>
  <c r="V10329" i="1"/>
  <c r="V10330" i="1"/>
  <c r="V10331" i="1"/>
  <c r="V10332" i="1"/>
  <c r="V10333" i="1"/>
  <c r="V10334" i="1"/>
  <c r="V10335" i="1"/>
  <c r="V10336" i="1"/>
  <c r="V10337" i="1"/>
  <c r="V10338" i="1"/>
  <c r="V10339" i="1"/>
  <c r="V10340" i="1"/>
  <c r="V10341" i="1"/>
  <c r="V10342" i="1"/>
  <c r="V10343" i="1"/>
  <c r="V10344" i="1"/>
  <c r="V10345" i="1"/>
  <c r="V10346" i="1"/>
  <c r="V10347" i="1"/>
  <c r="V10348" i="1"/>
  <c r="V10349" i="1"/>
  <c r="V10350" i="1"/>
  <c r="V10351" i="1"/>
  <c r="V10352" i="1"/>
  <c r="V10353" i="1"/>
  <c r="V10354" i="1"/>
  <c r="V10355" i="1"/>
  <c r="V10356" i="1"/>
  <c r="V10357" i="1"/>
  <c r="V10358" i="1"/>
  <c r="V10359" i="1"/>
  <c r="V10360" i="1"/>
  <c r="V10361" i="1"/>
  <c r="V10362" i="1"/>
  <c r="V10363" i="1"/>
  <c r="V10364" i="1"/>
  <c r="V10365" i="1"/>
  <c r="V10366" i="1"/>
  <c r="V10367" i="1"/>
  <c r="V10368" i="1"/>
  <c r="V10369" i="1"/>
  <c r="V10370" i="1"/>
  <c r="V10371" i="1"/>
  <c r="V10372" i="1"/>
  <c r="V10373" i="1"/>
  <c r="V10374" i="1"/>
  <c r="V10375" i="1"/>
  <c r="V10376" i="1"/>
  <c r="V10377" i="1"/>
  <c r="V10378" i="1"/>
  <c r="V10379" i="1"/>
  <c r="V10380" i="1"/>
  <c r="V10381" i="1"/>
  <c r="V10382" i="1"/>
  <c r="V10383" i="1"/>
  <c r="V10384" i="1"/>
  <c r="V10385" i="1"/>
  <c r="V10386" i="1"/>
  <c r="V10387" i="1"/>
  <c r="V10388" i="1"/>
  <c r="V10389" i="1"/>
  <c r="V10390" i="1"/>
  <c r="V10391" i="1"/>
  <c r="V10392" i="1"/>
  <c r="V10393" i="1"/>
  <c r="V10394" i="1"/>
  <c r="V10395" i="1"/>
  <c r="V10396" i="1"/>
  <c r="V10397" i="1"/>
  <c r="V10398" i="1"/>
  <c r="V10399" i="1"/>
  <c r="V10400" i="1"/>
  <c r="V10401" i="1"/>
  <c r="V10402" i="1"/>
  <c r="V10403" i="1"/>
  <c r="V10404" i="1"/>
  <c r="V10405" i="1"/>
  <c r="V10406" i="1"/>
  <c r="V10407" i="1"/>
  <c r="V10408" i="1"/>
  <c r="V10409" i="1"/>
  <c r="V10410" i="1"/>
  <c r="V10411" i="1"/>
  <c r="V10412" i="1"/>
  <c r="V10413" i="1"/>
  <c r="V10414" i="1"/>
  <c r="V10415" i="1"/>
  <c r="V10416" i="1"/>
  <c r="V10417" i="1"/>
  <c r="V9985"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768"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551"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334"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117"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8900"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683"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249"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7815"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598"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381"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164"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6947"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296"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5862"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1" i="1"/>
  <c r="V5428"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7" i="1"/>
  <c r="V5211"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777"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343"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126"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3909"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475"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258"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041"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2824"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07"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390"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173"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1956"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739"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522"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305"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088"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871"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654"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437"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4" i="1"/>
  <c r="I14389"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3891" i="1"/>
  <c r="I11701" i="1"/>
  <c r="I11700" i="1"/>
  <c r="I11699" i="1"/>
  <c r="I11698" i="1"/>
  <c r="I11697" i="1"/>
  <c r="I11696" i="1"/>
  <c r="J11443" i="1"/>
  <c r="J11442" i="1"/>
  <c r="J11441" i="1"/>
  <c r="J11440" i="1"/>
  <c r="J11439" i="1"/>
  <c r="J11438" i="1"/>
  <c r="J11437" i="1"/>
  <c r="J11436" i="1"/>
  <c r="J11435" i="1"/>
  <c r="J11434" i="1"/>
  <c r="J11433" i="1"/>
  <c r="J11432" i="1"/>
  <c r="J11431" i="1"/>
  <c r="J11430" i="1"/>
  <c r="J11429" i="1"/>
  <c r="J11428" i="1"/>
  <c r="J11427" i="1"/>
  <c r="J11426" i="1"/>
  <c r="J11425" i="1"/>
  <c r="J11424" i="1"/>
  <c r="J11423" i="1"/>
  <c r="J11422" i="1"/>
  <c r="J11421" i="1"/>
  <c r="J11420" i="1"/>
  <c r="J11419" i="1"/>
  <c r="J11418" i="1"/>
  <c r="J11417" i="1"/>
  <c r="J11416" i="1"/>
  <c r="J11415" i="1"/>
  <c r="J11414" i="1"/>
  <c r="J11413" i="1"/>
  <c r="J11412" i="1"/>
  <c r="J11411" i="1"/>
  <c r="J11410" i="1"/>
  <c r="I11492" i="1"/>
  <c r="I11491" i="1"/>
  <c r="I11490" i="1"/>
  <c r="I11489" i="1"/>
  <c r="I11488" i="1"/>
  <c r="I11487" i="1"/>
  <c r="I11486" i="1"/>
  <c r="I11485" i="1"/>
  <c r="I11484" i="1"/>
  <c r="I11483" i="1"/>
  <c r="I11482" i="1"/>
  <c r="I11481" i="1"/>
  <c r="I11480" i="1"/>
  <c r="I11479" i="1"/>
  <c r="I11478" i="1"/>
  <c r="I11477" i="1"/>
  <c r="I11476" i="1"/>
  <c r="I11475" i="1"/>
  <c r="I11474" i="1"/>
  <c r="I11473" i="1"/>
  <c r="I11472" i="1"/>
  <c r="I11471" i="1"/>
  <c r="I11470" i="1"/>
  <c r="I11469" i="1"/>
  <c r="I11468" i="1"/>
  <c r="I11467" i="1"/>
  <c r="I11466" i="1"/>
  <c r="I11465"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K11070" i="1"/>
  <c r="I11070" i="1"/>
  <c r="J10564" i="1"/>
  <c r="J10563" i="1"/>
  <c r="J10562" i="1"/>
  <c r="J10561" i="1"/>
  <c r="J10560" i="1"/>
  <c r="J10559" i="1"/>
  <c r="J10558" i="1"/>
  <c r="J10557" i="1"/>
  <c r="J10556" i="1"/>
  <c r="J10555" i="1"/>
  <c r="J10554" i="1"/>
  <c r="J10553" i="1"/>
  <c r="J10552" i="1"/>
  <c r="J10551" i="1"/>
  <c r="J10550" i="1"/>
  <c r="J10549" i="1"/>
  <c r="J10548" i="1"/>
  <c r="J10547" i="1"/>
  <c r="J10546" i="1"/>
  <c r="J10545" i="1"/>
  <c r="J10544" i="1"/>
  <c r="J10543" i="1"/>
  <c r="J10542" i="1"/>
  <c r="J10541" i="1"/>
  <c r="J10540" i="1"/>
  <c r="J10539" i="1"/>
  <c r="J10538" i="1"/>
  <c r="J10537" i="1"/>
  <c r="J10536" i="1"/>
  <c r="J10535" i="1"/>
  <c r="J10534" i="1"/>
  <c r="J10533" i="1"/>
  <c r="J10532" i="1"/>
  <c r="J10531" i="1"/>
  <c r="J10530" i="1"/>
  <c r="J10529" i="1"/>
  <c r="J10528" i="1"/>
  <c r="J10527" i="1"/>
  <c r="J10526" i="1"/>
  <c r="J10525" i="1"/>
  <c r="J10524" i="1"/>
  <c r="J10523" i="1"/>
  <c r="J10522" i="1"/>
  <c r="J10521" i="1"/>
  <c r="J10520" i="1"/>
  <c r="J10519" i="1"/>
  <c r="J10518" i="1"/>
  <c r="J10517" i="1"/>
  <c r="J10516" i="1"/>
  <c r="J10515" i="1"/>
  <c r="J10514" i="1"/>
  <c r="J10513" i="1"/>
  <c r="J10512" i="1"/>
  <c r="J10511" i="1"/>
  <c r="J10510" i="1"/>
  <c r="J10509" i="1"/>
  <c r="J10508" i="1"/>
  <c r="J10507" i="1"/>
  <c r="J10506" i="1"/>
  <c r="J10505" i="1"/>
  <c r="J10504" i="1"/>
  <c r="J10503" i="1"/>
  <c r="J10502" i="1"/>
  <c r="I10609" i="1"/>
  <c r="I10608" i="1"/>
  <c r="I10607" i="1"/>
  <c r="I10606" i="1"/>
  <c r="I10605" i="1"/>
  <c r="I10604" i="1"/>
  <c r="I10603" i="1"/>
  <c r="I10602" i="1"/>
  <c r="I10601" i="1"/>
  <c r="I10600" i="1"/>
  <c r="I10599" i="1"/>
  <c r="I10598" i="1"/>
  <c r="I10597" i="1"/>
  <c r="I10596" i="1"/>
  <c r="I10595" i="1"/>
  <c r="I10594" i="1"/>
  <c r="I10593" i="1"/>
  <c r="I10592" i="1"/>
  <c r="I10591" i="1"/>
  <c r="I10590" i="1"/>
  <c r="I10589" i="1"/>
  <c r="I10588" i="1"/>
  <c r="I10587" i="1"/>
  <c r="I10586" i="1"/>
  <c r="I10585" i="1"/>
  <c r="I10584" i="1"/>
  <c r="I10583" i="1"/>
  <c r="I10582" i="1"/>
  <c r="I10581" i="1"/>
  <c r="I10580" i="1"/>
  <c r="I10579" i="1"/>
  <c r="I10578" i="1"/>
  <c r="I10577" i="1"/>
  <c r="I10576" i="1"/>
  <c r="I10575" i="1"/>
  <c r="I10574" i="1"/>
  <c r="I10573" i="1"/>
  <c r="I10572" i="1"/>
  <c r="I10571" i="1"/>
  <c r="I10570" i="1"/>
  <c r="I10569" i="1"/>
  <c r="I10568" i="1"/>
  <c r="I10567" i="1"/>
  <c r="I10566" i="1"/>
  <c r="I10565" i="1"/>
  <c r="J10345" i="1"/>
  <c r="J10344" i="1"/>
  <c r="J10343" i="1"/>
  <c r="J10342" i="1"/>
  <c r="J10341" i="1"/>
  <c r="J10340" i="1"/>
  <c r="J10339" i="1"/>
  <c r="J10338" i="1"/>
  <c r="J10337" i="1"/>
  <c r="J10336" i="1"/>
  <c r="J10335" i="1"/>
  <c r="J10334" i="1"/>
  <c r="J10333" i="1"/>
  <c r="J10332" i="1"/>
  <c r="J10331" i="1"/>
  <c r="J10330" i="1"/>
  <c r="J10329" i="1"/>
  <c r="J10328" i="1"/>
  <c r="J10327" i="1"/>
  <c r="J10326" i="1"/>
  <c r="J10325" i="1"/>
  <c r="J10324" i="1"/>
  <c r="J10323" i="1"/>
  <c r="J10322" i="1"/>
  <c r="J10321" i="1"/>
  <c r="J10320" i="1"/>
  <c r="J10319" i="1"/>
  <c r="J10318" i="1"/>
  <c r="J10317" i="1"/>
  <c r="J10316" i="1"/>
  <c r="J10315" i="1"/>
  <c r="J10314" i="1"/>
  <c r="J10313" i="1"/>
  <c r="J10312" i="1"/>
  <c r="J10311" i="1"/>
  <c r="J10310" i="1"/>
  <c r="J10309" i="1"/>
  <c r="J10308" i="1"/>
  <c r="J10307" i="1"/>
  <c r="J10306" i="1"/>
  <c r="J10305"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J9481" i="1"/>
  <c r="J9480" i="1"/>
  <c r="J9479" i="1"/>
  <c r="J9478" i="1"/>
  <c r="J9477" i="1"/>
  <c r="J9476" i="1"/>
  <c r="J9475" i="1"/>
  <c r="J9474" i="1"/>
  <c r="J9473" i="1"/>
  <c r="J9472" i="1"/>
  <c r="J9471" i="1"/>
  <c r="J9470" i="1"/>
  <c r="J9469" i="1"/>
  <c r="J9468" i="1"/>
  <c r="J9467" i="1"/>
  <c r="J9466" i="1"/>
  <c r="J9465" i="1"/>
  <c r="J9464" i="1"/>
  <c r="J9463" i="1"/>
  <c r="J9462" i="1"/>
  <c r="J9461" i="1"/>
  <c r="J9460" i="1"/>
  <c r="J9459" i="1"/>
  <c r="J9458" i="1"/>
  <c r="J9457" i="1"/>
  <c r="J9456" i="1"/>
  <c r="J9455" i="1"/>
  <c r="J9454" i="1"/>
  <c r="J9453" i="1"/>
  <c r="J9452" i="1"/>
  <c r="J9451" i="1"/>
  <c r="J9450" i="1"/>
  <c r="J9449" i="1"/>
  <c r="J9448" i="1"/>
  <c r="J9447" i="1"/>
  <c r="J9446" i="1"/>
  <c r="J9445" i="1"/>
  <c r="J9444" i="1"/>
  <c r="J9443" i="1"/>
  <c r="J9442" i="1"/>
  <c r="J9441" i="1"/>
  <c r="J9440" i="1"/>
  <c r="J9439" i="1"/>
  <c r="J9438" i="1"/>
  <c r="J9437" i="1"/>
  <c r="J9436" i="1"/>
  <c r="J9435" i="1"/>
  <c r="I9524" i="1"/>
  <c r="I9523" i="1"/>
  <c r="I9522" i="1"/>
  <c r="I9521" i="1"/>
  <c r="I9520" i="1"/>
  <c r="I9519" i="1"/>
  <c r="I9518" i="1"/>
  <c r="I9517" i="1"/>
  <c r="I9516" i="1"/>
  <c r="I9515" i="1"/>
  <c r="I9514" i="1"/>
  <c r="I9513" i="1"/>
  <c r="I9512" i="1"/>
  <c r="I9511" i="1"/>
  <c r="I9510" i="1"/>
  <c r="I9509" i="1"/>
  <c r="I9508" i="1"/>
  <c r="I9507" i="1"/>
  <c r="I9506" i="1"/>
  <c r="I9505"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J8394" i="1"/>
  <c r="J8393" i="1"/>
  <c r="J8392" i="1"/>
  <c r="J8391" i="1"/>
  <c r="J8390" i="1"/>
  <c r="J8389" i="1"/>
  <c r="J8388" i="1"/>
  <c r="J8387" i="1"/>
  <c r="J8386" i="1"/>
  <c r="J8385" i="1"/>
  <c r="J8384" i="1"/>
  <c r="J8383" i="1"/>
  <c r="J8382" i="1"/>
  <c r="J8381" i="1"/>
  <c r="J8380" i="1"/>
  <c r="J8379" i="1"/>
  <c r="J8378" i="1"/>
  <c r="J8377" i="1"/>
  <c r="J8376" i="1"/>
  <c r="J8375" i="1"/>
  <c r="J8374" i="1"/>
  <c r="J8373" i="1"/>
  <c r="J8372" i="1"/>
  <c r="J8371" i="1"/>
  <c r="J8370" i="1"/>
  <c r="J8369" i="1"/>
  <c r="J8368" i="1"/>
  <c r="J8367" i="1"/>
  <c r="J8366" i="1"/>
  <c r="J8365" i="1"/>
  <c r="J8364" i="1"/>
  <c r="J8363" i="1"/>
  <c r="J8362" i="1"/>
  <c r="J8361" i="1"/>
  <c r="J8360" i="1"/>
  <c r="J8359" i="1"/>
  <c r="J8358" i="1"/>
  <c r="J8357" i="1"/>
  <c r="J8356" i="1"/>
  <c r="J8355" i="1"/>
  <c r="J8354" i="1"/>
  <c r="J8353" i="1"/>
  <c r="J8352" i="1"/>
  <c r="J8351" i="1"/>
  <c r="J8350" i="1"/>
  <c r="J8349" i="1"/>
  <c r="J8348" i="1"/>
  <c r="J8347" i="1"/>
  <c r="J8346" i="1"/>
  <c r="J8345" i="1"/>
  <c r="J8344" i="1"/>
  <c r="J8343" i="1"/>
  <c r="J8342" i="1"/>
  <c r="J8341" i="1"/>
  <c r="J8340" i="1"/>
  <c r="J8339" i="1"/>
  <c r="J8338" i="1"/>
  <c r="J8337" i="1"/>
  <c r="J8336" i="1"/>
  <c r="J8335" i="1"/>
  <c r="J8334" i="1"/>
  <c r="J8333" i="1"/>
  <c r="J8332" i="1"/>
  <c r="J8331" i="1"/>
  <c r="J8330" i="1"/>
  <c r="J8329" i="1"/>
  <c r="J8328" i="1"/>
  <c r="J8327" i="1"/>
  <c r="J8326" i="1"/>
  <c r="J8325" i="1"/>
  <c r="J8324" i="1"/>
  <c r="J8323" i="1"/>
  <c r="J8322" i="1"/>
  <c r="J8321" i="1"/>
  <c r="J8320" i="1"/>
  <c r="J8319" i="1"/>
  <c r="J8318" i="1"/>
  <c r="J8317" i="1"/>
  <c r="J8316" i="1"/>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7" i="1"/>
  <c r="I8406" i="1"/>
  <c r="I8405" i="1"/>
  <c r="I8404" i="1"/>
  <c r="I8403" i="1"/>
  <c r="I8402" i="1"/>
  <c r="I8401" i="1"/>
  <c r="I8400" i="1"/>
  <c r="I8399" i="1"/>
  <c r="I8398" i="1"/>
  <c r="I8397" i="1"/>
  <c r="I8396" i="1"/>
  <c r="I8395"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I6677" i="1"/>
  <c r="I6676" i="1"/>
  <c r="I6675" i="1"/>
  <c r="I6674" i="1"/>
  <c r="I6673" i="1"/>
  <c r="I6672" i="1"/>
  <c r="I6671" i="1"/>
  <c r="I6670" i="1"/>
  <c r="I6669" i="1"/>
  <c r="I6668" i="1"/>
  <c r="I6667" i="1"/>
  <c r="I6666" i="1"/>
  <c r="I6665" i="1"/>
  <c r="I6664" i="1"/>
  <c r="I6663" i="1"/>
  <c r="I6662" i="1"/>
  <c r="I6661" i="1"/>
  <c r="I6660" i="1"/>
  <c r="I66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1489" i="1"/>
  <c r="I1488" i="1"/>
  <c r="I11221" i="1"/>
  <c r="I11222" i="1"/>
  <c r="I11223" i="1"/>
  <c r="K415"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alcChain>
</file>

<file path=xl/comments1.xml><?xml version="1.0" encoding="utf-8"?>
<comments xmlns="http://schemas.openxmlformats.org/spreadsheetml/2006/main">
  <authors>
    <author>Kylie Zhang</author>
    <author>Carmen</author>
    <author xml:space="preserve"> Online</author>
    <author>Ioannis Tokatlidis</author>
  </authors>
  <commentList>
    <comment ref="I219" authorId="0" shapeId="0">
      <text>
        <r>
          <rPr>
            <b/>
            <sz val="9"/>
            <color indexed="81"/>
            <rFont val="Tahoma"/>
            <family val="2"/>
          </rPr>
          <t>Kylie Zhang:</t>
        </r>
        <r>
          <rPr>
            <sz val="9"/>
            <color indexed="81"/>
            <rFont val="Tahoma"/>
            <family val="2"/>
          </rPr>
          <t xml:space="preserve">
JUNE Datastream
</t>
        </r>
      </text>
    </comment>
    <comment ref="E412" authorId="1" shapeId="0">
      <text>
        <r>
          <rPr>
            <b/>
            <sz val="9"/>
            <color indexed="81"/>
            <rFont val="Tahoma"/>
            <family val="2"/>
          </rPr>
          <t>Carmen:</t>
        </r>
        <r>
          <rPr>
            <sz val="9"/>
            <color indexed="81"/>
            <rFont val="Tahoma"/>
            <family val="2"/>
          </rPr>
          <t xml:space="preserve">
Not a systemic banking crisis</t>
        </r>
      </text>
    </comment>
    <comment ref="L435" authorId="1" shapeId="0">
      <text>
        <r>
          <rPr>
            <b/>
            <sz val="9"/>
            <color indexed="81"/>
            <rFont val="Tahoma"/>
            <family val="2"/>
          </rPr>
          <t>Carmen:</t>
        </r>
        <r>
          <rPr>
            <sz val="9"/>
            <color indexed="81"/>
            <rFont val="Tahoma"/>
            <family val="2"/>
          </rPr>
          <t xml:space="preserve">
August</t>
        </r>
      </text>
    </comment>
    <comment ref="I436" authorId="0" shapeId="0">
      <text>
        <r>
          <rPr>
            <b/>
            <sz val="9"/>
            <color indexed="81"/>
            <rFont val="Tahoma"/>
            <family val="2"/>
          </rPr>
          <t>Kylie Zhang:</t>
        </r>
        <r>
          <rPr>
            <sz val="9"/>
            <color indexed="81"/>
            <rFont val="Tahoma"/>
            <family val="2"/>
          </rPr>
          <t xml:space="preserve">
JUNE Datastream
</t>
        </r>
      </text>
    </comment>
    <comment ref="L436" authorId="1" shapeId="0">
      <text>
        <r>
          <rPr>
            <b/>
            <sz val="9"/>
            <color indexed="81"/>
            <rFont val="Tahoma"/>
            <family val="2"/>
          </rPr>
          <t>Carmen:</t>
        </r>
        <r>
          <rPr>
            <sz val="9"/>
            <color indexed="81"/>
            <rFont val="Tahoma"/>
            <family val="2"/>
          </rPr>
          <t xml:space="preserve">
August</t>
        </r>
      </text>
    </comment>
    <comment ref="X643" authorId="1" shapeId="0">
      <text>
        <r>
          <rPr>
            <b/>
            <sz val="9"/>
            <color indexed="81"/>
            <rFont val="Tahoma"/>
            <family val="2"/>
          </rPr>
          <t>Carmen:</t>
        </r>
        <r>
          <rPr>
            <sz val="9"/>
            <color indexed="81"/>
            <rFont val="Tahoma"/>
            <family val="2"/>
          </rPr>
          <t xml:space="preserve">
Official data-severely understated.</t>
        </r>
      </text>
    </comment>
    <comment ref="I653" authorId="0" shapeId="0">
      <text>
        <r>
          <rPr>
            <b/>
            <sz val="9"/>
            <color indexed="81"/>
            <rFont val="Tahoma"/>
            <family val="2"/>
          </rPr>
          <t>Kylie Zhang:</t>
        </r>
        <r>
          <rPr>
            <sz val="9"/>
            <color indexed="81"/>
            <rFont val="Tahoma"/>
            <family val="2"/>
          </rPr>
          <t xml:space="preserve">
JUNE Datastream
</t>
        </r>
      </text>
    </comment>
    <comment ref="E843" authorId="1" shapeId="0">
      <text>
        <r>
          <rPr>
            <b/>
            <sz val="9"/>
            <color indexed="81"/>
            <rFont val="Tahoma"/>
            <family val="2"/>
          </rPr>
          <t>Carmen:</t>
        </r>
        <r>
          <rPr>
            <sz val="9"/>
            <color indexed="81"/>
            <rFont val="Tahoma"/>
            <family val="2"/>
          </rPr>
          <t xml:space="preserve">
Not a systemic crisis.</t>
        </r>
      </text>
    </comment>
    <comment ref="I870" authorId="0" shapeId="0">
      <text>
        <r>
          <rPr>
            <b/>
            <sz val="9"/>
            <color indexed="81"/>
            <rFont val="Tahoma"/>
            <family val="2"/>
          </rPr>
          <t>Kylie Zhang:</t>
        </r>
        <r>
          <rPr>
            <sz val="9"/>
            <color indexed="81"/>
            <rFont val="Tahoma"/>
            <family val="2"/>
          </rPr>
          <t xml:space="preserve">
JUNE Datastream
</t>
        </r>
      </text>
    </comment>
    <comment ref="I1086" authorId="1" shapeId="0">
      <text>
        <r>
          <rPr>
            <b/>
            <sz val="9"/>
            <color indexed="81"/>
            <rFont val="Tahoma"/>
            <family val="2"/>
          </rPr>
          <t>Carmen:</t>
        </r>
        <r>
          <rPr>
            <sz val="9"/>
            <color indexed="81"/>
            <rFont val="Tahoma"/>
            <family val="2"/>
          </rPr>
          <t xml:space="preserve">
August</t>
        </r>
      </text>
    </comment>
    <comment ref="I1087" authorId="0" shapeId="0">
      <text>
        <r>
          <rPr>
            <b/>
            <sz val="9"/>
            <color indexed="81"/>
            <rFont val="Tahoma"/>
            <family val="2"/>
          </rPr>
          <t>Kylie Zhang:</t>
        </r>
        <r>
          <rPr>
            <sz val="9"/>
            <color indexed="81"/>
            <rFont val="Tahoma"/>
            <family val="2"/>
          </rPr>
          <t xml:space="preserve">
SEPTEMBER
Oanda
</t>
        </r>
      </text>
    </comment>
    <comment ref="E1296" authorId="1" shapeId="0">
      <text>
        <r>
          <rPr>
            <b/>
            <sz val="9"/>
            <color indexed="81"/>
            <rFont val="Tahoma"/>
            <family val="2"/>
          </rPr>
          <t>Carmen:</t>
        </r>
        <r>
          <rPr>
            <sz val="9"/>
            <color indexed="81"/>
            <rFont val="Tahoma"/>
            <family val="2"/>
          </rPr>
          <t xml:space="preserve">
Unclear whether to characterize as systemic or not.</t>
        </r>
      </text>
    </comment>
    <comment ref="I1303" authorId="1" shapeId="0">
      <text>
        <r>
          <rPr>
            <b/>
            <sz val="9"/>
            <color indexed="81"/>
            <rFont val="Tahoma"/>
            <family val="2"/>
          </rPr>
          <t>Carmen:</t>
        </r>
        <r>
          <rPr>
            <sz val="9"/>
            <color indexed="81"/>
            <rFont val="Tahoma"/>
            <family val="2"/>
          </rPr>
          <t xml:space="preserve">
August</t>
        </r>
      </text>
    </comment>
    <comment ref="J1303" authorId="1" shapeId="0">
      <text>
        <r>
          <rPr>
            <b/>
            <sz val="9"/>
            <color indexed="81"/>
            <rFont val="Tahoma"/>
            <family val="2"/>
          </rPr>
          <t>Carmen:</t>
        </r>
        <r>
          <rPr>
            <sz val="9"/>
            <color indexed="81"/>
            <rFont val="Tahoma"/>
            <family val="2"/>
          </rPr>
          <t xml:space="preserve">
August</t>
        </r>
      </text>
    </comment>
    <comment ref="I1304" authorId="0" shapeId="0">
      <text>
        <r>
          <rPr>
            <b/>
            <sz val="9"/>
            <color indexed="81"/>
            <rFont val="Tahoma"/>
            <family val="2"/>
          </rPr>
          <t>Kylie Zhang:</t>
        </r>
        <r>
          <rPr>
            <sz val="9"/>
            <color indexed="81"/>
            <rFont val="Tahoma"/>
            <family val="2"/>
          </rPr>
          <t xml:space="preserve">
SEPTEMBER
Oanda
</t>
        </r>
      </text>
    </comment>
    <comment ref="E1504" authorId="1" shapeId="0">
      <text>
        <r>
          <rPr>
            <b/>
            <sz val="9"/>
            <color indexed="81"/>
            <rFont val="Tahoma"/>
            <family val="2"/>
          </rPr>
          <t>Carmen:</t>
        </r>
        <r>
          <rPr>
            <sz val="9"/>
            <color indexed="81"/>
            <rFont val="Tahoma"/>
            <family val="2"/>
          </rPr>
          <t xml:space="preserve">
Not a systemic crisis</t>
        </r>
      </text>
    </comment>
    <comment ref="J1520" authorId="1" shapeId="0">
      <text>
        <r>
          <rPr>
            <b/>
            <sz val="9"/>
            <color indexed="81"/>
            <rFont val="Tahoma"/>
            <family val="2"/>
          </rPr>
          <t>Carmen:</t>
        </r>
        <r>
          <rPr>
            <sz val="9"/>
            <color indexed="81"/>
            <rFont val="Tahoma"/>
            <family val="2"/>
          </rPr>
          <t xml:space="preserve">
August</t>
        </r>
      </text>
    </comment>
    <comment ref="K1520" authorId="1" shapeId="0">
      <text>
        <r>
          <rPr>
            <b/>
            <sz val="9"/>
            <color indexed="81"/>
            <rFont val="Tahoma"/>
            <family val="2"/>
          </rPr>
          <t>Carmen:</t>
        </r>
        <r>
          <rPr>
            <sz val="9"/>
            <color indexed="81"/>
            <rFont val="Tahoma"/>
            <family val="2"/>
          </rPr>
          <t xml:space="preserve">
August</t>
        </r>
      </text>
    </comment>
    <comment ref="J1521" authorId="1" shapeId="0">
      <text>
        <r>
          <rPr>
            <b/>
            <sz val="9"/>
            <color indexed="81"/>
            <rFont val="Tahoma"/>
            <family val="2"/>
          </rPr>
          <t>Carmen:</t>
        </r>
        <r>
          <rPr>
            <sz val="9"/>
            <color indexed="81"/>
            <rFont val="Tahoma"/>
            <family val="2"/>
          </rPr>
          <t xml:space="preserve">
August</t>
        </r>
      </text>
    </comment>
    <comment ref="K1521" authorId="1" shapeId="0">
      <text>
        <r>
          <rPr>
            <b/>
            <sz val="9"/>
            <color indexed="81"/>
            <rFont val="Tahoma"/>
            <family val="2"/>
          </rPr>
          <t>Carmen:</t>
        </r>
        <r>
          <rPr>
            <sz val="9"/>
            <color indexed="81"/>
            <rFont val="Tahoma"/>
            <family val="2"/>
          </rPr>
          <t xml:space="preserve">
August</t>
        </r>
      </text>
    </comment>
    <comment ref="J1737" authorId="1" shapeId="0">
      <text>
        <r>
          <rPr>
            <b/>
            <sz val="9"/>
            <color indexed="81"/>
            <rFont val="Tahoma"/>
            <family val="2"/>
          </rPr>
          <t>Carmen:</t>
        </r>
        <r>
          <rPr>
            <sz val="9"/>
            <color indexed="81"/>
            <rFont val="Tahoma"/>
            <family val="2"/>
          </rPr>
          <t xml:space="preserve">
August</t>
        </r>
      </text>
    </comment>
    <comment ref="I1738" authorId="0" shapeId="0">
      <text>
        <r>
          <rPr>
            <b/>
            <sz val="9"/>
            <color indexed="81"/>
            <rFont val="Tahoma"/>
            <family val="2"/>
          </rPr>
          <t>Kylie Zhang:</t>
        </r>
        <r>
          <rPr>
            <sz val="9"/>
            <color indexed="81"/>
            <rFont val="Tahoma"/>
            <family val="2"/>
          </rPr>
          <t xml:space="preserve">
JUNE Datastream
</t>
        </r>
      </text>
    </comment>
    <comment ref="E1922" authorId="1" shapeId="0">
      <text>
        <r>
          <rPr>
            <b/>
            <sz val="9"/>
            <color indexed="81"/>
            <rFont val="Tahoma"/>
            <family val="2"/>
          </rPr>
          <t>Carmen:</t>
        </r>
        <r>
          <rPr>
            <sz val="9"/>
            <color indexed="81"/>
            <rFont val="Tahoma"/>
            <family val="2"/>
          </rPr>
          <t xml:space="preserve">
Not a systemic banking crisis.</t>
        </r>
      </text>
    </comment>
    <comment ref="I1955" authorId="0" shapeId="0">
      <text>
        <r>
          <rPr>
            <b/>
            <sz val="9"/>
            <color indexed="81"/>
            <rFont val="Tahoma"/>
            <family val="2"/>
          </rPr>
          <t>Kylie Zhang:</t>
        </r>
        <r>
          <rPr>
            <sz val="9"/>
            <color indexed="81"/>
            <rFont val="Tahoma"/>
            <family val="2"/>
          </rPr>
          <t xml:space="preserve">
JUNE Datastream
</t>
        </r>
      </text>
    </comment>
    <comment ref="I2127" authorId="2" shapeId="0">
      <text>
        <r>
          <rPr>
            <sz val="10"/>
            <rFont val="Arial"/>
            <family val="2"/>
          </rPr>
          <t>Indicates that original data value is not to be overlaid with subsequent calculated data</t>
        </r>
      </text>
    </comment>
    <comment ref="I2150" authorId="2" shapeId="0">
      <text>
        <r>
          <rPr>
            <sz val="10"/>
            <rFont val="Arial"/>
            <family val="2"/>
          </rPr>
          <t>Identifies the point at which multiple time series versions are linked by ratio splicing using all annual, quarterly, and monthly overlaps</t>
        </r>
      </text>
    </comment>
    <comment ref="I2155" authorId="2" shapeId="0">
      <text>
        <r>
          <rPr>
            <sz val="10"/>
            <rFont val="Arial"/>
            <family val="2"/>
          </rPr>
          <t>Identifies the point at which multiple time series versions are linked by ratio splicing using all annual, quarterly, and monthly overlaps</t>
        </r>
      </text>
    </comment>
    <comment ref="I2172" authorId="0" shapeId="0">
      <text>
        <r>
          <rPr>
            <b/>
            <sz val="9"/>
            <color indexed="81"/>
            <rFont val="Tahoma"/>
            <family val="2"/>
          </rPr>
          <t>Kylie Zhang:</t>
        </r>
        <r>
          <rPr>
            <sz val="9"/>
            <color indexed="81"/>
            <rFont val="Tahoma"/>
            <family val="2"/>
          </rPr>
          <t xml:space="preserve">
JUNE Datastream
</t>
        </r>
      </text>
    </comment>
    <comment ref="I2389" authorId="0" shapeId="0">
      <text>
        <r>
          <rPr>
            <b/>
            <sz val="9"/>
            <color indexed="81"/>
            <rFont val="Tahoma"/>
            <family val="2"/>
          </rPr>
          <t>Kylie Zhang:</t>
        </r>
        <r>
          <rPr>
            <sz val="9"/>
            <color indexed="81"/>
            <rFont val="Tahoma"/>
            <family val="2"/>
          </rPr>
          <t xml:space="preserve">
JUNE Datastream
</t>
        </r>
      </text>
    </comment>
    <comment ref="I2606" authorId="0" shapeId="0">
      <text>
        <r>
          <rPr>
            <b/>
            <sz val="9"/>
            <color indexed="81"/>
            <rFont val="Tahoma"/>
            <family val="2"/>
          </rPr>
          <t>Kylie Zhang:</t>
        </r>
        <r>
          <rPr>
            <sz val="9"/>
            <color indexed="81"/>
            <rFont val="Tahoma"/>
            <family val="2"/>
          </rPr>
          <t xml:space="preserve">
JUNE Datastream
</t>
        </r>
      </text>
    </comment>
    <comment ref="J2707" authorId="1" shapeId="0">
      <text>
        <r>
          <rPr>
            <b/>
            <sz val="9"/>
            <color indexed="81"/>
            <rFont val="Tahoma"/>
            <family val="2"/>
          </rPr>
          <t>Carmen:</t>
        </r>
        <r>
          <rPr>
            <sz val="9"/>
            <color indexed="81"/>
            <rFont val="Tahoma"/>
            <family val="2"/>
          </rPr>
          <t xml:space="preserve">
OXF 1900-1920</t>
        </r>
      </text>
    </comment>
    <comment ref="J2728" authorId="1" shapeId="0">
      <text>
        <r>
          <rPr>
            <b/>
            <sz val="9"/>
            <color indexed="81"/>
            <rFont val="Tahoma"/>
            <family val="2"/>
          </rPr>
          <t>Carmen:</t>
        </r>
        <r>
          <rPr>
            <sz val="9"/>
            <color indexed="81"/>
            <rFont val="Tahoma"/>
            <family val="2"/>
          </rPr>
          <t xml:space="preserve">
LoN-UN 1921-1945</t>
        </r>
      </text>
    </comment>
    <comment ref="J2755" authorId="3" shapeId="0">
      <text>
        <r>
          <rPr>
            <b/>
            <sz val="8"/>
            <color indexed="81"/>
            <rFont val="Tahoma"/>
            <family val="2"/>
          </rPr>
          <t>Ioannis Tokatlidis:</t>
        </r>
        <r>
          <rPr>
            <sz val="8"/>
            <color indexed="81"/>
            <rFont val="Tahoma"/>
            <family val="2"/>
          </rPr>
          <t xml:space="preserve">
DEVALUATION ON DECEMBER 17
</t>
        </r>
      </text>
    </comment>
    <comment ref="I2823" authorId="0" shapeId="0">
      <text>
        <r>
          <rPr>
            <b/>
            <sz val="9"/>
            <color indexed="81"/>
            <rFont val="Tahoma"/>
            <family val="2"/>
          </rPr>
          <t>Kylie Zhang:</t>
        </r>
        <r>
          <rPr>
            <sz val="9"/>
            <color indexed="81"/>
            <rFont val="Tahoma"/>
            <family val="2"/>
          </rPr>
          <t xml:space="preserve">
JUNE Datastream
</t>
        </r>
      </text>
    </comment>
    <comment ref="I3040" authorId="0" shapeId="0">
      <text>
        <r>
          <rPr>
            <b/>
            <sz val="9"/>
            <color indexed="81"/>
            <rFont val="Tahoma"/>
            <family val="2"/>
          </rPr>
          <t>Kylie Zhang:</t>
        </r>
        <r>
          <rPr>
            <sz val="9"/>
            <color indexed="81"/>
            <rFont val="Tahoma"/>
            <family val="2"/>
          </rPr>
          <t xml:space="preserve">
JUNE Datastream
</t>
        </r>
      </text>
    </comment>
    <comment ref="I3257" authorId="0" shapeId="0">
      <text>
        <r>
          <rPr>
            <b/>
            <sz val="9"/>
            <color indexed="81"/>
            <rFont val="Tahoma"/>
            <family val="2"/>
          </rPr>
          <t>Kylie Zhang:</t>
        </r>
        <r>
          <rPr>
            <sz val="9"/>
            <color indexed="81"/>
            <rFont val="Tahoma"/>
            <family val="2"/>
          </rPr>
          <t xml:space="preserve">
JUNE Datastream
</t>
        </r>
      </text>
    </comment>
    <comment ref="E3445" authorId="1" shapeId="0">
      <text>
        <r>
          <rPr>
            <b/>
            <sz val="9"/>
            <color indexed="81"/>
            <rFont val="Tahoma"/>
            <family val="2"/>
          </rPr>
          <t>Carmen:</t>
        </r>
        <r>
          <rPr>
            <sz val="9"/>
            <color indexed="81"/>
            <rFont val="Tahoma"/>
            <family val="2"/>
          </rPr>
          <t xml:space="preserve">
Not a systemic crisis.</t>
        </r>
      </text>
    </comment>
    <comment ref="I3474" authorId="0" shapeId="0">
      <text>
        <r>
          <rPr>
            <b/>
            <sz val="9"/>
            <color indexed="81"/>
            <rFont val="Tahoma"/>
            <family val="2"/>
          </rPr>
          <t>Kylie Zhang:</t>
        </r>
        <r>
          <rPr>
            <sz val="9"/>
            <color indexed="81"/>
            <rFont val="Tahoma"/>
            <family val="2"/>
          </rPr>
          <t xml:space="preserve">
JUNE Datastream
</t>
        </r>
      </text>
    </comment>
    <comment ref="E3671" authorId="1" shapeId="0">
      <text>
        <r>
          <rPr>
            <b/>
            <sz val="9"/>
            <color indexed="81"/>
            <rFont val="Tahoma"/>
            <family val="2"/>
          </rPr>
          <t>Carmen:</t>
        </r>
        <r>
          <rPr>
            <sz val="9"/>
            <color indexed="81"/>
            <rFont val="Tahoma"/>
            <family val="2"/>
          </rPr>
          <t xml:space="preserve">
Not a systemic crisis.</t>
        </r>
      </text>
    </comment>
    <comment ref="I3691" authorId="0" shapeId="0">
      <text>
        <r>
          <rPr>
            <b/>
            <sz val="9"/>
            <color indexed="81"/>
            <rFont val="Tahoma"/>
            <family val="2"/>
          </rPr>
          <t>Kylie Zhang:</t>
        </r>
        <r>
          <rPr>
            <sz val="9"/>
            <color indexed="81"/>
            <rFont val="Tahoma"/>
            <family val="2"/>
          </rPr>
          <t xml:space="preserve">
JUNE Datastream
</t>
        </r>
      </text>
    </comment>
    <comment ref="I3908" authorId="0" shapeId="0">
      <text>
        <r>
          <rPr>
            <b/>
            <sz val="9"/>
            <color indexed="81"/>
            <rFont val="Tahoma"/>
            <family val="2"/>
          </rPr>
          <t>Kylie Zhang:</t>
        </r>
        <r>
          <rPr>
            <sz val="9"/>
            <color indexed="81"/>
            <rFont val="Tahoma"/>
            <family val="2"/>
          </rPr>
          <t xml:space="preserve">
JUNE Datastream
</t>
        </r>
      </text>
    </comment>
    <comment ref="E4099" authorId="1" shapeId="0">
      <text>
        <r>
          <rPr>
            <b/>
            <sz val="9"/>
            <color indexed="81"/>
            <rFont val="Tahoma"/>
            <family val="2"/>
          </rPr>
          <t>Carmen:</t>
        </r>
        <r>
          <rPr>
            <sz val="9"/>
            <color indexed="81"/>
            <rFont val="Tahoma"/>
            <family val="2"/>
          </rPr>
          <t xml:space="preserve">
Not a systemic banking crisis</t>
        </r>
      </text>
    </comment>
    <comment ref="I4125" authorId="0" shapeId="0">
      <text>
        <r>
          <rPr>
            <b/>
            <sz val="9"/>
            <color indexed="81"/>
            <rFont val="Tahoma"/>
            <family val="2"/>
          </rPr>
          <t>Kylie Zhang:</t>
        </r>
        <r>
          <rPr>
            <sz val="9"/>
            <color indexed="81"/>
            <rFont val="Tahoma"/>
            <family val="2"/>
          </rPr>
          <t xml:space="preserve">
JUNE Datastream
</t>
        </r>
      </text>
    </comment>
    <comment ref="E4324" authorId="1" shapeId="0">
      <text>
        <r>
          <rPr>
            <b/>
            <sz val="9"/>
            <color indexed="81"/>
            <rFont val="Tahoma"/>
            <family val="2"/>
          </rPr>
          <t>Carmen:</t>
        </r>
        <r>
          <rPr>
            <sz val="9"/>
            <color indexed="81"/>
            <rFont val="Tahoma"/>
            <family val="2"/>
          </rPr>
          <t xml:space="preserve">
Not a systemic banking crisis.</t>
        </r>
      </text>
    </comment>
    <comment ref="E4325" authorId="1" shapeId="0">
      <text>
        <r>
          <rPr>
            <b/>
            <sz val="9"/>
            <color indexed="81"/>
            <rFont val="Tahoma"/>
            <family val="2"/>
          </rPr>
          <t>Carmen:</t>
        </r>
        <r>
          <rPr>
            <sz val="9"/>
            <color indexed="81"/>
            <rFont val="Tahoma"/>
            <family val="2"/>
          </rPr>
          <t xml:space="preserve">
Not a systemic banking crisis.</t>
        </r>
      </text>
    </comment>
    <comment ref="I4342" authorId="0" shapeId="0">
      <text>
        <r>
          <rPr>
            <b/>
            <sz val="9"/>
            <color indexed="81"/>
            <rFont val="Tahoma"/>
            <family val="2"/>
          </rPr>
          <t>Kylie Zhang:</t>
        </r>
        <r>
          <rPr>
            <sz val="9"/>
            <color indexed="81"/>
            <rFont val="Tahoma"/>
            <family val="2"/>
          </rPr>
          <t xml:space="preserve">
JUNE Datastream
</t>
        </r>
      </text>
    </comment>
    <comment ref="I4558" authorId="1" shapeId="0">
      <text>
        <r>
          <rPr>
            <b/>
            <sz val="9"/>
            <color indexed="81"/>
            <rFont val="Tahoma"/>
            <family val="2"/>
          </rPr>
          <t>Carmen:</t>
        </r>
        <r>
          <rPr>
            <sz val="9"/>
            <color indexed="81"/>
            <rFont val="Tahoma"/>
            <family val="2"/>
          </rPr>
          <t xml:space="preserve">
August</t>
        </r>
      </text>
    </comment>
    <comment ref="I4559" authorId="0" shapeId="0">
      <text>
        <r>
          <rPr>
            <b/>
            <sz val="9"/>
            <color indexed="81"/>
            <rFont val="Tahoma"/>
            <family val="2"/>
          </rPr>
          <t>Kylie Zhang:</t>
        </r>
        <r>
          <rPr>
            <sz val="9"/>
            <color indexed="81"/>
            <rFont val="Tahoma"/>
            <family val="2"/>
          </rPr>
          <t xml:space="preserve">
SEPTEMBER
Oanda
</t>
        </r>
      </text>
    </comment>
    <comment ref="E4587" authorId="1" shapeId="0">
      <text>
        <r>
          <rPr>
            <b/>
            <sz val="9"/>
            <color indexed="81"/>
            <rFont val="Tahoma"/>
            <family val="2"/>
          </rPr>
          <t>Carmen:</t>
        </r>
        <r>
          <rPr>
            <sz val="9"/>
            <color indexed="81"/>
            <rFont val="Tahoma"/>
            <family val="2"/>
          </rPr>
          <t xml:space="preserve">
Not a systemic crisis.</t>
        </r>
      </text>
    </comment>
    <comment ref="E4754" authorId="1" shapeId="0">
      <text>
        <r>
          <rPr>
            <b/>
            <sz val="9"/>
            <color indexed="81"/>
            <rFont val="Tahoma"/>
            <family val="2"/>
          </rPr>
          <t>Carmen:</t>
        </r>
        <r>
          <rPr>
            <sz val="9"/>
            <color indexed="81"/>
            <rFont val="Tahoma"/>
            <family val="2"/>
          </rPr>
          <t xml:space="preserve">
Not a systemic crisis</t>
        </r>
      </text>
    </comment>
    <comment ref="I4776" authorId="0" shapeId="0">
      <text>
        <r>
          <rPr>
            <b/>
            <sz val="9"/>
            <color indexed="81"/>
            <rFont val="Tahoma"/>
            <family val="2"/>
          </rPr>
          <t>Kylie Zhang:</t>
        </r>
        <r>
          <rPr>
            <sz val="9"/>
            <color indexed="81"/>
            <rFont val="Tahoma"/>
            <family val="2"/>
          </rPr>
          <t xml:space="preserve">
JUNE Datastream
</t>
        </r>
      </text>
    </comment>
    <comment ref="E4954" authorId="1" shapeId="0">
      <text>
        <r>
          <rPr>
            <b/>
            <sz val="9"/>
            <color indexed="81"/>
            <rFont val="Tahoma"/>
            <family val="2"/>
          </rPr>
          <t>Carmen:</t>
        </r>
        <r>
          <rPr>
            <sz val="9"/>
            <color indexed="81"/>
            <rFont val="Tahoma"/>
            <family val="2"/>
          </rPr>
          <t xml:space="preserve">
Not systemic crises.</t>
        </r>
      </text>
    </comment>
    <comment ref="I4992" authorId="1" shapeId="0">
      <text>
        <r>
          <rPr>
            <b/>
            <sz val="9"/>
            <color indexed="81"/>
            <rFont val="Tahoma"/>
            <family val="2"/>
          </rPr>
          <t>Carmen:</t>
        </r>
        <r>
          <rPr>
            <sz val="9"/>
            <color indexed="81"/>
            <rFont val="Tahoma"/>
            <family val="2"/>
          </rPr>
          <t xml:space="preserve">
August</t>
        </r>
      </text>
    </comment>
    <comment ref="I4993" authorId="0" shapeId="0">
      <text>
        <r>
          <rPr>
            <b/>
            <sz val="9"/>
            <color indexed="81"/>
            <rFont val="Tahoma"/>
            <family val="2"/>
          </rPr>
          <t>Kylie Zhang:</t>
        </r>
        <r>
          <rPr>
            <sz val="9"/>
            <color indexed="81"/>
            <rFont val="Tahoma"/>
            <family val="2"/>
          </rPr>
          <t xml:space="preserve">
SEPTEMBER
Oanda
</t>
        </r>
      </text>
    </comment>
    <comment ref="E5191" authorId="1" shapeId="0">
      <text>
        <r>
          <rPr>
            <b/>
            <sz val="9"/>
            <color indexed="81"/>
            <rFont val="Tahoma"/>
            <family val="2"/>
          </rPr>
          <t>Carmen:</t>
        </r>
        <r>
          <rPr>
            <sz val="9"/>
            <color indexed="81"/>
            <rFont val="Tahoma"/>
            <family val="2"/>
          </rPr>
          <t xml:space="preserve">
Not a systemic crisis.</t>
        </r>
      </text>
    </comment>
    <comment ref="I5210" authorId="0" shapeId="0">
      <text>
        <r>
          <rPr>
            <b/>
            <sz val="9"/>
            <color indexed="81"/>
            <rFont val="Tahoma"/>
            <family val="2"/>
          </rPr>
          <t>Kylie Zhang:</t>
        </r>
        <r>
          <rPr>
            <sz val="9"/>
            <color indexed="81"/>
            <rFont val="Tahoma"/>
            <family val="2"/>
          </rPr>
          <t xml:space="preserve">
JUNE Datastream
</t>
        </r>
      </text>
    </comment>
    <comment ref="E5402" authorId="1" shapeId="0">
      <text>
        <r>
          <rPr>
            <b/>
            <sz val="9"/>
            <color indexed="81"/>
            <rFont val="Tahoma"/>
            <family val="2"/>
          </rPr>
          <t>Carmen:</t>
        </r>
        <r>
          <rPr>
            <sz val="9"/>
            <color indexed="81"/>
            <rFont val="Tahoma"/>
            <family val="2"/>
          </rPr>
          <t xml:space="preserve">
Not a systemic crisis.</t>
        </r>
      </text>
    </comment>
    <comment ref="I5426" authorId="1" shapeId="0">
      <text>
        <r>
          <rPr>
            <b/>
            <sz val="9"/>
            <color indexed="81"/>
            <rFont val="Tahoma"/>
            <family val="2"/>
          </rPr>
          <t>Carmen:</t>
        </r>
        <r>
          <rPr>
            <sz val="9"/>
            <color indexed="81"/>
            <rFont val="Tahoma"/>
            <family val="2"/>
          </rPr>
          <t xml:space="preserve">
August</t>
        </r>
      </text>
    </comment>
    <comment ref="J5426" authorId="1" shapeId="0">
      <text>
        <r>
          <rPr>
            <b/>
            <sz val="9"/>
            <color indexed="81"/>
            <rFont val="Tahoma"/>
            <family val="2"/>
          </rPr>
          <t>Carmen:</t>
        </r>
        <r>
          <rPr>
            <sz val="9"/>
            <color indexed="81"/>
            <rFont val="Tahoma"/>
            <family val="2"/>
          </rPr>
          <t xml:space="preserve">
August</t>
        </r>
      </text>
    </comment>
    <comment ref="K5426" authorId="1" shapeId="0">
      <text>
        <r>
          <rPr>
            <b/>
            <sz val="9"/>
            <color indexed="81"/>
            <rFont val="Tahoma"/>
            <family val="2"/>
          </rPr>
          <t>Carmen:</t>
        </r>
        <r>
          <rPr>
            <sz val="9"/>
            <color indexed="81"/>
            <rFont val="Tahoma"/>
            <family val="2"/>
          </rPr>
          <t xml:space="preserve">
August</t>
        </r>
      </text>
    </comment>
    <comment ref="I5427" authorId="0" shapeId="0">
      <text>
        <r>
          <rPr>
            <b/>
            <sz val="9"/>
            <color indexed="81"/>
            <rFont val="Tahoma"/>
            <family val="2"/>
          </rPr>
          <t>Kylie Zhang:</t>
        </r>
        <r>
          <rPr>
            <sz val="9"/>
            <color indexed="81"/>
            <rFont val="Tahoma"/>
            <family val="2"/>
          </rPr>
          <t xml:space="preserve">
SEPTEMBER
Oanda
</t>
        </r>
      </text>
    </comment>
    <comment ref="E5618" authorId="1" shapeId="0">
      <text>
        <r>
          <rPr>
            <b/>
            <sz val="9"/>
            <color indexed="81"/>
            <rFont val="Tahoma"/>
            <family val="2"/>
          </rPr>
          <t>Carmen:</t>
        </r>
        <r>
          <rPr>
            <sz val="9"/>
            <color indexed="81"/>
            <rFont val="Tahoma"/>
            <family val="2"/>
          </rPr>
          <t xml:space="preserve">
Not a systemic crisis</t>
        </r>
      </text>
    </comment>
    <comment ref="E5629" authorId="1" shapeId="0">
      <text>
        <r>
          <rPr>
            <b/>
            <sz val="9"/>
            <color indexed="81"/>
            <rFont val="Tahoma"/>
            <family val="2"/>
          </rPr>
          <t>Carmen:</t>
        </r>
        <r>
          <rPr>
            <sz val="9"/>
            <color indexed="81"/>
            <rFont val="Tahoma"/>
            <family val="2"/>
          </rPr>
          <t xml:space="preserve">
Not a systemic crisis</t>
        </r>
      </text>
    </comment>
    <comment ref="E5634" authorId="1" shapeId="0">
      <text>
        <r>
          <rPr>
            <b/>
            <sz val="9"/>
            <color indexed="81"/>
            <rFont val="Tahoma"/>
            <family val="2"/>
          </rPr>
          <t>Carmen:</t>
        </r>
        <r>
          <rPr>
            <sz val="9"/>
            <color indexed="81"/>
            <rFont val="Tahoma"/>
            <family val="2"/>
          </rPr>
          <t xml:space="preserve">
Not a systemic crisis</t>
        </r>
      </text>
    </comment>
    <comment ref="I5644" authorId="0" shapeId="0">
      <text>
        <r>
          <rPr>
            <b/>
            <sz val="9"/>
            <color indexed="81"/>
            <rFont val="Tahoma"/>
            <family val="2"/>
          </rPr>
          <t>Kylie Zhang:</t>
        </r>
        <r>
          <rPr>
            <sz val="9"/>
            <color indexed="81"/>
            <rFont val="Tahoma"/>
            <family val="2"/>
          </rPr>
          <t xml:space="preserve">
JUNE Datastream
</t>
        </r>
      </text>
    </comment>
    <comment ref="E5844" authorId="1" shapeId="0">
      <text>
        <r>
          <rPr>
            <b/>
            <sz val="9"/>
            <color indexed="81"/>
            <rFont val="Tahoma"/>
            <family val="2"/>
          </rPr>
          <t>Carmen:</t>
        </r>
        <r>
          <rPr>
            <sz val="9"/>
            <color indexed="81"/>
            <rFont val="Tahoma"/>
            <family val="2"/>
          </rPr>
          <t xml:space="preserve">
Not a systemic crisis</t>
        </r>
      </text>
    </comment>
    <comment ref="E5846" authorId="1" shapeId="0">
      <text>
        <r>
          <rPr>
            <b/>
            <sz val="9"/>
            <color indexed="81"/>
            <rFont val="Tahoma"/>
            <family val="2"/>
          </rPr>
          <t>Carmen:</t>
        </r>
        <r>
          <rPr>
            <sz val="9"/>
            <color indexed="81"/>
            <rFont val="Tahoma"/>
            <family val="2"/>
          </rPr>
          <t xml:space="preserve">
Not a systemic crisis</t>
        </r>
      </text>
    </comment>
    <comment ref="I5861" authorId="0" shapeId="0">
      <text>
        <r>
          <rPr>
            <b/>
            <sz val="9"/>
            <color indexed="81"/>
            <rFont val="Tahoma"/>
            <family val="2"/>
          </rPr>
          <t>Kylie Zhang:</t>
        </r>
        <r>
          <rPr>
            <sz val="9"/>
            <color indexed="81"/>
            <rFont val="Tahoma"/>
            <family val="2"/>
          </rPr>
          <t xml:space="preserve">
JUNE Datastream
</t>
        </r>
      </text>
    </comment>
    <comment ref="I6078" authorId="0" shapeId="0">
      <text>
        <r>
          <rPr>
            <b/>
            <sz val="9"/>
            <color indexed="81"/>
            <rFont val="Tahoma"/>
            <family val="2"/>
          </rPr>
          <t>Kylie Zhang:</t>
        </r>
        <r>
          <rPr>
            <sz val="9"/>
            <color indexed="81"/>
            <rFont val="Tahoma"/>
            <family val="2"/>
          </rPr>
          <t xml:space="preserve">
JUNE Datastream
</t>
        </r>
      </text>
    </comment>
    <comment ref="E6264" authorId="1" shapeId="0">
      <text>
        <r>
          <rPr>
            <b/>
            <sz val="9"/>
            <color indexed="81"/>
            <rFont val="Tahoma"/>
            <family val="2"/>
          </rPr>
          <t>Carmen:</t>
        </r>
        <r>
          <rPr>
            <sz val="9"/>
            <color indexed="81"/>
            <rFont val="Tahoma"/>
            <family val="2"/>
          </rPr>
          <t xml:space="preserve">
Not a systemic crisis</t>
        </r>
      </text>
    </comment>
    <comment ref="I6295" authorId="0" shapeId="0">
      <text>
        <r>
          <rPr>
            <b/>
            <sz val="9"/>
            <color indexed="81"/>
            <rFont val="Tahoma"/>
            <family val="2"/>
          </rPr>
          <t>Kylie Zhang:</t>
        </r>
        <r>
          <rPr>
            <sz val="9"/>
            <color indexed="81"/>
            <rFont val="Tahoma"/>
            <family val="2"/>
          </rPr>
          <t xml:space="preserve">
JUNE Datastream
</t>
        </r>
      </text>
    </comment>
    <comment ref="E6489" authorId="1" shapeId="0">
      <text>
        <r>
          <rPr>
            <b/>
            <sz val="9"/>
            <color indexed="81"/>
            <rFont val="Tahoma"/>
            <family val="2"/>
          </rPr>
          <t>Carmen:</t>
        </r>
        <r>
          <rPr>
            <sz val="9"/>
            <color indexed="81"/>
            <rFont val="Tahoma"/>
            <family val="2"/>
          </rPr>
          <t xml:space="preserve">
Not a systemic crisis</t>
        </r>
      </text>
    </comment>
    <comment ref="I6512" authorId="0" shapeId="0">
      <text>
        <r>
          <rPr>
            <b/>
            <sz val="9"/>
            <color indexed="81"/>
            <rFont val="Tahoma"/>
            <family val="2"/>
          </rPr>
          <t>Kylie Zhang:</t>
        </r>
        <r>
          <rPr>
            <sz val="9"/>
            <color indexed="81"/>
            <rFont val="Tahoma"/>
            <family val="2"/>
          </rPr>
          <t xml:space="preserve">
JUNE Datastream
</t>
        </r>
      </text>
    </comment>
    <comment ref="J6678" authorId="3" shapeId="0">
      <text>
        <r>
          <rPr>
            <b/>
            <sz val="8"/>
            <color indexed="81"/>
            <rFont val="Tahoma"/>
            <family val="2"/>
          </rPr>
          <t>Ioannis Tokatlidis:</t>
        </r>
        <r>
          <rPr>
            <sz val="8"/>
            <color indexed="81"/>
            <rFont val="Tahoma"/>
            <family val="2"/>
          </rPr>
          <t xml:space="preserve">
DECEMBER 13TH, CURRENCY REFORM: 1 NEW RUPIAH = 1,000 OLD. 10 RUPIHAS PER US$ THE NEW OFFICIAL RATE. </t>
        </r>
      </text>
    </comment>
    <comment ref="J6679" authorId="3" shapeId="0">
      <text>
        <r>
          <rPr>
            <b/>
            <sz val="8"/>
            <color indexed="81"/>
            <rFont val="Tahoma"/>
            <family val="2"/>
          </rPr>
          <t>Ioannis Tokatlidis:</t>
        </r>
        <r>
          <rPr>
            <sz val="8"/>
            <color indexed="81"/>
            <rFont val="Tahoma"/>
            <family val="2"/>
          </rPr>
          <t xml:space="preserve">
BREAK IN THE CONSISTENCY OF THE SERIES. THE IFS NUMBER STARTING ON 1967:1 ARE PROBABLY CONSISTENT WITH FLUCTUATING RATES OF 85 AND 105 THAT STARTED IN DECEMBER OF 1966 IN PARALLEL WITH THE BASIC RATE OF 10/US$ </t>
        </r>
      </text>
    </comment>
    <comment ref="J6680" authorId="3" shapeId="0">
      <text>
        <r>
          <rPr>
            <sz val="8"/>
            <color indexed="81"/>
            <rFont val="Tahoma"/>
            <family val="2"/>
          </rPr>
          <t>Identifies observations that are estimated by economic staff.</t>
        </r>
      </text>
    </comment>
    <comment ref="J6728" authorId="1" shapeId="0">
      <text>
        <r>
          <rPr>
            <b/>
            <sz val="9"/>
            <color indexed="81"/>
            <rFont val="Tahoma"/>
            <family val="2"/>
          </rPr>
          <t>Carmen:</t>
        </r>
        <r>
          <rPr>
            <sz val="9"/>
            <color indexed="81"/>
            <rFont val="Tahoma"/>
            <family val="2"/>
          </rPr>
          <t xml:space="preserve">
August</t>
        </r>
      </text>
    </comment>
    <comment ref="I6729" authorId="0" shapeId="0">
      <text>
        <r>
          <rPr>
            <b/>
            <sz val="9"/>
            <color indexed="81"/>
            <rFont val="Tahoma"/>
            <family val="2"/>
          </rPr>
          <t>Kylie Zhang:</t>
        </r>
        <r>
          <rPr>
            <sz val="9"/>
            <color indexed="81"/>
            <rFont val="Tahoma"/>
            <family val="2"/>
          </rPr>
          <t xml:space="preserve">
JUNE Datastream
</t>
        </r>
      </text>
    </comment>
    <comment ref="I6945" authorId="1" shapeId="0">
      <text>
        <r>
          <rPr>
            <b/>
            <sz val="9"/>
            <color indexed="81"/>
            <rFont val="Tahoma"/>
            <family val="2"/>
          </rPr>
          <t>Carmen:</t>
        </r>
        <r>
          <rPr>
            <sz val="9"/>
            <color indexed="81"/>
            <rFont val="Tahoma"/>
            <family val="2"/>
          </rPr>
          <t xml:space="preserve">
August</t>
        </r>
      </text>
    </comment>
    <comment ref="I6946" authorId="0" shapeId="0">
      <text>
        <r>
          <rPr>
            <b/>
            <sz val="9"/>
            <color indexed="81"/>
            <rFont val="Tahoma"/>
            <family val="2"/>
          </rPr>
          <t>Kylie Zhang:</t>
        </r>
        <r>
          <rPr>
            <sz val="9"/>
            <color indexed="81"/>
            <rFont val="Tahoma"/>
            <family val="2"/>
          </rPr>
          <t xml:space="preserve">
SEPTEMBER
Oanda
</t>
        </r>
      </text>
    </comment>
    <comment ref="E7137" authorId="1" shapeId="0">
      <text>
        <r>
          <rPr>
            <b/>
            <sz val="9"/>
            <color indexed="81"/>
            <rFont val="Tahoma"/>
            <family val="2"/>
          </rPr>
          <t>Carmen:</t>
        </r>
        <r>
          <rPr>
            <sz val="9"/>
            <color indexed="81"/>
            <rFont val="Tahoma"/>
            <family val="2"/>
          </rPr>
          <t xml:space="preserve">
Not a systemic crisis.</t>
        </r>
      </text>
    </comment>
    <comment ref="I7162" authorId="1" shapeId="0">
      <text>
        <r>
          <rPr>
            <b/>
            <sz val="9"/>
            <color indexed="81"/>
            <rFont val="Tahoma"/>
            <family val="2"/>
          </rPr>
          <t>Carmen:</t>
        </r>
        <r>
          <rPr>
            <sz val="9"/>
            <color indexed="81"/>
            <rFont val="Tahoma"/>
            <family val="2"/>
          </rPr>
          <t xml:space="preserve">
August</t>
        </r>
      </text>
    </comment>
    <comment ref="I7163" authorId="0" shapeId="0">
      <text>
        <r>
          <rPr>
            <b/>
            <sz val="9"/>
            <color indexed="81"/>
            <rFont val="Tahoma"/>
            <family val="2"/>
          </rPr>
          <t>Kylie Zhang:</t>
        </r>
        <r>
          <rPr>
            <sz val="9"/>
            <color indexed="81"/>
            <rFont val="Tahoma"/>
            <family val="2"/>
          </rPr>
          <t xml:space="preserve">
SEPTEMBER
Oanda
</t>
        </r>
      </text>
    </comment>
    <comment ref="I7380" authorId="0" shapeId="0">
      <text>
        <r>
          <rPr>
            <b/>
            <sz val="9"/>
            <color indexed="81"/>
            <rFont val="Tahoma"/>
            <family val="2"/>
          </rPr>
          <t>Kylie Zhang:</t>
        </r>
        <r>
          <rPr>
            <sz val="9"/>
            <color indexed="81"/>
            <rFont val="Tahoma"/>
            <family val="2"/>
          </rPr>
          <t xml:space="preserve">
JUNE Datastream
</t>
        </r>
      </text>
    </comment>
    <comment ref="I7597" authorId="0" shapeId="0">
      <text>
        <r>
          <rPr>
            <b/>
            <sz val="9"/>
            <color indexed="81"/>
            <rFont val="Tahoma"/>
            <family val="2"/>
          </rPr>
          <t>Kylie Zhang:</t>
        </r>
        <r>
          <rPr>
            <sz val="9"/>
            <color indexed="81"/>
            <rFont val="Tahoma"/>
            <family val="2"/>
          </rPr>
          <t xml:space="preserve">
JUNE Datastream
</t>
        </r>
      </text>
    </comment>
    <comment ref="I7814" authorId="0" shapeId="0">
      <text>
        <r>
          <rPr>
            <b/>
            <sz val="9"/>
            <color indexed="81"/>
            <rFont val="Tahoma"/>
            <family val="2"/>
          </rPr>
          <t>Kylie Zhang:</t>
        </r>
        <r>
          <rPr>
            <sz val="9"/>
            <color indexed="81"/>
            <rFont val="Tahoma"/>
            <family val="2"/>
          </rPr>
          <t xml:space="preserve">
JUNE Datastream
</t>
        </r>
      </text>
    </comment>
    <comment ref="I8031" authorId="0" shapeId="0">
      <text>
        <r>
          <rPr>
            <b/>
            <sz val="9"/>
            <color indexed="81"/>
            <rFont val="Tahoma"/>
            <family val="2"/>
          </rPr>
          <t>Kylie Zhang:</t>
        </r>
        <r>
          <rPr>
            <sz val="9"/>
            <color indexed="81"/>
            <rFont val="Tahoma"/>
            <family val="2"/>
          </rPr>
          <t xml:space="preserve">
JUNE Datastream
</t>
        </r>
      </text>
    </comment>
    <comment ref="I8248" authorId="0" shapeId="0">
      <text>
        <r>
          <rPr>
            <b/>
            <sz val="9"/>
            <color indexed="81"/>
            <rFont val="Tahoma"/>
            <family val="2"/>
          </rPr>
          <t>Kylie Zhang:</t>
        </r>
        <r>
          <rPr>
            <sz val="9"/>
            <color indexed="81"/>
            <rFont val="Tahoma"/>
            <family val="2"/>
          </rPr>
          <t xml:space="preserve">
JUNE Datastream
</t>
        </r>
      </text>
    </comment>
    <comment ref="E8378" authorId="1" shapeId="0">
      <text>
        <r>
          <rPr>
            <b/>
            <sz val="9"/>
            <color indexed="81"/>
            <rFont val="Tahoma"/>
            <family val="2"/>
          </rPr>
          <t>Carmen:</t>
        </r>
        <r>
          <rPr>
            <sz val="9"/>
            <color indexed="81"/>
            <rFont val="Tahoma"/>
            <family val="2"/>
          </rPr>
          <t xml:space="preserve">
Not a systemic crisis</t>
        </r>
      </text>
    </comment>
    <comment ref="J8420" authorId="3" shapeId="0">
      <text>
        <r>
          <rPr>
            <sz val="8"/>
            <color indexed="81"/>
            <rFont val="Tahoma"/>
            <family val="2"/>
          </rPr>
          <t>Indicates the original data value is not to be overlayed with subsequent calculated data.</t>
        </r>
      </text>
    </comment>
    <comment ref="J8464" authorId="1" shapeId="0">
      <text>
        <r>
          <rPr>
            <b/>
            <sz val="9"/>
            <color indexed="81"/>
            <rFont val="Tahoma"/>
            <family val="2"/>
          </rPr>
          <t>Carmen:</t>
        </r>
        <r>
          <rPr>
            <sz val="9"/>
            <color indexed="81"/>
            <rFont val="Tahoma"/>
            <family val="2"/>
          </rPr>
          <t xml:space="preserve">
August</t>
        </r>
      </text>
    </comment>
    <comment ref="I8465" authorId="0" shapeId="0">
      <text>
        <r>
          <rPr>
            <b/>
            <sz val="9"/>
            <color indexed="81"/>
            <rFont val="Tahoma"/>
            <family val="2"/>
          </rPr>
          <t>Kylie Zhang:</t>
        </r>
        <r>
          <rPr>
            <sz val="9"/>
            <color indexed="81"/>
            <rFont val="Tahoma"/>
            <family val="2"/>
          </rPr>
          <t xml:space="preserve">
JUNE Datastream
</t>
        </r>
      </text>
    </comment>
    <comment ref="I8682" authorId="0" shapeId="0">
      <text>
        <r>
          <rPr>
            <b/>
            <sz val="9"/>
            <color indexed="81"/>
            <rFont val="Tahoma"/>
            <family val="2"/>
          </rPr>
          <t>Kylie Zhang:</t>
        </r>
        <r>
          <rPr>
            <sz val="9"/>
            <color indexed="81"/>
            <rFont val="Tahoma"/>
            <family val="2"/>
          </rPr>
          <t xml:space="preserve">
JUNE Datastream
</t>
        </r>
      </text>
    </comment>
    <comment ref="E8885" authorId="1" shapeId="0">
      <text>
        <r>
          <rPr>
            <b/>
            <sz val="9"/>
            <color indexed="81"/>
            <rFont val="Tahoma"/>
            <family val="2"/>
          </rPr>
          <t>Carmen:</t>
        </r>
        <r>
          <rPr>
            <sz val="9"/>
            <color indexed="81"/>
            <rFont val="Tahoma"/>
            <family val="2"/>
          </rPr>
          <t xml:space="preserve">
The date of resolution for this crisis is uncertain.</t>
        </r>
      </text>
    </comment>
    <comment ref="E8886" authorId="1" shapeId="0">
      <text>
        <r>
          <rPr>
            <b/>
            <sz val="9"/>
            <color indexed="81"/>
            <rFont val="Tahoma"/>
            <family val="2"/>
          </rPr>
          <t>Carmen:</t>
        </r>
        <r>
          <rPr>
            <sz val="9"/>
            <color indexed="81"/>
            <rFont val="Tahoma"/>
            <family val="2"/>
          </rPr>
          <t xml:space="preserve">
The date of resolution for this crisis is uncertain.</t>
        </r>
      </text>
    </comment>
    <comment ref="S8897" authorId="1" shapeId="0">
      <text>
        <r>
          <rPr>
            <b/>
            <sz val="9"/>
            <color indexed="81"/>
            <rFont val="Tahoma"/>
            <family val="2"/>
          </rPr>
          <t>Carmen:</t>
        </r>
        <r>
          <rPr>
            <sz val="9"/>
            <color indexed="81"/>
            <rFont val="Tahoma"/>
            <family val="2"/>
          </rPr>
          <t xml:space="preserve">
It is conceivable that effeorts to restructure were completed in in late 2013 (at the earliest, (see Hulova, 2013). In that case (low probability) 2014=0</t>
        </r>
      </text>
    </comment>
    <comment ref="T8897" authorId="1" shapeId="0">
      <text>
        <r>
          <rPr>
            <b/>
            <sz val="9"/>
            <color indexed="81"/>
            <rFont val="Tahoma"/>
            <family val="2"/>
          </rPr>
          <t>Carmen:</t>
        </r>
        <r>
          <rPr>
            <sz val="9"/>
            <color indexed="81"/>
            <rFont val="Tahoma"/>
            <family val="2"/>
          </rPr>
          <t xml:space="preserve">
It is conceivable that effeorts to restructure were completed in in late 2013 (at the earliest, (see Hulova, 2013). In that case (low probability) 2014=0</t>
        </r>
      </text>
    </comment>
    <comment ref="I9115" authorId="1" shapeId="0">
      <text>
        <r>
          <rPr>
            <b/>
            <sz val="9"/>
            <color indexed="81"/>
            <rFont val="Tahoma"/>
            <family val="2"/>
          </rPr>
          <t>Carmen:</t>
        </r>
        <r>
          <rPr>
            <sz val="9"/>
            <color indexed="81"/>
            <rFont val="Tahoma"/>
            <family val="2"/>
          </rPr>
          <t xml:space="preserve">
August</t>
        </r>
      </text>
    </comment>
    <comment ref="I9116" authorId="0" shapeId="0">
      <text>
        <r>
          <rPr>
            <b/>
            <sz val="9"/>
            <color indexed="81"/>
            <rFont val="Tahoma"/>
            <family val="2"/>
          </rPr>
          <t>Kylie Zhang:</t>
        </r>
        <r>
          <rPr>
            <sz val="9"/>
            <color indexed="81"/>
            <rFont val="Tahoma"/>
            <family val="2"/>
          </rPr>
          <t xml:space="preserve">
SEPTEMBER
Oanda
</t>
        </r>
      </text>
    </comment>
    <comment ref="J9284" authorId="2" shapeId="0">
      <text>
        <r>
          <rPr>
            <sz val="10"/>
            <rFont val="Arial"/>
            <family val="2"/>
          </rPr>
          <t>Identifies the point at which multiple time series versions are linked by ratio splicing using all annual, quarterly, and monthly overlaps</t>
        </r>
      </text>
    </comment>
    <comment ref="E9304" authorId="1" shapeId="0">
      <text>
        <r>
          <rPr>
            <b/>
            <sz val="9"/>
            <color indexed="81"/>
            <rFont val="Tahoma"/>
            <family val="2"/>
          </rPr>
          <t>Carmen:</t>
        </r>
        <r>
          <rPr>
            <sz val="9"/>
            <color indexed="81"/>
            <rFont val="Tahoma"/>
            <family val="2"/>
          </rPr>
          <t xml:space="preserve">
Nota systemic crisis</t>
        </r>
      </text>
    </comment>
    <comment ref="I9333" authorId="0" shapeId="0">
      <text>
        <r>
          <rPr>
            <b/>
            <sz val="9"/>
            <color indexed="81"/>
            <rFont val="Tahoma"/>
            <family val="2"/>
          </rPr>
          <t>Kylie Zhang:</t>
        </r>
        <r>
          <rPr>
            <sz val="9"/>
            <color indexed="81"/>
            <rFont val="Tahoma"/>
            <family val="2"/>
          </rPr>
          <t xml:space="preserve">
JUNE Datastream
</t>
        </r>
      </text>
    </comment>
    <comment ref="J9513" authorId="2" shapeId="0">
      <text>
        <r>
          <rPr>
            <sz val="10"/>
            <rFont val="Arial"/>
            <family val="2"/>
          </rPr>
          <t>Identifies the point at which multiple time series versions are linked by ratio splicing using all annual, quarterly, and monthly overlaps</t>
        </r>
      </text>
    </comment>
    <comment ref="E9534" authorId="1" shapeId="0">
      <text>
        <r>
          <rPr>
            <b/>
            <sz val="9"/>
            <color indexed="81"/>
            <rFont val="Tahoma"/>
            <family val="2"/>
          </rPr>
          <t>Carmen:</t>
        </r>
        <r>
          <rPr>
            <sz val="9"/>
            <color indexed="81"/>
            <rFont val="Tahoma"/>
            <family val="2"/>
          </rPr>
          <t xml:space="preserve">
Not a systemic crisis.</t>
        </r>
      </text>
    </comment>
    <comment ref="J9549" authorId="1" shapeId="0">
      <text>
        <r>
          <rPr>
            <b/>
            <sz val="9"/>
            <color indexed="81"/>
            <rFont val="Tahoma"/>
            <family val="2"/>
          </rPr>
          <t>Carmen:</t>
        </r>
        <r>
          <rPr>
            <sz val="9"/>
            <color indexed="81"/>
            <rFont val="Tahoma"/>
            <family val="2"/>
          </rPr>
          <t xml:space="preserve">
June</t>
        </r>
      </text>
    </comment>
    <comment ref="I9550" authorId="0" shapeId="0">
      <text>
        <r>
          <rPr>
            <b/>
            <sz val="9"/>
            <color indexed="81"/>
            <rFont val="Tahoma"/>
            <family val="2"/>
          </rPr>
          <t>Kylie Zhang:</t>
        </r>
        <r>
          <rPr>
            <sz val="9"/>
            <color indexed="81"/>
            <rFont val="Tahoma"/>
            <family val="2"/>
          </rPr>
          <t xml:space="preserve">
JUNE Datastream
</t>
        </r>
      </text>
    </comment>
    <comment ref="J9550" authorId="1" shapeId="0">
      <text>
        <r>
          <rPr>
            <b/>
            <sz val="9"/>
            <color indexed="81"/>
            <rFont val="Tahoma"/>
            <family val="2"/>
          </rPr>
          <t>Carmen:</t>
        </r>
        <r>
          <rPr>
            <sz val="9"/>
            <color indexed="81"/>
            <rFont val="Tahoma"/>
            <family val="2"/>
          </rPr>
          <t xml:space="preserve">
June</t>
        </r>
      </text>
    </comment>
    <comment ref="J9766" authorId="1" shapeId="0">
      <text>
        <r>
          <rPr>
            <b/>
            <sz val="9"/>
            <color indexed="81"/>
            <rFont val="Tahoma"/>
            <family val="2"/>
          </rPr>
          <t>Carmen:</t>
        </r>
        <r>
          <rPr>
            <sz val="9"/>
            <color indexed="81"/>
            <rFont val="Tahoma"/>
            <family val="2"/>
          </rPr>
          <t xml:space="preserve">
March</t>
        </r>
      </text>
    </comment>
    <comment ref="I9767" authorId="0" shapeId="0">
      <text>
        <r>
          <rPr>
            <b/>
            <sz val="9"/>
            <color indexed="81"/>
            <rFont val="Tahoma"/>
            <family val="2"/>
          </rPr>
          <t>Kylie Zhang:</t>
        </r>
        <r>
          <rPr>
            <sz val="9"/>
            <color indexed="81"/>
            <rFont val="Tahoma"/>
            <family val="2"/>
          </rPr>
          <t xml:space="preserve">
JUNE Datastream
</t>
        </r>
      </text>
    </comment>
    <comment ref="J9767" authorId="1" shapeId="0">
      <text>
        <r>
          <rPr>
            <b/>
            <sz val="9"/>
            <color indexed="81"/>
            <rFont val="Tahoma"/>
            <family val="2"/>
          </rPr>
          <t>Carmen:</t>
        </r>
        <r>
          <rPr>
            <sz val="9"/>
            <color indexed="81"/>
            <rFont val="Tahoma"/>
            <family val="2"/>
          </rPr>
          <t xml:space="preserve">
March</t>
        </r>
      </text>
    </comment>
    <comment ref="E9904" authorId="1" shapeId="0">
      <text>
        <r>
          <rPr>
            <b/>
            <sz val="9"/>
            <color indexed="81"/>
            <rFont val="Tahoma"/>
            <family val="2"/>
          </rPr>
          <t>Carmen:</t>
        </r>
        <r>
          <rPr>
            <sz val="9"/>
            <color indexed="81"/>
            <rFont val="Tahoma"/>
            <family val="2"/>
          </rPr>
          <t xml:space="preserve">
Not a systemic crisis.</t>
        </r>
      </text>
    </comment>
    <comment ref="I9984" authorId="0" shapeId="0">
      <text>
        <r>
          <rPr>
            <b/>
            <sz val="9"/>
            <color indexed="81"/>
            <rFont val="Tahoma"/>
            <family val="2"/>
          </rPr>
          <t>Kylie Zhang:</t>
        </r>
        <r>
          <rPr>
            <sz val="9"/>
            <color indexed="81"/>
            <rFont val="Tahoma"/>
            <family val="2"/>
          </rPr>
          <t xml:space="preserve">
JUNE Datastream
</t>
        </r>
      </text>
    </comment>
    <comment ref="I10201" authorId="0" shapeId="0">
      <text>
        <r>
          <rPr>
            <b/>
            <sz val="9"/>
            <color indexed="81"/>
            <rFont val="Tahoma"/>
            <family val="2"/>
          </rPr>
          <t>Kylie Zhang:</t>
        </r>
        <r>
          <rPr>
            <sz val="9"/>
            <color indexed="81"/>
            <rFont val="Tahoma"/>
            <family val="2"/>
          </rPr>
          <t xml:space="preserve">
JUNE Datastream
</t>
        </r>
      </text>
    </comment>
    <comment ref="I10418" authorId="0" shapeId="0">
      <text>
        <r>
          <rPr>
            <b/>
            <sz val="9"/>
            <color indexed="81"/>
            <rFont val="Tahoma"/>
            <family val="2"/>
          </rPr>
          <t>Kylie Zhang:</t>
        </r>
        <r>
          <rPr>
            <sz val="9"/>
            <color indexed="81"/>
            <rFont val="Tahoma"/>
            <family val="2"/>
          </rPr>
          <t xml:space="preserve">
JUNE Datastream
</t>
        </r>
      </text>
    </comment>
    <comment ref="J10634" authorId="1" shapeId="0">
      <text>
        <r>
          <rPr>
            <b/>
            <sz val="9"/>
            <color indexed="81"/>
            <rFont val="Tahoma"/>
            <family val="2"/>
          </rPr>
          <t>Carmen:</t>
        </r>
        <r>
          <rPr>
            <sz val="9"/>
            <color indexed="81"/>
            <rFont val="Tahoma"/>
            <family val="2"/>
          </rPr>
          <t xml:space="preserve">
July</t>
        </r>
      </text>
    </comment>
    <comment ref="I10635" authorId="0" shapeId="0">
      <text>
        <r>
          <rPr>
            <b/>
            <sz val="9"/>
            <color indexed="81"/>
            <rFont val="Tahoma"/>
            <family val="2"/>
          </rPr>
          <t>Kylie Zhang:</t>
        </r>
        <r>
          <rPr>
            <sz val="9"/>
            <color indexed="81"/>
            <rFont val="Tahoma"/>
            <family val="2"/>
          </rPr>
          <t xml:space="preserve">
JUNE Datastream
</t>
        </r>
      </text>
    </comment>
    <comment ref="I10852" authorId="0" shapeId="0">
      <text>
        <r>
          <rPr>
            <b/>
            <sz val="9"/>
            <color indexed="81"/>
            <rFont val="Tahoma"/>
            <family val="2"/>
          </rPr>
          <t>Kylie Zhang:</t>
        </r>
        <r>
          <rPr>
            <sz val="9"/>
            <color indexed="81"/>
            <rFont val="Tahoma"/>
            <family val="2"/>
          </rPr>
          <t xml:space="preserve">
JUNE Datastream
</t>
        </r>
      </text>
    </comment>
    <comment ref="I11069" authorId="0" shapeId="0">
      <text>
        <r>
          <rPr>
            <b/>
            <sz val="9"/>
            <color indexed="81"/>
            <rFont val="Tahoma"/>
            <family val="2"/>
          </rPr>
          <t>Kylie Zhang:</t>
        </r>
        <r>
          <rPr>
            <sz val="9"/>
            <color indexed="81"/>
            <rFont val="Tahoma"/>
            <family val="2"/>
          </rPr>
          <t xml:space="preserve">
JUNE Datastream
</t>
        </r>
      </text>
    </comment>
    <comment ref="E11098" authorId="1" shapeId="0">
      <text>
        <r>
          <rPr>
            <b/>
            <sz val="9"/>
            <color indexed="81"/>
            <rFont val="Tahoma"/>
            <family val="2"/>
          </rPr>
          <t>Carmen:</t>
        </r>
        <r>
          <rPr>
            <sz val="9"/>
            <color indexed="81"/>
            <rFont val="Tahoma"/>
            <family val="2"/>
          </rPr>
          <t xml:space="preserve">
Nota systemic crisis.</t>
        </r>
      </text>
    </comment>
    <comment ref="K11161" authorId="1" shapeId="0">
      <text>
        <r>
          <rPr>
            <b/>
            <sz val="9"/>
            <color indexed="81"/>
            <rFont val="Tahoma"/>
            <family val="2"/>
          </rPr>
          <t>Carmen:</t>
        </r>
        <r>
          <rPr>
            <sz val="9"/>
            <color indexed="81"/>
            <rFont val="Tahoma"/>
            <family val="2"/>
          </rPr>
          <t xml:space="preserve">
Historical Statistics of Portugal, page 737</t>
        </r>
      </text>
    </comment>
    <comment ref="I11285" authorId="1" shapeId="0">
      <text>
        <r>
          <rPr>
            <b/>
            <sz val="9"/>
            <color indexed="81"/>
            <rFont val="Tahoma"/>
            <family val="2"/>
          </rPr>
          <t>Carmen:</t>
        </r>
        <r>
          <rPr>
            <sz val="9"/>
            <color indexed="81"/>
            <rFont val="Tahoma"/>
            <family val="2"/>
          </rPr>
          <t xml:space="preserve">
August</t>
        </r>
      </text>
    </comment>
    <comment ref="I11286" authorId="0" shapeId="0">
      <text>
        <r>
          <rPr>
            <b/>
            <sz val="9"/>
            <color indexed="81"/>
            <rFont val="Tahoma"/>
            <family val="2"/>
          </rPr>
          <t>Kylie Zhang:</t>
        </r>
        <r>
          <rPr>
            <sz val="9"/>
            <color indexed="81"/>
            <rFont val="Tahoma"/>
            <family val="2"/>
          </rPr>
          <t xml:space="preserve">
SEPTEMBER
Oanda
</t>
        </r>
      </text>
    </comment>
    <comment ref="J11502" authorId="1" shapeId="0">
      <text>
        <r>
          <rPr>
            <b/>
            <sz val="9"/>
            <color indexed="81"/>
            <rFont val="Tahoma"/>
            <family val="2"/>
          </rPr>
          <t>Carmen:</t>
        </r>
        <r>
          <rPr>
            <sz val="9"/>
            <color indexed="81"/>
            <rFont val="Tahoma"/>
            <family val="2"/>
          </rPr>
          <t xml:space="preserve">
August</t>
        </r>
      </text>
    </comment>
    <comment ref="I11503" authorId="0" shapeId="0">
      <text>
        <r>
          <rPr>
            <b/>
            <sz val="9"/>
            <color indexed="81"/>
            <rFont val="Tahoma"/>
            <family val="2"/>
          </rPr>
          <t>Kylie Zhang:</t>
        </r>
        <r>
          <rPr>
            <sz val="9"/>
            <color indexed="81"/>
            <rFont val="Tahoma"/>
            <family val="2"/>
          </rPr>
          <t xml:space="preserve">
JUNE Datastream
</t>
        </r>
      </text>
    </comment>
    <comment ref="I11720" authorId="0" shapeId="0">
      <text>
        <r>
          <rPr>
            <b/>
            <sz val="9"/>
            <color indexed="81"/>
            <rFont val="Tahoma"/>
            <family val="2"/>
          </rPr>
          <t>Kylie Zhang:</t>
        </r>
        <r>
          <rPr>
            <sz val="9"/>
            <color indexed="81"/>
            <rFont val="Tahoma"/>
            <family val="2"/>
          </rPr>
          <t xml:space="preserve">
JUNE Datastream
</t>
        </r>
      </text>
    </comment>
    <comment ref="E11903" authorId="1" shapeId="0">
      <text>
        <r>
          <rPr>
            <b/>
            <sz val="9"/>
            <color indexed="81"/>
            <rFont val="Tahoma"/>
            <family val="2"/>
          </rPr>
          <t>Carmen:</t>
        </r>
        <r>
          <rPr>
            <sz val="9"/>
            <color indexed="81"/>
            <rFont val="Tahoma"/>
            <family val="2"/>
          </rPr>
          <t xml:space="preserve">
Not a systemic crisis</t>
        </r>
      </text>
    </comment>
    <comment ref="I11937" authorId="0" shapeId="0">
      <text>
        <r>
          <rPr>
            <b/>
            <sz val="9"/>
            <color indexed="81"/>
            <rFont val="Tahoma"/>
            <family val="2"/>
          </rPr>
          <t>Kylie Zhang:</t>
        </r>
        <r>
          <rPr>
            <sz val="9"/>
            <color indexed="81"/>
            <rFont val="Tahoma"/>
            <family val="2"/>
          </rPr>
          <t xml:space="preserve">
JUNE Datastream
</t>
        </r>
      </text>
    </comment>
    <comment ref="I12154" authorId="0" shapeId="0">
      <text>
        <r>
          <rPr>
            <b/>
            <sz val="9"/>
            <color indexed="81"/>
            <rFont val="Tahoma"/>
            <family val="2"/>
          </rPr>
          <t>Kylie Zhang:</t>
        </r>
        <r>
          <rPr>
            <sz val="9"/>
            <color indexed="81"/>
            <rFont val="Tahoma"/>
            <family val="2"/>
          </rPr>
          <t xml:space="preserve">
JUNE Datastream
</t>
        </r>
      </text>
    </comment>
    <comment ref="E12184" authorId="1" shapeId="0">
      <text>
        <r>
          <rPr>
            <b/>
            <sz val="9"/>
            <color indexed="81"/>
            <rFont val="Tahoma"/>
            <family val="2"/>
          </rPr>
          <t>Carmen:</t>
        </r>
        <r>
          <rPr>
            <sz val="9"/>
            <color indexed="81"/>
            <rFont val="Tahoma"/>
            <family val="2"/>
          </rPr>
          <t xml:space="preserve">
Not a systemic crisis.</t>
        </r>
      </text>
    </comment>
    <comment ref="E12201" authorId="1" shapeId="0">
      <text>
        <r>
          <rPr>
            <b/>
            <sz val="9"/>
            <color indexed="81"/>
            <rFont val="Tahoma"/>
            <family val="2"/>
          </rPr>
          <t>Carmen:</t>
        </r>
        <r>
          <rPr>
            <sz val="9"/>
            <color indexed="81"/>
            <rFont val="Tahoma"/>
            <family val="2"/>
          </rPr>
          <t xml:space="preserve">
Not a systemic crisis.</t>
        </r>
      </text>
    </comment>
    <comment ref="E12279" authorId="1" shapeId="0">
      <text>
        <r>
          <rPr>
            <b/>
            <sz val="9"/>
            <color indexed="81"/>
            <rFont val="Tahoma"/>
            <family val="2"/>
          </rPr>
          <t>Carmen:</t>
        </r>
        <r>
          <rPr>
            <sz val="9"/>
            <color indexed="81"/>
            <rFont val="Tahoma"/>
            <family val="2"/>
          </rPr>
          <t xml:space="preserve">
Onsetof renewed crisis. Bernanke and James and Bordo et a.</t>
        </r>
      </text>
    </comment>
    <comment ref="I12370" authorId="1" shapeId="0">
      <text>
        <r>
          <rPr>
            <b/>
            <sz val="9"/>
            <color indexed="81"/>
            <rFont val="Tahoma"/>
            <family val="2"/>
          </rPr>
          <t>Carmen:</t>
        </r>
        <r>
          <rPr>
            <sz val="9"/>
            <color indexed="81"/>
            <rFont val="Tahoma"/>
            <family val="2"/>
          </rPr>
          <t xml:space="preserve">
August</t>
        </r>
      </text>
    </comment>
    <comment ref="I12371" authorId="0" shapeId="0">
      <text>
        <r>
          <rPr>
            <b/>
            <sz val="9"/>
            <color indexed="81"/>
            <rFont val="Tahoma"/>
            <family val="2"/>
          </rPr>
          <t>Kylie Zhang:</t>
        </r>
        <r>
          <rPr>
            <sz val="9"/>
            <color indexed="81"/>
            <rFont val="Tahoma"/>
            <family val="2"/>
          </rPr>
          <t xml:space="preserve">
SEPTEMBER
Oanda
</t>
        </r>
      </text>
    </comment>
    <comment ref="I12588" authorId="0" shapeId="0">
      <text>
        <r>
          <rPr>
            <b/>
            <sz val="9"/>
            <color indexed="81"/>
            <rFont val="Tahoma"/>
            <family val="2"/>
          </rPr>
          <t>Kylie Zhang:</t>
        </r>
        <r>
          <rPr>
            <sz val="9"/>
            <color indexed="81"/>
            <rFont val="Tahoma"/>
            <family val="2"/>
          </rPr>
          <t xml:space="preserve">
JUNE Datastream
</t>
        </r>
      </text>
    </comment>
    <comment ref="E12797" authorId="1" shapeId="0">
      <text>
        <r>
          <rPr>
            <b/>
            <sz val="9"/>
            <color indexed="81"/>
            <rFont val="Tahoma"/>
            <family val="2"/>
          </rPr>
          <t>Carmen:</t>
        </r>
        <r>
          <rPr>
            <sz val="9"/>
            <color indexed="81"/>
            <rFont val="Tahoma"/>
            <family val="2"/>
          </rPr>
          <t xml:space="preserve">
Not a systemic crisis.</t>
        </r>
      </text>
    </comment>
    <comment ref="I12804" authorId="1" shapeId="0">
      <text>
        <r>
          <rPr>
            <b/>
            <sz val="9"/>
            <color indexed="81"/>
            <rFont val="Tahoma"/>
            <family val="2"/>
          </rPr>
          <t>Carmen:</t>
        </r>
        <r>
          <rPr>
            <sz val="9"/>
            <color indexed="81"/>
            <rFont val="Tahoma"/>
            <family val="2"/>
          </rPr>
          <t xml:space="preserve">
August</t>
        </r>
      </text>
    </comment>
    <comment ref="I12805" authorId="0" shapeId="0">
      <text>
        <r>
          <rPr>
            <b/>
            <sz val="9"/>
            <color indexed="81"/>
            <rFont val="Tahoma"/>
            <family val="2"/>
          </rPr>
          <t>Kylie Zhang:</t>
        </r>
        <r>
          <rPr>
            <sz val="9"/>
            <color indexed="81"/>
            <rFont val="Tahoma"/>
            <family val="2"/>
          </rPr>
          <t xml:space="preserve">
SEPTEMBER
Oanda
</t>
        </r>
      </text>
    </comment>
    <comment ref="I13022" authorId="0" shapeId="0">
      <text>
        <r>
          <rPr>
            <b/>
            <sz val="9"/>
            <color indexed="81"/>
            <rFont val="Tahoma"/>
            <family val="2"/>
          </rPr>
          <t>Kylie Zhang:</t>
        </r>
        <r>
          <rPr>
            <sz val="9"/>
            <color indexed="81"/>
            <rFont val="Tahoma"/>
            <family val="2"/>
          </rPr>
          <t xml:space="preserve">
JUNE Datastream
</t>
        </r>
      </text>
    </comment>
    <comment ref="I13239" authorId="0" shapeId="0">
      <text>
        <r>
          <rPr>
            <b/>
            <sz val="9"/>
            <color indexed="81"/>
            <rFont val="Tahoma"/>
            <family val="2"/>
          </rPr>
          <t>Kylie Zhang:</t>
        </r>
        <r>
          <rPr>
            <sz val="9"/>
            <color indexed="81"/>
            <rFont val="Tahoma"/>
            <family val="2"/>
          </rPr>
          <t xml:space="preserve">
JUNE Datastream
</t>
        </r>
      </text>
    </comment>
    <comment ref="I13456" authorId="0" shapeId="0">
      <text>
        <r>
          <rPr>
            <b/>
            <sz val="9"/>
            <color indexed="81"/>
            <rFont val="Tahoma"/>
            <family val="2"/>
          </rPr>
          <t>Kylie Zhang:</t>
        </r>
        <r>
          <rPr>
            <sz val="9"/>
            <color indexed="81"/>
            <rFont val="Tahoma"/>
            <family val="2"/>
          </rPr>
          <t xml:space="preserve">
JUNE Datastream
</t>
        </r>
      </text>
    </comment>
    <comment ref="I13673" authorId="0" shapeId="0">
      <text>
        <r>
          <rPr>
            <b/>
            <sz val="9"/>
            <color indexed="81"/>
            <rFont val="Tahoma"/>
            <family val="2"/>
          </rPr>
          <t>Kylie Zhang:</t>
        </r>
        <r>
          <rPr>
            <sz val="9"/>
            <color indexed="81"/>
            <rFont val="Tahoma"/>
            <family val="2"/>
          </rPr>
          <t xml:space="preserve">
JUNE Datastream
</t>
        </r>
      </text>
    </comment>
    <comment ref="E13865" authorId="1" shapeId="0">
      <text>
        <r>
          <rPr>
            <b/>
            <sz val="9"/>
            <color indexed="81"/>
            <rFont val="Tahoma"/>
            <family val="2"/>
          </rPr>
          <t>Carmen:</t>
        </r>
        <r>
          <rPr>
            <sz val="9"/>
            <color indexed="81"/>
            <rFont val="Tahoma"/>
            <family val="2"/>
          </rPr>
          <t xml:space="preserve">
Not a systemic crisis.</t>
        </r>
      </text>
    </comment>
    <comment ref="E13868" authorId="1" shapeId="0">
      <text>
        <r>
          <rPr>
            <b/>
            <sz val="9"/>
            <color indexed="81"/>
            <rFont val="Tahoma"/>
            <family val="2"/>
          </rPr>
          <t>Carmen:</t>
        </r>
        <r>
          <rPr>
            <sz val="9"/>
            <color indexed="81"/>
            <rFont val="Tahoma"/>
            <family val="2"/>
          </rPr>
          <t xml:space="preserve">
Not a systemic crisis.</t>
        </r>
      </text>
    </comment>
    <comment ref="J13889" authorId="1" shapeId="0">
      <text>
        <r>
          <rPr>
            <b/>
            <sz val="9"/>
            <color indexed="81"/>
            <rFont val="Tahoma"/>
            <family val="2"/>
          </rPr>
          <t>Carmen:</t>
        </r>
        <r>
          <rPr>
            <sz val="9"/>
            <color indexed="81"/>
            <rFont val="Tahoma"/>
            <family val="2"/>
          </rPr>
          <t xml:space="preserve">
July</t>
        </r>
      </text>
    </comment>
    <comment ref="I13890" authorId="0" shapeId="0">
      <text>
        <r>
          <rPr>
            <b/>
            <sz val="9"/>
            <color indexed="81"/>
            <rFont val="Tahoma"/>
            <family val="2"/>
          </rPr>
          <t>Kylie Zhang:</t>
        </r>
        <r>
          <rPr>
            <sz val="9"/>
            <color indexed="81"/>
            <rFont val="Tahoma"/>
            <family val="2"/>
          </rPr>
          <t xml:space="preserve">
JUNE Datastream
</t>
        </r>
      </text>
    </comment>
    <comment ref="J13890" authorId="1" shapeId="0">
      <text>
        <r>
          <rPr>
            <b/>
            <sz val="9"/>
            <color indexed="81"/>
            <rFont val="Tahoma"/>
            <family val="2"/>
          </rPr>
          <t>Carmen:</t>
        </r>
        <r>
          <rPr>
            <sz val="9"/>
            <color indexed="81"/>
            <rFont val="Tahoma"/>
            <family val="2"/>
          </rPr>
          <t xml:space="preserve">
July</t>
        </r>
      </text>
    </comment>
    <comment ref="E13981" authorId="1" shapeId="0">
      <text>
        <r>
          <rPr>
            <b/>
            <sz val="9"/>
            <color indexed="81"/>
            <rFont val="Tahoma"/>
            <family val="2"/>
          </rPr>
          <t>Carmen:</t>
        </r>
        <r>
          <rPr>
            <sz val="9"/>
            <color indexed="81"/>
            <rFont val="Tahoma"/>
            <family val="2"/>
          </rPr>
          <t xml:space="preserve">
Not a systemic crisis</t>
        </r>
      </text>
    </comment>
    <comment ref="E13999" authorId="1" shapeId="0">
      <text>
        <r>
          <rPr>
            <b/>
            <sz val="9"/>
            <color indexed="81"/>
            <rFont val="Tahoma"/>
            <family val="2"/>
          </rPr>
          <t>Carmen:</t>
        </r>
        <r>
          <rPr>
            <sz val="9"/>
            <color indexed="81"/>
            <rFont val="Tahoma"/>
            <family val="2"/>
          </rPr>
          <t xml:space="preserve">
Not a systemic crisis</t>
        </r>
      </text>
    </comment>
    <comment ref="E14065" authorId="1" shapeId="0">
      <text>
        <r>
          <rPr>
            <b/>
            <sz val="9"/>
            <color indexed="81"/>
            <rFont val="Tahoma"/>
            <family val="2"/>
          </rPr>
          <t>Carmen:</t>
        </r>
        <r>
          <rPr>
            <sz val="9"/>
            <color indexed="81"/>
            <rFont val="Tahoma"/>
            <family val="2"/>
          </rPr>
          <t xml:space="preserve">
Not a systemic crisis.</t>
        </r>
      </text>
    </comment>
    <comment ref="E14075" authorId="1" shapeId="0">
      <text>
        <r>
          <rPr>
            <b/>
            <sz val="9"/>
            <color indexed="81"/>
            <rFont val="Tahoma"/>
            <family val="2"/>
          </rPr>
          <t>Carmen:</t>
        </r>
        <r>
          <rPr>
            <sz val="9"/>
            <color indexed="81"/>
            <rFont val="Tahoma"/>
            <family val="2"/>
          </rPr>
          <t xml:space="preserve">
Not a systemic crisis.</t>
        </r>
      </text>
    </comment>
    <comment ref="E14082" authorId="1" shapeId="0">
      <text>
        <r>
          <rPr>
            <b/>
            <sz val="9"/>
            <color indexed="81"/>
            <rFont val="Tahoma"/>
            <family val="2"/>
          </rPr>
          <t>Carmen:</t>
        </r>
        <r>
          <rPr>
            <sz val="9"/>
            <color indexed="81"/>
            <rFont val="Tahoma"/>
            <family val="2"/>
          </rPr>
          <t xml:space="preserve">
Not a systemic crisis.</t>
        </r>
      </text>
    </comment>
    <comment ref="E14086" authorId="1" shapeId="0">
      <text>
        <r>
          <rPr>
            <b/>
            <sz val="9"/>
            <color indexed="81"/>
            <rFont val="Tahoma"/>
            <family val="2"/>
          </rPr>
          <t>Carmen:</t>
        </r>
        <r>
          <rPr>
            <sz val="9"/>
            <color indexed="81"/>
            <rFont val="Tahoma"/>
            <family val="2"/>
          </rPr>
          <t xml:space="preserve">
Not a systemic crisis.</t>
        </r>
      </text>
    </comment>
    <comment ref="I14107" authorId="0" shapeId="0">
      <text>
        <r>
          <rPr>
            <b/>
            <sz val="9"/>
            <color indexed="81"/>
            <rFont val="Tahoma"/>
            <family val="2"/>
          </rPr>
          <t>Kylie Zhang:</t>
        </r>
        <r>
          <rPr>
            <sz val="9"/>
            <color indexed="81"/>
            <rFont val="Tahoma"/>
            <family val="2"/>
          </rPr>
          <t xml:space="preserve">
JUNE Datastream
</t>
        </r>
      </text>
    </comment>
    <comment ref="E14192" authorId="1" shapeId="0">
      <text>
        <r>
          <rPr>
            <b/>
            <sz val="9"/>
            <color indexed="81"/>
            <rFont val="Tahoma"/>
            <family val="2"/>
          </rPr>
          <t>Carmen:</t>
        </r>
        <r>
          <rPr>
            <sz val="9"/>
            <color indexed="81"/>
            <rFont val="Tahoma"/>
            <family val="2"/>
          </rPr>
          <t xml:space="preserve">
Not a systemic crisis.</t>
        </r>
      </text>
    </comment>
    <comment ref="E14292" authorId="1" shapeId="0">
      <text>
        <r>
          <rPr>
            <b/>
            <sz val="9"/>
            <color indexed="81"/>
            <rFont val="Tahoma"/>
            <family val="2"/>
          </rPr>
          <t>Carmen:</t>
        </r>
        <r>
          <rPr>
            <sz val="9"/>
            <color indexed="81"/>
            <rFont val="Tahoma"/>
            <family val="2"/>
          </rPr>
          <t xml:space="preserve">
Not a systemic crisis.</t>
        </r>
      </text>
    </comment>
    <comment ref="I14324" authorId="0" shapeId="0">
      <text>
        <r>
          <rPr>
            <b/>
            <sz val="9"/>
            <color indexed="81"/>
            <rFont val="Tahoma"/>
            <family val="2"/>
          </rPr>
          <t>Kylie Zhang:</t>
        </r>
        <r>
          <rPr>
            <sz val="9"/>
            <color indexed="81"/>
            <rFont val="Tahoma"/>
            <family val="2"/>
          </rPr>
          <t xml:space="preserve">
JUNE Datastream
</t>
        </r>
      </text>
    </comment>
    <comment ref="I14541" authorId="0" shapeId="0">
      <text>
        <r>
          <rPr>
            <b/>
            <sz val="9"/>
            <color indexed="81"/>
            <rFont val="Tahoma"/>
            <family val="2"/>
          </rPr>
          <t>Kylie Zhang:</t>
        </r>
        <r>
          <rPr>
            <sz val="9"/>
            <color indexed="81"/>
            <rFont val="Tahoma"/>
            <family val="2"/>
          </rPr>
          <t xml:space="preserve">
JUNE Datastream
</t>
        </r>
      </text>
    </comment>
    <comment ref="E14720" authorId="1" shapeId="0">
      <text>
        <r>
          <rPr>
            <b/>
            <sz val="9"/>
            <color indexed="81"/>
            <rFont val="Tahoma"/>
            <family val="2"/>
          </rPr>
          <t>Carmen:</t>
        </r>
        <r>
          <rPr>
            <sz val="9"/>
            <color indexed="81"/>
            <rFont val="Tahoma"/>
            <family val="2"/>
          </rPr>
          <t xml:space="preserve">
Not a systemic (if chronic) crisis</t>
        </r>
      </text>
    </comment>
    <comment ref="E14751" authorId="1" shapeId="0">
      <text>
        <r>
          <rPr>
            <b/>
            <sz val="9"/>
            <color indexed="81"/>
            <rFont val="Tahoma"/>
            <family val="2"/>
          </rPr>
          <t>Carmen:</t>
        </r>
        <r>
          <rPr>
            <sz val="9"/>
            <color indexed="81"/>
            <rFont val="Tahoma"/>
            <family val="2"/>
          </rPr>
          <t xml:space="preserve">
See http://en.wikipedia.org/wiki/Venezuelan_banking_crisis_of_2009%E2%80%9310</t>
        </r>
      </text>
    </comment>
    <comment ref="I14758" authorId="0" shapeId="0">
      <text>
        <r>
          <rPr>
            <b/>
            <sz val="9"/>
            <color indexed="81"/>
            <rFont val="Tahoma"/>
            <family val="2"/>
          </rPr>
          <t>Kylie Zhang:</t>
        </r>
        <r>
          <rPr>
            <sz val="9"/>
            <color indexed="81"/>
            <rFont val="Tahoma"/>
            <family val="2"/>
          </rPr>
          <t xml:space="preserve">
JUNE Datastream
</t>
        </r>
      </text>
    </comment>
    <comment ref="I14975" authorId="0" shapeId="0">
      <text>
        <r>
          <rPr>
            <b/>
            <sz val="9"/>
            <color indexed="81"/>
            <rFont val="Tahoma"/>
            <family val="2"/>
          </rPr>
          <t>Kylie Zhang:</t>
        </r>
        <r>
          <rPr>
            <sz val="9"/>
            <color indexed="81"/>
            <rFont val="Tahoma"/>
            <family val="2"/>
          </rPr>
          <t xml:space="preserve">
JUNE Datastream
</t>
        </r>
      </text>
    </comment>
    <comment ref="AA15185" authorId="1" shapeId="0">
      <text>
        <r>
          <rPr>
            <b/>
            <sz val="9"/>
            <color indexed="81"/>
            <rFont val="Tahoma"/>
            <family val="2"/>
          </rPr>
          <t>Carmen:</t>
        </r>
        <r>
          <rPr>
            <sz val="9"/>
            <color indexed="81"/>
            <rFont val="Tahoma"/>
            <family val="2"/>
          </rPr>
          <t xml:space="preserve">
The country dollarized in 2009</t>
        </r>
      </text>
    </comment>
    <comment ref="AA15186" authorId="1" shapeId="0">
      <text>
        <r>
          <rPr>
            <b/>
            <sz val="9"/>
            <color indexed="81"/>
            <rFont val="Tahoma"/>
            <family val="2"/>
          </rPr>
          <t>Carmen:</t>
        </r>
        <r>
          <rPr>
            <sz val="9"/>
            <color indexed="81"/>
            <rFont val="Tahoma"/>
            <family val="2"/>
          </rPr>
          <t xml:space="preserve">
The country dollarized in 2009</t>
        </r>
      </text>
    </comment>
    <comment ref="AA15187" authorId="1" shapeId="0">
      <text>
        <r>
          <rPr>
            <b/>
            <sz val="9"/>
            <color indexed="81"/>
            <rFont val="Tahoma"/>
            <family val="2"/>
          </rPr>
          <t>Carmen:</t>
        </r>
        <r>
          <rPr>
            <sz val="9"/>
            <color indexed="81"/>
            <rFont val="Tahoma"/>
            <family val="2"/>
          </rPr>
          <t xml:space="preserve">
The country dollarized in 2009</t>
        </r>
      </text>
    </comment>
    <comment ref="AA15188" authorId="1" shapeId="0">
      <text>
        <r>
          <rPr>
            <b/>
            <sz val="9"/>
            <color indexed="81"/>
            <rFont val="Tahoma"/>
            <family val="2"/>
          </rPr>
          <t>Carmen:</t>
        </r>
        <r>
          <rPr>
            <sz val="9"/>
            <color indexed="81"/>
            <rFont val="Tahoma"/>
            <family val="2"/>
          </rPr>
          <t xml:space="preserve">
The country dollarized in 2009</t>
        </r>
      </text>
    </comment>
    <comment ref="AA15189" authorId="1" shapeId="0">
      <text>
        <r>
          <rPr>
            <b/>
            <sz val="9"/>
            <color indexed="81"/>
            <rFont val="Tahoma"/>
            <family val="2"/>
          </rPr>
          <t>Carmen:</t>
        </r>
        <r>
          <rPr>
            <sz val="9"/>
            <color indexed="81"/>
            <rFont val="Tahoma"/>
            <family val="2"/>
          </rPr>
          <t xml:space="preserve">
The country dollarized in 2009</t>
        </r>
      </text>
    </comment>
    <comment ref="AA15190" authorId="1" shapeId="0">
      <text>
        <r>
          <rPr>
            <b/>
            <sz val="9"/>
            <color indexed="81"/>
            <rFont val="Tahoma"/>
            <family val="2"/>
          </rPr>
          <t>Carmen:</t>
        </r>
        <r>
          <rPr>
            <sz val="9"/>
            <color indexed="81"/>
            <rFont val="Tahoma"/>
            <family val="2"/>
          </rPr>
          <t xml:space="preserve">
The country dollarized in 2009</t>
        </r>
      </text>
    </comment>
  </commentList>
</comments>
</file>

<file path=xl/sharedStrings.xml><?xml version="1.0" encoding="utf-8"?>
<sst xmlns="http://schemas.openxmlformats.org/spreadsheetml/2006/main" count="103764" uniqueCount="695">
  <si>
    <t>Case</t>
  </si>
  <si>
    <t>Country</t>
  </si>
  <si>
    <t>Year</t>
  </si>
  <si>
    <t>DZA</t>
  </si>
  <si>
    <t>Algeria</t>
  </si>
  <si>
    <t>n/a</t>
  </si>
  <si>
    <t>Share of nonperforming loans in the banking system reached 50%.</t>
  </si>
  <si>
    <t>CC3</t>
  </si>
  <si>
    <t>Gold Standard</t>
  </si>
  <si>
    <t>exch_usd</t>
  </si>
  <si>
    <t>exch_usd_alt1</t>
  </si>
  <si>
    <t>exch_usd_alt2</t>
  </si>
  <si>
    <t>exch_usd_alt3</t>
  </si>
  <si>
    <t>conversion_notes</t>
  </si>
  <si>
    <t>Banking_Crisis_Notes</t>
  </si>
  <si>
    <t>exch_sources</t>
  </si>
  <si>
    <t>Domestic_Debt_In_Default</t>
  </si>
  <si>
    <t>1830-1877-French coins, 1878-1964-Alegrian franc, 1964-present-dinar.</t>
  </si>
  <si>
    <t xml:space="preserve">Primary source is GFD-IFS official end-of-period exchange rate; alt1 series is IFS end-of-period exchange rate; alt2 series is pick's parallel end-of-period exchange rate; </t>
  </si>
  <si>
    <t>AGO</t>
  </si>
  <si>
    <t>Angola</t>
  </si>
  <si>
    <t>Two state-owned commercial banks had insolvency problems.</t>
  </si>
  <si>
    <t>Argentina</t>
  </si>
  <si>
    <t>ARG</t>
  </si>
  <si>
    <t>AUS</t>
  </si>
  <si>
    <t>Australia</t>
  </si>
  <si>
    <t>Two large banks received capital from government to cover losses.</t>
  </si>
  <si>
    <t xml:space="preserve">Domestic lending boom showed the deteriorated quality of bank assets; land boom and unregulated banking system led to speculation. Closure of Mercantile Bank in Australia and Federal Bank of Australia meant British deposits ran off. Bank share prices fell heavily, banks retrenched and stopped long-term loans, and many closed. The depression of the 1890s followed. </t>
  </si>
  <si>
    <t>The failure of a large private bank (Banco de Intercambio Regional) led to runs on three other banks. Eventually more than 70 institutions—16% of commercial bank assets and 35% of finance company assets—were liquidated or subjected to central bank intervention.</t>
  </si>
  <si>
    <t>In early May, the government closed a large bank, leading to large runs, which led the government to freeze dollar deposits on May 19.</t>
  </si>
  <si>
    <t xml:space="preserve">The Mexican devaluation led to a run on banks, which resulted in an 18% decline in deposits between December and March. Eight banks suspended and three banks collapsed. </t>
  </si>
  <si>
    <t>In October 1987, the central bank liquidated two of twelve state commercial banks; seven more reported large losses. In total, five banks were liquidated. Banking system nonperforming loans reached 30% in 1987 and 92% by mid-1988.</t>
  </si>
  <si>
    <t>AUT</t>
  </si>
  <si>
    <t>Austria</t>
  </si>
  <si>
    <t>1693-1926-escudo Portugal, 1926-1958-angolar, 1958-1977- escudo Angola, 1977-present-kwanza</t>
  </si>
  <si>
    <t>Primary source is GFD-IFS official end-of-period exchange rate; alt1 series is IFS official average exchange rate; alt2 series is pick's parallel end-of-period exchange rate; alt3 series is RR-GFD market end-of-period exchange rate</t>
  </si>
  <si>
    <t>Peso: 18th century-present, several "types" of pesos--peso fuerte, peso austral, etc.</t>
  </si>
  <si>
    <t>Primary source is RR-GFD-IFS conversion labeled as official, but this is a market rate eop; alt1 series is IMF official average exchange rate; alt2 series is Pick's-RR official eop exchange rate; alt3 series is Pick's &amp; Blue dollar parallel end-of-period exchange rate</t>
  </si>
  <si>
    <t>19th century British monies, 1906-1966-Australia pound, 1966-present-Australia dollar</t>
  </si>
  <si>
    <t>Primary source is GFD-IFS official eop; alt1 series is GFD market eop exchange rate</t>
  </si>
  <si>
    <t>1748-1892-Gulden, 1892-1923-Krone,1923-1998 schilling, 1999-present euro</t>
  </si>
  <si>
    <t>Primary source isGFD-RR_IFS official eop; alt1 series is GFD market eop exchange rate; alt2 series is Pick's parallel eop</t>
  </si>
  <si>
    <t>BEL</t>
  </si>
  <si>
    <t>Belgium</t>
  </si>
  <si>
    <t xml:space="preserve">Two rival banks: Bank of Belgium (created in 1835) and Société Générale. Fear of war led to credit contraction. Société tried to bankrupt the Bank of Belgium by redeeming large amounts of credit, weakening both. Runs on Bank of Belgium; did not suspend payment, but appealed to Treasury for assistance. </t>
  </si>
  <si>
    <t>Bank of Belgium resigned its function of State depository to Société Générale; Société felt impact of crisis—abandoned all branches except Antwerp.</t>
  </si>
  <si>
    <t>Société Générale suspended payments and lost right of issue after government demands for reform. National Bank of Belgium created.</t>
  </si>
  <si>
    <t>Public fear due to State decisions and burdens; but Bank of Belgium reassured people by continuing payments (raised discount rate and placed restrictions on acceptance of commercial paper)—great cost to commerce and bank.</t>
  </si>
  <si>
    <t>1832-1925-Belgian franc, 1926-45-belga,1945-1998 Belgian franc, 1999-present euro</t>
  </si>
  <si>
    <t>Primary source is GFD_RR_IFS official eop; alt1 series is GFD market eop exchange rate; alt2 series is RR-Pick's official eop; alt3 series is RR-Pick's parallel eop</t>
  </si>
  <si>
    <t>BOL</t>
  </si>
  <si>
    <t>Bolivia</t>
  </si>
  <si>
    <t>BRA</t>
  </si>
  <si>
    <t>Brazil</t>
  </si>
  <si>
    <t>CAN</t>
  </si>
  <si>
    <t>Canada</t>
  </si>
  <si>
    <t>CAF</t>
  </si>
  <si>
    <t>Central African Republic</t>
  </si>
  <si>
    <t>Chile</t>
  </si>
  <si>
    <t>CHL</t>
  </si>
  <si>
    <t>CHN</t>
  </si>
  <si>
    <t>China</t>
  </si>
  <si>
    <t>Colombia</t>
  </si>
  <si>
    <t>COL</t>
  </si>
  <si>
    <t>Costa Rica</t>
  </si>
  <si>
    <t>CRI</t>
  </si>
  <si>
    <t>CIV</t>
  </si>
  <si>
    <t>CoteD'Ivoire</t>
  </si>
  <si>
    <t>DNK</t>
  </si>
  <si>
    <t>Denmark</t>
  </si>
  <si>
    <t>DOM</t>
  </si>
  <si>
    <t>Dominican Republic</t>
  </si>
  <si>
    <t>ECU</t>
  </si>
  <si>
    <t>Ecuador</t>
  </si>
  <si>
    <t>EGY</t>
  </si>
  <si>
    <t>Egypt</t>
  </si>
  <si>
    <t>SLV</t>
  </si>
  <si>
    <t>El Salvador</t>
  </si>
  <si>
    <t>FIN</t>
  </si>
  <si>
    <t>Finland</t>
  </si>
  <si>
    <t>FRA</t>
  </si>
  <si>
    <t>France</t>
  </si>
  <si>
    <t>GRC</t>
  </si>
  <si>
    <t>Greece</t>
  </si>
  <si>
    <t>GHA</t>
  </si>
  <si>
    <t>Ghana</t>
  </si>
  <si>
    <t>GTM</t>
  </si>
  <si>
    <t>Guatemala</t>
  </si>
  <si>
    <t>HND</t>
  </si>
  <si>
    <t>Honduras</t>
  </si>
  <si>
    <t xml:space="preserve">HUN </t>
  </si>
  <si>
    <t>Hungary</t>
  </si>
  <si>
    <t>ISL</t>
  </si>
  <si>
    <t>Iceland</t>
  </si>
  <si>
    <t>IND</t>
  </si>
  <si>
    <t>India</t>
  </si>
  <si>
    <t>IDN</t>
  </si>
  <si>
    <t>Indonesia</t>
  </si>
  <si>
    <t>IRL</t>
  </si>
  <si>
    <t>Ireland</t>
  </si>
  <si>
    <t>ITA</t>
  </si>
  <si>
    <t>Italy</t>
  </si>
  <si>
    <t>JPN</t>
  </si>
  <si>
    <t>Japan</t>
  </si>
  <si>
    <t>KEN</t>
  </si>
  <si>
    <t>Kenya</t>
  </si>
  <si>
    <t>KOR</t>
  </si>
  <si>
    <t>Korea</t>
  </si>
  <si>
    <t>MYS</t>
  </si>
  <si>
    <t>Malaysia</t>
  </si>
  <si>
    <t>MUS</t>
  </si>
  <si>
    <t>Mauritius</t>
  </si>
  <si>
    <t>MEX</t>
  </si>
  <si>
    <t>Mexico</t>
  </si>
  <si>
    <t>MAR</t>
  </si>
  <si>
    <t>Morocco</t>
  </si>
  <si>
    <t>MMR</t>
  </si>
  <si>
    <t>Myanmar</t>
  </si>
  <si>
    <t>NLD</t>
  </si>
  <si>
    <t>Netherlands</t>
  </si>
  <si>
    <t>NZL</t>
  </si>
  <si>
    <t>New Zealand</t>
  </si>
  <si>
    <t>NIC</t>
  </si>
  <si>
    <t>Nicaragua</t>
  </si>
  <si>
    <t>NGA</t>
  </si>
  <si>
    <t>Nigeria</t>
  </si>
  <si>
    <t>NOR</t>
  </si>
  <si>
    <t>Norway</t>
  </si>
  <si>
    <t>PAN</t>
  </si>
  <si>
    <t>Panama</t>
  </si>
  <si>
    <t>PRY</t>
  </si>
  <si>
    <t>Paraguay</t>
  </si>
  <si>
    <t>PER</t>
  </si>
  <si>
    <t>Peru</t>
  </si>
  <si>
    <t>PHL</t>
  </si>
  <si>
    <t>Philippines</t>
  </si>
  <si>
    <t>POL</t>
  </si>
  <si>
    <t>Poland</t>
  </si>
  <si>
    <t>PRT</t>
  </si>
  <si>
    <t>Portugal</t>
  </si>
  <si>
    <t>ROU</t>
  </si>
  <si>
    <t>Romania</t>
  </si>
  <si>
    <t>RUS</t>
  </si>
  <si>
    <t>Russia</t>
  </si>
  <si>
    <t>SGP</t>
  </si>
  <si>
    <t>Singapore</t>
  </si>
  <si>
    <t>ZAF</t>
  </si>
  <si>
    <t>South Africa</t>
  </si>
  <si>
    <t>ESP</t>
  </si>
  <si>
    <t>Spain</t>
  </si>
  <si>
    <t>LKA</t>
  </si>
  <si>
    <t>Sri Lanka</t>
  </si>
  <si>
    <t>SWE</t>
  </si>
  <si>
    <t>Sweden</t>
  </si>
  <si>
    <t>CHE</t>
  </si>
  <si>
    <t>Switzerland</t>
  </si>
  <si>
    <t>TWN</t>
  </si>
  <si>
    <t>Taiwan</t>
  </si>
  <si>
    <t>THA</t>
  </si>
  <si>
    <t>Thailand</t>
  </si>
  <si>
    <t>TUN</t>
  </si>
  <si>
    <t>Tunisia</t>
  </si>
  <si>
    <t>TUR</t>
  </si>
  <si>
    <t>Turkey</t>
  </si>
  <si>
    <t>GBR</t>
  </si>
  <si>
    <t>United Kingdom</t>
  </si>
  <si>
    <t>USA</t>
  </si>
  <si>
    <t>United States</t>
  </si>
  <si>
    <t>URY</t>
  </si>
  <si>
    <t>Uruguay</t>
  </si>
  <si>
    <t>VEN</t>
  </si>
  <si>
    <t>Venezuela</t>
  </si>
  <si>
    <t>ZMB</t>
  </si>
  <si>
    <t>Zambia</t>
  </si>
  <si>
    <t>ZWE</t>
  </si>
  <si>
    <t>Zimbabwe</t>
  </si>
  <si>
    <t>Banking system nonperforming loans reached 30% in 1987 and 92% by mid-1988.</t>
  </si>
  <si>
    <t xml:space="preserve">Two banks, with 11% of banking system assets, closed in 1994. In 1995, four of 15 domestic banks, with 30% of banking system assets, experienced liquidity problems and suffered a high level of nonperforming loans. </t>
  </si>
  <si>
    <t>Deposits converted to bonds.</t>
  </si>
  <si>
    <t xml:space="preserve">In 1994, 17 small banks were liquidated, three private banks were intervened, and eight state banks placed under administration. The Central Bank intervened in or put under temporary administration 43 financial institutions, and banking system nonperforming loans reached 15% by the end of 1997. Private banks returned to profitability in 1998, but public banks did not begin to recover until 1999. </t>
  </si>
  <si>
    <t xml:space="preserve">Inelastic coffee exports could not respond to currency depreciation; concentrated industry, limited competition, and slowed recovery from deflation. Liquidity injection did not help—deposits ran off and loans recalled. </t>
  </si>
  <si>
    <t xml:space="preserve">Civil War and currency depreciation. A loan from Rothschild's in London helped with an agreement on settling the country's debt. </t>
  </si>
  <si>
    <t xml:space="preserve">Large government borrowing and currency speculation—the government continually issued more notes. National Bank of Brazil and Bank of US of Brazil merged into Bank of Republic of US of Brazil. The new bank retired the government's paper notes. Financial-sector turmoil led to decline in output. </t>
  </si>
  <si>
    <t>Three large banks (Comind, Maison Nave, and Auxiliar) were taken over by the government.</t>
  </si>
  <si>
    <t xml:space="preserve">Kryzanowski and Roberts (1999); Home Bank of Canada, with over 70 branches, failed due to bad </t>
  </si>
  <si>
    <t>Bank of Upper Canada and Gore Bank suspended specie payments; rebellion in Lower Canada led to suspension of payments.</t>
  </si>
  <si>
    <t xml:space="preserve">Bank in Western Canada suspended payments, leading to financial panic. Bank of Upper Canada failed; rapid growth in Ontario—lost capital in land speculation in 1857; abandoned safe banking practices and made loans to lawyers, politicians, and gentry. </t>
  </si>
  <si>
    <t>Several bank failures; depression from 1874–1879.</t>
  </si>
  <si>
    <t>Ontario Bank failed due to speculation in NY stock market; shareholders lose entire investments.</t>
  </si>
  <si>
    <t xml:space="preserve">Current account deficit and a crop failure meant eastern banks were unwilling to ship funds west; banks raised loan rates, cut lending, and limited credit to farmers. Short but sharp recession; Canadian banks borrowed dominion notes and banks increased note issue. </t>
  </si>
  <si>
    <t>Royal Bank acquired Bank of British Honduras and Bank of British Guiana.</t>
  </si>
  <si>
    <t>Fifteen members of the Canadian Deposit Insurance Corporation, including two banks, failed.</t>
  </si>
  <si>
    <t>Four banks were liquidated.</t>
  </si>
  <si>
    <t>The two largest banks, with 90% of assets, were restructured. Banking system nonperforming loans reached 40%.</t>
  </si>
  <si>
    <t>Bank currency system and gold standard completely wrecked by threat of war with Argentine Republic. On July 5th, growing exports of gold and Bank of Chile’s refusal to honor gold drafts led to a run on banks at Santiago and general suspicion of gold drafts. The government issued irredeemable paper money, constantly increasing the monetary supply for the next 10 years, leading to a period of inflation and overspeculation.</t>
  </si>
  <si>
    <t xml:space="preserve">Four years of inflationary measures following a stock market crash; the peso fell 30% during the crisis, and the government loaned treasury notes to banks to prevent a financial sector crisis. Data concerning the ensuing recession are unavailable. </t>
  </si>
  <si>
    <t>Entire mortgage system insolvent.</t>
  </si>
  <si>
    <t>Three banks began to lose deposits; interventions began two months later. Interventions occurred in four banks and four nonbank financial institutions, accounting for 33% of outstanding loans. In 1983, there were seven more bank interventions and one financiera, accounting for 45% of financial system assets. By the end of 1983, 19% of loans were nonperforming. In 1982-85 the government spent 42% of GDP to resolve the banking crisis.</t>
  </si>
  <si>
    <t>Cheng (2003) Failure of a major silk-trading company in Shanghai led to the bankruptcies of many local banks.</t>
  </si>
  <si>
    <t>Young (1970) Postwar depression led many banks to fail.</t>
  </si>
  <si>
    <t>Cheng (2003)  Shanghai closed all Chinese banks for the duration of the war.</t>
  </si>
  <si>
    <t xml:space="preserve">Cheng (2003)  Flight of silver led to huge economic downturn and financial crisis; the two major banks came under government control and were reorganized. </t>
  </si>
  <si>
    <t>In 1987, public banks accounting for 90% of banking system loans were in financial distress, with 32% of loans considered uncollectable.</t>
  </si>
  <si>
    <t>The third largest bank, Banco Anglo Costarricense, a state-owned institution with 17% of deposits was closed.</t>
  </si>
  <si>
    <t xml:space="preserve">Four large banks (90% of banking system loans) were affected; three or four insolvent, six government banks closed. </t>
  </si>
  <si>
    <t>Heavy losses of one of the largest banks, Danske Landmandsbank, and liquidation of smaller banks.  Landmandsbank continues to operate until a reconstruction in April 1928 under a government guarantee</t>
  </si>
  <si>
    <t xml:space="preserve">Government declared it could not redeem Deposit Bank’s Courant notes at original value—form of bankruptcy which diminished its public debt because notes were held by the people. New Royal Bank established; Courantbank, Specie Bank, and Deposit Bank abolished. </t>
  </si>
  <si>
    <t>Industrial Bank diverted half its capital stock to cover losses; two provincial banks failed—led to lull in banking business.</t>
  </si>
  <si>
    <t xml:space="preserve">Important bank failure led to suspension of Freeholders’ Bank and bank runs on other institutions. The National Bank helped alleviate panic—took on five remaining banks and suspended banks’ liabilities. </t>
  </si>
  <si>
    <t xml:space="preserve">Turbulence in the world markets and Germany and nonperforming assets led to decreased confidence. Consortium of five leading banks assisted and guaranteed the liabilities of weak banks, leading to a quick recovery. </t>
  </si>
  <si>
    <t xml:space="preserve">Cumulative loan losses over 1990–92 were 9 percent of loans; 40 of the 60 problem banks were merged.The collapse of two small banks shook the banking industry and led to moves to curb bank lending.  </t>
  </si>
  <si>
    <t xml:space="preserve">Jonung and Hagberg (2002); Financial crisis led the National bank to assume central bank responsibilities through the 1860s.  </t>
  </si>
  <si>
    <t>Jonung and Hagberg (2002); National Bank intervened to provide support for commercial and savings banks.</t>
  </si>
  <si>
    <t>The third largest bank, with a market share of 7% of assets, was intervened.</t>
  </si>
  <si>
    <t xml:space="preserve">The 2003 banking crisis started with the intervention of the third largest bank—with a market share of 10%. Deposit withdrawals had already started by </t>
  </si>
  <si>
    <t>National Bank failed after unsuccessfully trying to adopt the gold standard; bank notes not accepted anywhere.</t>
  </si>
  <si>
    <t xml:space="preserve">Program exchanging domestic for foreign debt implemented to bail out banking system. </t>
  </si>
  <si>
    <t xml:space="preserve">Authorities intervened in several small financial institutions; by the end of 1995, 30 financial societies (sociedades financieras) and seven banks were receiving extensive liquidity support. In early 1996, the fifth largest commercial bank was intervened. </t>
  </si>
  <si>
    <t>60% of the banking system was intervened, taken over, or closed. Seven financial institutions, accounting for 25–30% of commercial banking assets, were closed in 1998–99. In March 1999, bank deposits were frozen for six months. By January 2000, 16 financial institutions, accounting for 65% of the assets, had either been closed (12) or taken over (four) by the governments. All deposits were unfrozen by March 2000.</t>
  </si>
  <si>
    <t>Crisis due to credit abuse and issue of new securities.</t>
  </si>
  <si>
    <t>The government closed several large investment companies.</t>
  </si>
  <si>
    <t>Four public banks were given capital assistance.</t>
  </si>
  <si>
    <t>Run on Cairo and Alexandria branches of German banks.</t>
  </si>
  <si>
    <t>Nine state-owned commercial banks had nonperforming loans averaging 37%.</t>
  </si>
  <si>
    <t>Jonung and Hagberg (2002); Recession began in 1929; many banks were stuck with large losses, which led to bankruptcies; the Bank of Finland faciliated with loans and mergers.</t>
  </si>
  <si>
    <t>Savings banks badly affected; government took control of three banks that together accounted for 31 percent of system deposits.</t>
  </si>
  <si>
    <t>Failure of Banque Adam, Boulogne-sur-Her, and Oustric Group. Runs on provincial banks.</t>
  </si>
  <si>
    <t>Collapse of major investment bank Banque Nationale de Credit (reconstructed as Banque Nationale pour le Commerce et l'Industrie). Other bank failures and bank runs.</t>
  </si>
  <si>
    <t>In May 1932, losses of large investment bank Banque de l'Union Parisienne forces merger with Credit Mobilier Francais</t>
  </si>
  <si>
    <t>Crédit Lyonnaise had serious solvency problems.</t>
  </si>
  <si>
    <t xml:space="preserve">Bank of France: “serious crisis.” </t>
  </si>
  <si>
    <t>Bank of France: Debt of 68 m fr with only 0.782 m fr in specie; used commercial paper, government bonds, and credit to buy specie (Spain, Treasury); occurred after formation of third coalition against France during preparations for Austerlitz; victory at Austerlitz (Dec. 2, 1805) restored much confidence.</t>
  </si>
  <si>
    <t>Bankruptcies in Alsace.</t>
  </si>
  <si>
    <t>Severe runs on banks in Paris after Bank of Belgium failed.</t>
  </si>
  <si>
    <t>March 24, 1848: notes from Bank of France and departmental banks declared legal tender; necessity for uniform paper currency led to consolidation of local banks with Bank of France (April 27 and May 2).</t>
  </si>
  <si>
    <t>Crisis after failure of Credit Mobilier.</t>
  </si>
  <si>
    <t xml:space="preserve">Suspension of operations by branches of Bank of France. After surrender, Germany suspended Bank of Strasburg, and the Bank of Prussia replaced Bank of France in Alsace-Lorraine. </t>
  </si>
  <si>
    <t xml:space="preserve">France financier's attempt to corner the copper market while the Comptoir d'Escompte discounted copper warrants; product limits broke down and copper prices fell so the Comptoir suffered heavy losses. The head committed suicide, leading to a run—sound assets could not satisfy liquidity demands. Comptoir appealed to Bank of France for help; growth fell by 14% during the crisis. </t>
  </si>
  <si>
    <t>Banking panic; depression in Bourse since beginning of Russo–Japanese War.</t>
  </si>
  <si>
    <t xml:space="preserve">Trouble in the United States raised global demand for gold and money; majority of France's losses were in silver to its colonies. As a result, visible impact on GDP growth was mild. </t>
  </si>
  <si>
    <t>DEU</t>
  </si>
  <si>
    <t>Germany</t>
  </si>
  <si>
    <t>Hamburg Bank: rescued by Austrian National Bank; restored confidence, dispelled crisis; repaid loan in six months.</t>
  </si>
  <si>
    <t xml:space="preserve">Triggered by Russia's crisis; stock prices in Berlin fell by 61%; hit mortgage banks first, but discount banks provided liquidity. Dresdner Creditanstalt, Bank of Leipzig, and Leipzig Bank failed. Modest slowdown in the rate of growth. </t>
  </si>
  <si>
    <t>Giro institutions faced problems.</t>
  </si>
  <si>
    <t>Collapse of Frankfurter Allgemeine Versicherungs AG, followed by failures of smaller banks and runs on Berlin and Frankfurt savings banks.</t>
  </si>
  <si>
    <t xml:space="preserve">Bank runs, extending difficulties plaguing the banking system since the summer of 1930. </t>
  </si>
  <si>
    <t xml:space="preserve">Twin crisis in which banks were recapitalized or their deposits guaranteed by the government. Bank runs exacerbated troubles building since mid-1930; many banks unable to make payments and there was a bank holiday. </t>
  </si>
  <si>
    <t>After large loss of deposits in June and increasing strain on foreign exchanges, many banks are unable to make payments and Darmstadter Bank closes.Bank holiday.</t>
  </si>
  <si>
    <t>7 of 11 banks insolvent; rural banking sector affected.</t>
  </si>
  <si>
    <t>Nonperforming loans increased 11% to 27%; two state-owned banks were in bad shape and three others insolvent.</t>
  </si>
  <si>
    <t>Localized problems required significant injections of public funds.</t>
  </si>
  <si>
    <t>Two small state-owned banks had a high level of nonperforming operations; closed in early 1990s.</t>
  </si>
  <si>
    <t>Run on Budapest banks; foreign withdrawals and bank holiday.</t>
  </si>
  <si>
    <t>By second half of 1993, eight banks (25% of financial system assets) were deemed insolvent.</t>
  </si>
  <si>
    <t>One of three state-owned banks became insolvent.</t>
  </si>
  <si>
    <t>Government injected capital into state-owned commercial bank.</t>
  </si>
  <si>
    <t>Nonperforming assets of 27 public banks estimated at 20% in 1995.</t>
  </si>
  <si>
    <t>Crop failures and excessive obligations to European banks; silver replaced much of the gold.</t>
  </si>
  <si>
    <t>A large bank (Bank Summa) collapses and triggers runs on three smaller banks.</t>
  </si>
  <si>
    <t>Nonperforming assets accounted for 14% of banking system assets with more than 70% in state banks.</t>
  </si>
  <si>
    <t>Run on most Irish banks; Agricultural Bank failed in November.</t>
  </si>
  <si>
    <t>Tipperary Joint Stock Bank failed upon discovery that one director (John Sadlier) had systematically robbed the bank and falsified accounts.</t>
  </si>
  <si>
    <t>15% of financial system liabilities faced liquidity and solvency problems.</t>
  </si>
  <si>
    <t>Intervention in two local banks.</t>
  </si>
  <si>
    <t>Serious solvency problems with banks accounting for more than 30% of financial system assets.</t>
  </si>
  <si>
    <t>Nonperforming loans reached 19%.</t>
  </si>
  <si>
    <t>Through May 2002, five banks were forced to exit the market through a "purchase and assumption formula," and 303 financial institutions (215 were credit unions) shut down, and four banks were nationalized. Banking system nonperforming loans peaked between 30–40% and fell to about 3% by March 2002.</t>
  </si>
  <si>
    <t>Runs against some branches of a large domestic bank, following the collapse of a related bank in Hong Kong</t>
  </si>
  <si>
    <t>Finance company sector was restructured, and finance institutions reduced from 39 to 10 through mergers. Two finance companies were taken over by the Central Bank, including the largest independent finance company. Two banks deemed insolvent—accounting for 14% of financial system assets—will be merged with other banks. Nonperforming loans peaked between 25–35% of banking system assets and fell to 10.8% by March 2002.</t>
  </si>
  <si>
    <t>Bank Negara Malaysia announces blanket guarantee for all depositors in January 1998. Finance company sector was restructured, and finance institutions reduced from 39 to 10 through mergers. Two finance companies were taken over by the Central Bank, including the largest independent finance company. Two banks deemed insolvent—accounting for 14% of financial system assets—will be merged with other banks. Nonperforming loans peaked between 25–35% of banking system assets and fell to 10.8% by March 2002.</t>
  </si>
  <si>
    <t>Bank Negara Malaysia announces blanket guarantee for all depositors in January 1998.Finance company sector was restructured, and finance institutions reduced from 39 to 10 through mergers. Two finance companies were taken over by the Central Bank, including the largest independent finance company. Two banks deemed insolvent—accounting for 14% of financial system assets—will be merged with other banks. Nonperforming loans peaked between 25–35% of banking system assets and fell to 10.8% by March 2002.</t>
  </si>
  <si>
    <t>Central Bank closed 2 of 12 commercial banks for fraud and irregularities.</t>
  </si>
  <si>
    <t>Government takes over the banks.</t>
  </si>
  <si>
    <t>Several financial institutions that held Ajustabonos were hurt by the rise in real interest rates in the second half of 1992.</t>
  </si>
  <si>
    <t xml:space="preserve">Mexican government borrowed widely and then suspended payments (June 1885); foreign investments fell leading to a credit crisis, bank runs, and banks stopped lending. National Bank and Mercantile Bank merged into National Bank of Mexico (Banamex) in 1884 to meet government’s demand for a loan. </t>
  </si>
  <si>
    <t>National Bank absorbed Mexican Mercantile Bank, its main competitor.</t>
  </si>
  <si>
    <t>Government took over banking system.</t>
  </si>
  <si>
    <t>Banking sector experienced problems.</t>
  </si>
  <si>
    <t>Largest state-owned commercial bank reported to have large nonperforming loans.</t>
  </si>
  <si>
    <t>Bank failures (notably Marx &amp; Co.) and amalgamations.</t>
  </si>
  <si>
    <t>Bank of Amsterdam closed by government decree; liquidation began in January and lasted a long time.</t>
  </si>
  <si>
    <t>One large state-owned bank, with 25% of banking assets, experienced solvency problems with high nonperforming loans.</t>
  </si>
  <si>
    <t>Banking system nonperforming loans reached 50% in 1996.</t>
  </si>
  <si>
    <t xml:space="preserve">In 1993, insolvent banks had 20% of banking system assets and 22% of deposits. In 1995, almost half the banks reported being in financial distress. </t>
  </si>
  <si>
    <t>Distressed banks had 4% of banking system assets.</t>
  </si>
  <si>
    <t>Failure of Central banker for Norge.</t>
  </si>
  <si>
    <t>Numerous smaller banks in difficulties, but no major failures.</t>
  </si>
  <si>
    <t>Legislation introducing a tax on bank deposits led to many withdrawals.</t>
  </si>
  <si>
    <t>Two regional saving banks fail.  The banks are eventually merged and the bailout begins.</t>
  </si>
  <si>
    <t>Jonung and Hagberg (2002) Real estate speculation; bubble burst when interest rates increased, and many banks failed. Bank of Norway stepped in and prevented spreading crisis.</t>
  </si>
  <si>
    <t>In 1988, the banking system had a nine-week banking holiday. The financial position of most state-owned and private commercial banks was weak and 15 banks ceased operations.</t>
  </si>
  <si>
    <t>The Government Superintendency intervened in most domestic private and public banks and a number of finance companies by the end of 1998, including the largest bank and savings &amp; loan institution. By the end of 1999, banks were mostly foreign-owned, with over 80% of bank assets in foreign hands. All banks were deemed sound in 2000.</t>
  </si>
  <si>
    <t>The third largest bank, with nearly 10% of deposits, was intervened and closed.</t>
  </si>
  <si>
    <t>Bank of Paraguay and River Plate Bank suspended payments; subject to severe run—gold prices increased 300% and banks eventually liquidated.</t>
  </si>
  <si>
    <t>Two large banks fail.</t>
  </si>
  <si>
    <t>Gold coinage suspended and country on silver standard for 25 years.</t>
  </si>
  <si>
    <t>One commercial bank, seven of 88 thrifts, and 40 of 750 rural banks placed under receivership. Banking system nonperforming loans reached 12% by November 1998 and were expected to reach 20% in 1999.</t>
  </si>
  <si>
    <t>Commercial paper market collapses, triggering bank runs and the failure on non-bank financial institutions and thrift banks.</t>
  </si>
  <si>
    <t>Bank runs caused three large banks to stop payments; bank shakeout lasted until 1927.</t>
  </si>
  <si>
    <t>Run on banks, especially on Yarsaw Discount Bank, associated with Creditanstalt; a spread of the Austrian crisis.</t>
  </si>
  <si>
    <t>In 1991, seven of nine treasury-owned commercial banks (90% of credit), the Bank for Food Economy, and the cooperative banking system experienced solvency problems.</t>
  </si>
  <si>
    <t>Bank of Lisbon suspended payments—consistently troubled career because tied with Portuguese government.</t>
  </si>
  <si>
    <t xml:space="preserve">Bank of Lisbon lost all credit, could not redeem notes, reorganized into the Bank of Portugal.  </t>
  </si>
  <si>
    <t xml:space="preserve">Large budget deficits, the Baring crisis, and the Brazilian revolution led to currency depreciation. Reneged on some domestic debt and renegotiated foreign debt to reduce interest payments. Large impact on growth. </t>
  </si>
  <si>
    <t>Collapse of German-controlled banks and other banks; heavy runs on banks. Run on Banca de Credit Roman and Banca Romaneasca.</t>
  </si>
  <si>
    <t>Failure of Banca Marmerosch, Blank &amp; Co. in October.</t>
  </si>
  <si>
    <t>In 1990, nonperforming loans reached 25–30% in the six main state-owned banks.</t>
  </si>
  <si>
    <t xml:space="preserve">Bank of Russia closed in April; specie payments suspended and never resumed. A permanent treasury deficit meant several loans were necessary and there was a hopeless credit situation. </t>
  </si>
  <si>
    <t>The interbank loan market stopped working due to concerns about connected lending in many new banks.</t>
  </si>
  <si>
    <t>Nearly 720 banks, representing half of those in operation, were deemed insolvent. The banks accounted for 4% of sector assets and 32% of retail deposits. Eighteen banks, holding 40% of sector assets and 41% of household deposits, were in serious difficulties and needed rescue.</t>
  </si>
  <si>
    <t>Nonperforming loans rose to $200 million or 0.6% of GDP.</t>
  </si>
  <si>
    <t>Trust Bank experienced problems.</t>
  </si>
  <si>
    <t>Some banks experienced problems.</t>
  </si>
  <si>
    <t>Failure of two major banks; Banco de la Union Mineira and Banco Vasca.</t>
  </si>
  <si>
    <t>During the Peninsular War, Spain was occupied by France, and Bank of St. Charles essentially dead since 1814; reorganized into Bank of St. Ferdinand in 1829.</t>
  </si>
  <si>
    <t>Bank of St. Charles reorganized into Bank of Ferdinand.</t>
  </si>
  <si>
    <t>Bank of Isabella II (created by government to punish Bank of Ferdinand in 1844) and Bank of Ferdinand consolidated into one, Bank of Ferdinand. Ferdinand bore Isabella’s debts and was completely at the mercy of the State. In 1848, cash reserve of Bank decreasing, circulation increasing, government demanded more loans, victim of theft and embezzlement. Government reorganized the bank into Bank of Spain to resemble Bank of England.</t>
  </si>
  <si>
    <t>State-owned banks, comprising 70% of the banking system, estimated to have nonperforming loans of 35%.</t>
  </si>
  <si>
    <t>Depreciation of gold led to Bullion Report (similar to Report on Irish Currency in 1804).</t>
  </si>
  <si>
    <t>The Swedish government rescues Nordbanken, the nation's second largest bank.</t>
  </si>
  <si>
    <t>Jonung and Hagberg (2002); Severe banking crises.</t>
  </si>
  <si>
    <t xml:space="preserve">Jonung and Hagberg (2002); Lending boom and decreasing confidence in stability of banking system led to bank runs. Reserves depreciated but Riksbank extended loans to national banks. Output negatively affected, but the economy recovered quickly. </t>
  </si>
  <si>
    <t>Beginning of deposit contraction of 1921-22, leading to bank restructurings. Government assistance administered through Credit Bank of 1922. One of severest banking crises in Swedish banking history; followed a steep recession.</t>
  </si>
  <si>
    <t>Weakness of one large bank (Skandinaviska Kreditaktiebolaget) as result of collapse of Kreuger industrial and financial empire, but no general panic. Jonung and Hagberg (2002)l Banks tied to the financier Ivar Kreuger suffered after his death; banks suffered large losses, but depositors were protected by the government and did not suffer from the failures.</t>
  </si>
  <si>
    <t>Vogler (2002) Wave of bank failures and consolidations.</t>
  </si>
  <si>
    <t>Vogler (2002) Swiss banks badly shaken by German banking crisis; total assets shrank and many banks restructured.</t>
  </si>
  <si>
    <t>Switzerland could not obtain its supply of coin from France; bank clients rushed to redeem their notes for coin; bank cut down discounts and loans, led to an economic downturn.</t>
  </si>
  <si>
    <t>Union Financiere de Geneve rescued by takeover by Comptoir d'Escompte de Geneve.</t>
  </si>
  <si>
    <t>Restructuring of large bank (Banque Populaire Suisse) after heavy losses in November 1933.</t>
  </si>
  <si>
    <t>Four trust companies and eleven corporations failed.</t>
  </si>
  <si>
    <t>Failure of Changua Fourth sparked runs on other credit unions.</t>
  </si>
  <si>
    <t>Banking system nonperforming loans estimated at 15% at the end of 1998.</t>
  </si>
  <si>
    <t>Following the stock market crash, one of the largest finance companies failed.</t>
  </si>
  <si>
    <t>Authorities intervened in 50 finance and security firms and 5 commercial banks, or about 25 percent of financial system assets; 3 commercial banks deemed insolvent.</t>
  </si>
  <si>
    <t>Large losses in a finance company lead to runs and government intervention. Authorities intervened in 50 finance and security firms and 5 commercial banks, or about 25 percent of financial system assets; 3 commercial banks deemed insolvent.</t>
  </si>
  <si>
    <t xml:space="preserve">Through, May 2002 the Bank of Thailand had shutdown 59 (of 91) financial companies that in total accounted for 13 percent of financial system assets and 72 percent of finance company assets.It shutdown 1 (of 15) domestic banks and nationalized 4 banks. </t>
  </si>
  <si>
    <t>Most commercial banks were undercapitalized.</t>
  </si>
  <si>
    <t>Runs on branches of German banks in wake of German crisis. (Run on branches of Deutsche Bank and collapse of Banque Turque pour le Commerce et l'Industrie)</t>
  </si>
  <si>
    <t>Three banks were merged with the state-owned Agriculture Bank and then liquidated; two large banks were restructured.</t>
  </si>
  <si>
    <t>Three banks failed in April 1994.</t>
  </si>
  <si>
    <t>Two banks closed and 19 banks have been taken over by the Savings Deposit Insurance Fund.</t>
  </si>
  <si>
    <t>The start of the Gulf War led to massive withdrawals and a run on banks, prompting the government to guaranty all deposits.</t>
  </si>
  <si>
    <t>Mass speculation due to Napoleon’s Berlin Decree—many new country banks issued notes; excessive issue led to severe fall in London exchange; Treasury rescued banks on April 11, 1811.</t>
  </si>
  <si>
    <t xml:space="preserve">Good harvest and low prices led to speculation; general depression on property prices affected production industries. Eighty-nine country banks bankrupt; 300–500 ceased business, and there was an increased demand for Bank of England's notes. </t>
  </si>
  <si>
    <t>Speculation in real and imaginary investments financed by unregulated country banking caused a bubble in stocks and Latin American foreign sovereign debt; followed by a stockmarket crash, six London banks closed (including Henry Thornton’s Bank), 60 country banks closed—panic in London.</t>
  </si>
  <si>
    <t>Three banks failed (March 1837); Bank of England gave generous advances to other banks to prevent panic but still they drifted toward bankruptcy. Raised discount rate and borrowed from France and Germany.</t>
  </si>
  <si>
    <t xml:space="preserve">The Irish Potato famine and railroad mania led to a steady drain on bullion; reduced resources led to a panic. Firms overextended into railroad endeavors and sugar plantations; firms began failing, which led to bank failures. </t>
  </si>
  <si>
    <t>Discovery of Australian and Californian gold fields led to massive speculation and then collapse; paralyzed finances throughout world (spread from the United States to Europe, South America, and Far East). Most banks suspended; Bank of England the only source of discount.</t>
  </si>
  <si>
    <t>Discovery of Australian and Californian gold fields led to massive speculation and then collapse; paralyzed finances throughout world (spread from the United States to Europe, South America, and Far East). Most banks suspended; Bank of England the only source of discount. Western Bank Failure—brought on by reckless banking practices; bank made various bad loans to four firms—when discovered, the accounts were stopped and firms closed. There was a panic on the stock exchange; depositors withdraw their accounts and bank failed.</t>
  </si>
  <si>
    <t xml:space="preserve">Bank Act of 1844 suspended to deal with panic—paid demands in gold. Joint Stock Discount company failed and various industries discounted. </t>
  </si>
  <si>
    <t>City of Glasgow Bank failure: falsification of books for three years, with loans to four firms; ruined shareholders, not creditors.</t>
  </si>
  <si>
    <t>House of Baring's portfolio was mostly in securities in Argentina and Uruguay. The Buenos Aires Water Supply &amp; Drainage Company loan failed, but the Bank of England, assisted by the Bank of France and Russia, organized a rescue, which prevented Barings from failing. Short and mild recession followed.</t>
  </si>
  <si>
    <t>Bank of Scotland absorbed Caledonian Bank, and North of Scotland Bank absorbed Town &amp; Country Bank.</t>
  </si>
  <si>
    <t>Secondary banking crisis.</t>
  </si>
  <si>
    <t>Johnson Matthey Bankers failure.</t>
  </si>
  <si>
    <t>Bank of Credit &amp; Commerce International failure.</t>
  </si>
  <si>
    <t>Barings failure.</t>
  </si>
  <si>
    <t>External drain, combined with rumors of threat to London merchant banks with heavy European (particularly Hungarian and German) involvements</t>
  </si>
  <si>
    <t>Great Depression: thousands of banks closed; failures correlated with particular Federal Reserve district. Bank of USA failed in December 1930; between August 1931 and January 1932, 1860 banks failed.</t>
  </si>
  <si>
    <t>Series of banking panics, with October 1931 the worst month. Between August 1931 and January 1932, 1860 banks fail.</t>
  </si>
  <si>
    <t>In June 1932, there is a series of bank failures in Chicago. In October 1932 these extend to the West andmid-West.</t>
  </si>
  <si>
    <t>General banking panic in February 1933, leading to state holidays and a nationwide bank holiday in March.</t>
  </si>
  <si>
    <t>1400 S&amp;L and 1300 bank failures.</t>
  </si>
  <si>
    <t>1401 S&amp;L and 1300 bank failures.</t>
  </si>
  <si>
    <t>1402 S&amp;L and 1300 bank failures.</t>
  </si>
  <si>
    <t>1403 S&amp;L and 1300 bank failures.</t>
  </si>
  <si>
    <t>1404 S&amp;L and 1300 bank failures.</t>
  </si>
  <si>
    <t>1405 S&amp;L and 1300 bank failures.</t>
  </si>
  <si>
    <t>1406 S&amp;L and 1300 bank failures.</t>
  </si>
  <si>
    <t>1407 S&amp;L and 1300 bank failures.</t>
  </si>
  <si>
    <t>State banks suspended specie payments due to War of 1812—paralyzed Treasury’s operations.</t>
  </si>
  <si>
    <t>Forty-six banks rendered insolvent due to demands for specie by Second Bank of the United States.</t>
  </si>
  <si>
    <t>Preceded England’s crisis; Bank of the United States and all other banks brought to the verge of suspension.</t>
  </si>
  <si>
    <t>Three banks failed (March 1837); Bank of England gave generous advances to other banks to prevent panic; failures began in New Orleans and NYC and spread to other cities' banks.</t>
  </si>
  <si>
    <t>Second Bank of the United States liquidated; lenders repaid but shareholders lost all interest; 26 local banks failed.</t>
  </si>
  <si>
    <t>Government suspended specie payments—lasted until 1879; drove up price of gold (peaked in 1864) and all other retail items.</t>
  </si>
  <si>
    <t>U.S. panic due to the Civil War.</t>
  </si>
  <si>
    <t>Philadelphian banking firm Jay Cooke &amp; Company failed, triggering a recession that lasted until 1877.</t>
  </si>
  <si>
    <t xml:space="preserve">Monetary uncertainty and stock market crash led to bank runs. Political action to ameliorate the crisis; severe decline in output but the economy recovered quickly. </t>
  </si>
  <si>
    <t xml:space="preserve">Global credit restrictions and domestic financial excesses, increasing number of state banks, and a rising ratio of deposits to cash reserves set the stage for a crisis. Real estate and stock speculations burst; crisis spread from NY nationwide. Growth rate fell by 9% per year. JP Morgan, the Bank of Montreal, and the Treasury of NY replenished liquidity. </t>
  </si>
  <si>
    <t>The Government-owned mortgage bank was recapitalized in December 2001. The banking system had 33% of its deposits withdrawn in the first seven months of 2002. In 2002, four banks were closed (33% of total bank assets), and fixed-term deposits (CDs) were restructured and their maturity extended.</t>
  </si>
  <si>
    <t>National Bank failed.</t>
  </si>
  <si>
    <t>Run on banks to redeem bank notes due to government decree to reduce the circulation of notes.</t>
  </si>
  <si>
    <t>BancoMercantile fails.  A wave of bank mergers and bankruptcies develop, driven by high real interest rates.</t>
  </si>
  <si>
    <t>Affected institutions accounted for 30 percent of financial system assets; insolvent banks accounted for 20 percent of financial system deposits. A large scale run on banks came on the wake of the Argentine devaluation which marked the end of the Tablita stabilization plan.</t>
  </si>
  <si>
    <t>Notable bank failures in 1978, 1981, 1982, 1985, 1986; Banco Nacional de 
Descuento</t>
  </si>
  <si>
    <t>BANDAGRO (1981) ; Banco de los Trbajadores de Venezuela (1982)</t>
  </si>
  <si>
    <t>Banco de Comericio, BHCU, BHCO, and Banco Lara in 1986.</t>
  </si>
  <si>
    <t xml:space="preserve"> Insolvent banks accounted for 35% of financial system deposits. Authorities intervened in 17 of 47 banks that held 50% of deposits and nationalized nine banks and closed seven more in 1994. The government intervened in five more banks in 1995. Bank runs on the country's second largest bank (Banco Latino); by January 1994 the bank closed.  </t>
  </si>
  <si>
    <t>Meridian Bank with 13% of commercial bank assets became insolvent.</t>
  </si>
  <si>
    <t>Two of five commercial banks have a high level of nonperforming loans.</t>
  </si>
  <si>
    <t>Pre-1863-peso Spanish system, 1863-1963-Boliviano, 1963-present peso</t>
  </si>
  <si>
    <t>Primary source is GFD market eop; alt1 series is GFD w correction market eop exchange rate; alt2 series is IMF market eop; alt3 series is Pick's parallel eop</t>
  </si>
  <si>
    <t>Primary source is GFD market eop; alt1 series is IMF w correction pricipal eop exchange rate; alt2 series is RR-Pick's parallel eop; alt3 series is Pick's parallel eop</t>
  </si>
  <si>
    <t>1846-1942-milreis, 1942-1986-cruzeiro, 1986-1994-cruzado, 1994-present real</t>
  </si>
  <si>
    <t>1766-1870-British pound sterling, 1870-present Canada dollar</t>
  </si>
  <si>
    <t>Primary source is GFD market eop; alt1 series is IMF market eop exchange rate</t>
  </si>
  <si>
    <t>19th century- French monetary system, 1945-present-CFA franc</t>
  </si>
  <si>
    <t>Pre- 1851-peso-Spanish monetary system, 1851-1960 peso Chile, 1960-1975-escudo, 1975-present Chile peso</t>
  </si>
  <si>
    <t>Primary source is GFD market eop; alt1 series is IMF pricipal eop exchange rate; alt2 series is RR-Pick's official eop; alt3 series is Pick's parallel eop exchange rate.</t>
  </si>
  <si>
    <t>17th century-1932-tael, 1933-1948-China dollar (around since 1838), 1948-1949-gold yuan, 1949-1955-jen min piao, 1955-present yuan-renmimbi</t>
  </si>
  <si>
    <t>Primary source is GFD market eop; alt1 series is Yuan-Nationalist US dollar level; alt2 series is Yuan-Puppet FRB US dollar level; alt3 series is Pick's parallel eop exchange rate.</t>
  </si>
  <si>
    <t>Primary source is GFD market eop; alt1 series is OXLAD-RR-IFS official eop; alt2 series is Pick's official eop; alt3 series is Pick's parallel eop exchange rate.</t>
  </si>
  <si>
    <t>17th-18th centuries Spanish and Mexican piasters-peso system after independence</t>
  </si>
  <si>
    <t>1823-1848-peso Central America, 1848-1896 peso Costa Rica, 1896-present colon</t>
  </si>
  <si>
    <t>Primary source is GFD market eop; alt1 series is OXLAD-RR-IFS official eop; alt2 series is RR-Pick's official eop; alt3 series is Pick's parallel eop exchange rate.</t>
  </si>
  <si>
    <t>Primary source is RR-IFS official eop; alt1 series is IFS official eop; alt2 series is Pick's parallel eop exchange rate.</t>
  </si>
  <si>
    <t>18th century-rigsdaler, 1873-present-Krone</t>
  </si>
  <si>
    <t>1822-44 Hatian monetary system, 1844-present-Dominican Republic peso</t>
  </si>
  <si>
    <t xml:space="preserve"> 1871-peso, 1874-2000-sucre, 2000-present US dollar</t>
  </si>
  <si>
    <t>pre-1834 Turkish monies, 1834-1885 Egyptian piastre, 1885-present Egyptian pound</t>
  </si>
  <si>
    <t>1823-1838 Central America peso, 1839-1919 peso, 1919-present-colon</t>
  </si>
  <si>
    <t>Prior to 1860 Russian monies, 1860-1998 markka; 1999-present, euro</t>
  </si>
  <si>
    <t>n.a.</t>
  </si>
  <si>
    <t>Primary source is GFD market eop; alt1 series is GFD-RR-IFS eop exchange rate; alt2 series is RR-Pick's official eop; alt3 series is RR-Pick's parallel eop.</t>
  </si>
  <si>
    <t>13th century-1795 livre tournois, 1795-1998 French franc 1999-present, euro</t>
  </si>
  <si>
    <t>Primary source is GFD market eop; alt1 series is RR-Pick's official eop; alt2 series is RR-Pick's parallel eop.</t>
  </si>
  <si>
    <t>1871-1923 mark,1923-1923 rentenmark, 1924-1948 reichsmark, 1948-1998 deutschemark</t>
  </si>
  <si>
    <t xml:space="preserve"> </t>
  </si>
  <si>
    <t>18th century-Turkish monies, 1828-1838-phoenix, 1838-1999 drachma, 2000-present euro</t>
  </si>
  <si>
    <t>Primary source is US dollar level; alt1 series is adjusted series US dollar level-eop; alt2 series is IFS-euro since 2001 level-eop.</t>
  </si>
  <si>
    <t>1823-1847-Central American peso, 1847-1925-Guatemala peso, 1925-present-quetzal</t>
  </si>
  <si>
    <t>Primary source is US dollar level.</t>
  </si>
  <si>
    <t>1823-38-Central America peso,1838-1926-Hondura peso, 1926-present-lempira</t>
  </si>
  <si>
    <t>19th century-gulden, 1920-1925-Korona, 1925-1946-Pengoe,1946-present-forint</t>
  </si>
  <si>
    <t>1671-1834 multiple rupees and other currencies issued by East India Co. and French, 1835-present rupee</t>
  </si>
  <si>
    <t>1817-1949-Netherlands East Indies guilder, 1949-present-Rupiah</t>
  </si>
  <si>
    <t>Primary source is US dollar level; alt1 series is adjusted series US dollar level.</t>
  </si>
  <si>
    <t>English monetary system, 1928-1938 Saorstát pound, Irish pound, 1938-1998, euro 1999-present</t>
  </si>
  <si>
    <t>Primary source is US dollar level</t>
  </si>
  <si>
    <t>10th-19th centuries-provincial monies, 1862-1998 lira, 1999-present euro</t>
  </si>
  <si>
    <t>Primary source is US dollar ITL</t>
  </si>
  <si>
    <t>18th century-1868-Tael, 1869-present-Yen</t>
  </si>
  <si>
    <t>1888-1921-East Africa Co. rupee, 1922-1967; East African Schilling,1968-present-Kenya Shilling</t>
  </si>
  <si>
    <t>1905-1909- Won,1910-1945-Korean Yen,1949-1952-Won, 1953-1962-Hwan,1963-present-Won</t>
  </si>
  <si>
    <t>1903-1946-Straits Settlement dollar; 1963-67-dollar Malaya,1967-present ringgit</t>
  </si>
  <si>
    <t>19th century-British pound, 1878-present rupee</t>
  </si>
  <si>
    <t>1535-1861-Spanish monetary system (reales, maravedis) with Mexican silver piaster or peso, 1861-1918-Mexican piaster or silver and gold pesos, 1918-present peso</t>
  </si>
  <si>
    <t>Primary source is US dollar level; alt1 series is US dollar level after adjusted.</t>
  </si>
  <si>
    <t>multiple foreign currencies, 1920-1959-Moroccan franc, 1959-present-Dirham</t>
  </si>
  <si>
    <t>19th century-1939-Indian rupee, 1939-1952-Burmese rupee, 1939-present kyat</t>
  </si>
  <si>
    <t>1694-1810 guilder, 1810-1816 French monetary system, 1816-1998 guilder, 1999-present euro</t>
  </si>
  <si>
    <t>19th century-British monies, 1907-1967 NZ pound, 1967-present NZ dollar</t>
  </si>
  <si>
    <t>Primary source is US dollar level; alt1 series is US dollar adjusted.</t>
  </si>
  <si>
    <t>16th-19th centuries Spanish &amp; Mexican silver piasters, 1823-1838 Central America peso, 1838-1912-Nicaragua peso, 1912-present-oro,vieja,nueva,oro-cordoba</t>
  </si>
  <si>
    <t>1907-1913 UK pound, 1913-1959 West Africa pound, 1959-1973 Nigerian pound, 1973-present naira</t>
  </si>
  <si>
    <t>1450-1814-Danish monetary system, 1814-1905-Swedish monetary system, 1905-present-Norwegian krone</t>
  </si>
  <si>
    <t>16th-19th century Spanish and Mexican silver piaster or peso, 1819-1903 Colombian peso,  1904-present US dollar</t>
  </si>
  <si>
    <t>19th century-1943-co-circulation of Argentine peso and Paraguay peso, 1943-present-Guarani</t>
  </si>
  <si>
    <t>1598-1863 Peru piaster also called perulero, 1863-present sol</t>
  </si>
  <si>
    <t xml:space="preserve">16th century-1900-Spanish monetary system &amp; Mexican piasters, 1900-1903 US dollar and gold peso, 1949-present Philippine peso </t>
  </si>
  <si>
    <t>1847-1914-Russian monies, 1914-1917-German mark, 1918-1924-marka, 1924-present-zloty</t>
  </si>
  <si>
    <t>Primary source is US dollar adjusted</t>
  </si>
  <si>
    <t>1722-1911-milreis, 1911-1998 escudo, 1999-present euro</t>
  </si>
  <si>
    <t>Primary source is PTE adjusted; alt1 series is pound/US dollar GBP; alt2 series is British pound level</t>
  </si>
  <si>
    <t>19th century Turkish monies, 1867-1947 first leu, 1947-1952 second leu, 1952-2005 third leu, 2005-present fourth leu</t>
  </si>
  <si>
    <t>Primary source is US dollar level; alt1 series is US dollar adjusted</t>
  </si>
  <si>
    <t>1613-1921 first ruble (assignatzia co-circulated during 1769-1843), 1922 second ruble, 1923-1924 third ruble, 1924-1947 fourth (gold) ruble, 1947-1961 fifth ruble, 1961-1997 sixth ruble, 1998-present seventh ruble.</t>
  </si>
  <si>
    <t>Primary source is US dollar level; alt1 series is conversion adjusted</t>
  </si>
  <si>
    <t>1824-1903 British East India Co. monies, 1903-1939 Straits Settlements dollar, 1939-1953 Malayan dollar, 1953-1967 Malaya and British Borneo dollar,  1967-present Singapore dollar</t>
  </si>
  <si>
    <t xml:space="preserve">17th-18th centuries Dutch monies,19th century British monies, 1920-1961, 1920-1961-South Africa pound, 1961-present rand </t>
  </si>
  <si>
    <t>12th century-1847-maravedis,1847-1859-real is unit of account, 1859-1864-peseta, 1864-1868-escudo, 1868-1998 peseta, 1999-present euro</t>
  </si>
  <si>
    <t>1827-1872 British monies, 1872-1929 Indian rupee, 1929-1973 Ceylon rupee, 1973-present Sri Lanka rupee</t>
  </si>
  <si>
    <t>1776-1873 riksdaler, 1873-present krona</t>
  </si>
  <si>
    <t>1798-1803 franc of the Helvetic Republic, 1894-1850 multiple local currencies, 1850-present Swiss franc</t>
  </si>
  <si>
    <t>pre-1895 Chinese monetary system 1895-1945-Japanese yen, 1945-present Taiwan dollar</t>
  </si>
  <si>
    <t>18th century-1928-tical, 1928-present baht</t>
  </si>
  <si>
    <t>18th-19th centuries-piaster, 1881-1904 Algerian francs, 1904-1958 Tunisia franc, 1958-present Tunisian dinar</t>
  </si>
  <si>
    <t>1844-1881 Turkey piaster, 1881-present Turkish lira</t>
  </si>
  <si>
    <t>Primary source is pound/US dollar GBP; alt1 series is US dollar/pound level</t>
  </si>
  <si>
    <t>Primary source is UK pound level</t>
  </si>
  <si>
    <t>16th-19th century-Spanish moneis and Mexican silver coins, 1862-present-Uruguay peso</t>
  </si>
  <si>
    <t>16th century-1829-Spanish monies, 1830-1856-various foreign monies, 1857-1887-Venezolano, 1887-present Bolivar</t>
  </si>
  <si>
    <t>1891-1940-British monies,1940-1956 Southern Rhodesia pound, 1956-1963 Rhodesia &amp; Nyasaland pound, 1964-present kwacha</t>
  </si>
  <si>
    <t>1891-1940-British monies,1940-1956-Southern Rhodesia pound, 1956-1964 Rhodesia &amp; Nyasaland pound, Rhodesian dollar 1970-1980, Zimbabwe dollar 1980-2009, 2009-present foreign currencies</t>
  </si>
  <si>
    <t>Primary source is US dollar level; alt1 series is IFS level</t>
  </si>
  <si>
    <t>In early November, the Indonesian government closed 16 troubled private banks. Through May 2002, Bank Indonesia had closed 70 banks and nationalized 13 out of 237. Nonperforming loans were 65–75% of total loans at the peak of the crisis and fell to about 12% in February 2002.</t>
  </si>
  <si>
    <r>
      <t>Suspension of payments after run on Credito Españ</t>
    </r>
    <r>
      <rPr>
        <sz val="10"/>
        <color theme="1"/>
        <rFont val="Times New Roman"/>
        <family val="1"/>
      </rPr>
      <t>ol de Mexico; Run on Banco Nacional de Mexico.</t>
    </r>
  </si>
  <si>
    <t>Bank of Spain begins to rescue a number of smaller banks from February of that year. 3</t>
  </si>
  <si>
    <t xml:space="preserve">Banking Crisis </t>
  </si>
  <si>
    <t>Systemic Crisis</t>
  </si>
  <si>
    <t>SOVEREIGN EXTERNAL DEBT 1: DEFAULT and RESTRUCTURINGS, 1800-2012--Does not include defaults on WWI debt to United States and United Kingdom and post-1975 defaults on Official External Creditors</t>
  </si>
  <si>
    <t>SOVEREIGN EXTERNAL DEBT 2: DEFAULT and RESTRUCTURINGS, 1800-2012--Does not include defaults on WWI debt to United States and United Kingdom but includes post-1975 defaults on Official External Creditors</t>
  </si>
  <si>
    <t>Hyperinflation. Credit to the public sector is eroded (and de jure in default) but we have no orders of magnitude. See also Standard and Poor's 1999, 2003, and 2006.</t>
  </si>
  <si>
    <t>This external default also extended to several so-called “internal” bonds. These bonds although not issued in London,  were denominated in a foreign currency (£s) and marketed abroad—the forerunners of the Mexican Tesobonos of the 1990s. Lindert and Morton (1989) Table 2.8 and Bond database: amount of issue in 1888 is UK£3,933.</t>
  </si>
  <si>
    <t>Local governments only. There is a surge in provincial issues during 1900-1914. Lindert and Morton (1989) Table 2.8 and Bond database: amount of issue in 1888 is UK£3,933. Not counted as a sovereign default.</t>
  </si>
  <si>
    <t>1930s: Local governments only. There is a surge in provincial issues during 1900-1914. Marichal (1989) (Lindert and Morton (1989) Table 2.8 and Bond database: amount of issue in 1888 is UK£3,933. Not counted as a sovereign default.</t>
  </si>
  <si>
    <t>External restructuring also extended to internal debt.</t>
  </si>
  <si>
    <t>Plan BONEX: Forcible conversion of term bank deposits for 10-year government bonds of the Bonex 89 series (see Aisen, 2004). Hyperinflation.</t>
  </si>
  <si>
    <t>Domestic bond exchange (Phase 1), not targeted to foreign investors (Sturzenegger and Zettelmeyer 2006 and Appendix B Cruces and Trebesch 2012)</t>
  </si>
  <si>
    <t>Domestic_Debt_ Notes/Sources</t>
  </si>
  <si>
    <r>
      <t>Domestic debt only. The Debt Conversion Agreement Act in 1931/32 which appears to have done something similar to the later NZ induced conversion. See New Zealand entry</t>
    </r>
    <r>
      <rPr>
        <sz val="10"/>
        <color indexed="56"/>
        <rFont val="Times New Roman"/>
        <family val="1"/>
      </rPr>
      <t>.  Source: Redell (2012), Schedvin (1970) and Prichard (1970).</t>
    </r>
  </si>
  <si>
    <t xml:space="preserve">Hyperinflation erodes domestic debt. </t>
  </si>
  <si>
    <t>Restoration of schilling (150 limit per person). Remainder placed in blocked accounts.  In December 1947, large amounts of previously blocked schillings invalidated and rendered worthless. Temporary blockage of 50 percent of deposits. Source: Pick and Sedillot (1971).</t>
  </si>
  <si>
    <t>Arrears of interest lasted until at least 1940. Source: League of Nations Statistical Yearbooks, 1926-1944 (several years).</t>
  </si>
  <si>
    <t>U.S. dollar deposits were forcibly converted into local currency at a significantly distorted exchange rate.  Foreign currency deposits were again allowed in 1985 as part of the stabilization plan when capital controls were lifted. Source: Reinhart, Rogoff, and Savastano (2003).</t>
  </si>
  <si>
    <t>Hyperinflation liquidates domestic debt--but that is less than 20% of total public debt.</t>
  </si>
  <si>
    <t xml:space="preserve">Abrogation of inflation-linked indices embedded in the original contracts. </t>
  </si>
  <si>
    <t>1989-1994: Despite a high degree of indexation hyperinflation significantly eroded domestic debt (which was about one half of the total public debt stock)</t>
  </si>
  <si>
    <t xml:space="preserve">Under the Collor Plan there is a partial freeze on bank assets which are forcibly converted to government debt; the indexation of debt to inflation was also suspended. Significant default (US$ 62 billion) in 1990. (see Tanner, 1994 and Toshniwal, 2012). </t>
  </si>
  <si>
    <t>Alberta was the only province to default—which lasted for about 10 years. Source: Lindert and Morton (1989) Table 2.8 Not counted as a sovereign default.</t>
  </si>
  <si>
    <t>Consolidated internal debt plan to deal with the arrears on most government bonds since 1919. Source: Cheng (2003)</t>
  </si>
  <si>
    <t>First of several “consolidations”, monthly cost of domestic service was cut in half. Interest rates were reduced to 6 percent (from over 9 percent)—amortization periods were about doubled in length. Source: Cheng (2003)</t>
  </si>
  <si>
    <t>Hyperinflation erodes domestic debts. Very high inflation takes off in 1938 (see Fisher, Sahay, and Vegh, 2002)</t>
  </si>
  <si>
    <t>During the crisis, foreign debts were serviced but domestic debt was reduced by 39 percent.</t>
  </si>
  <si>
    <t>The only case in Latin America where there was a default in domestic debt that was NOT accompanied by external default.</t>
  </si>
  <si>
    <t>GDP_Weighted_default</t>
  </si>
  <si>
    <t>Defaults_External_Notes</t>
  </si>
  <si>
    <t>Refinancing problem (Baring crisis)</t>
  </si>
  <si>
    <t>Post-Peron budget crisis. beet export drops</t>
  </si>
  <si>
    <t>Oil and interest rate shocks. budget crisis</t>
  </si>
  <si>
    <t>Napoleonic wars</t>
  </si>
  <si>
    <t>Coupon tax Hapsburg dual monarchy</t>
  </si>
  <si>
    <t>World War 1</t>
  </si>
  <si>
    <t>World War 2</t>
  </si>
  <si>
    <t>Depression, German occupation, and World War ll</t>
  </si>
  <si>
    <t>Depression</t>
  </si>
  <si>
    <t>Oil and interest rate shocks</t>
  </si>
  <si>
    <t>Coffee prices collapse</t>
  </si>
  <si>
    <t>End of rubber boom and coffee price drop</t>
  </si>
  <si>
    <t>Budget crisis</t>
  </si>
  <si>
    <t>Oil and interest rate shocks and budget crisis</t>
  </si>
  <si>
    <t>Independence war and civil umst</t>
  </si>
  <si>
    <t>War of the Pacific</t>
  </si>
  <si>
    <t>Nitrate market collapse and Depression</t>
  </si>
  <si>
    <t>Copper price drop</t>
  </si>
  <si>
    <t>Budget crisis and coup</t>
  </si>
  <si>
    <t>Civil war, World War II, and Communist repudiation</t>
  </si>
  <si>
    <t>Independence war and civil unrest</t>
  </si>
  <si>
    <t>Trade depression. then civil war</t>
  </si>
  <si>
    <t>Independence war and split from Central American Federation</t>
  </si>
  <si>
    <t>Central American chaos</t>
  </si>
  <si>
    <t>Oil and interest rate shocks; Soviet collapse</t>
  </si>
  <si>
    <t>Civil unrest and war, repudiations</t>
  </si>
  <si>
    <t>Hurricane and Depression</t>
  </si>
  <si>
    <t>Independence war and split from Colombia</t>
  </si>
  <si>
    <t>Civil unrest, then Depression</t>
  </si>
  <si>
    <t>Budget crisis: British and French intervention</t>
  </si>
  <si>
    <t>Nazi rrolicy and World War II</t>
  </si>
  <si>
    <t>Independence war and Nrmoil</t>
  </si>
  <si>
    <t>Budget crisis and political instability</t>
  </si>
  <si>
    <t>Depression and World War II</t>
  </si>
  <si>
    <t>Oil and intenst rate shocks</t>
  </si>
  <si>
    <t>Depression, World War II. and Communist takeover</t>
  </si>
  <si>
    <t>World War II</t>
  </si>
  <si>
    <t>Post- independence chaos and war With United States</t>
  </si>
  <si>
    <t>Interest rate shocks</t>
  </si>
  <si>
    <t>Interest rate shocks and civil unrest</t>
  </si>
  <si>
    <t>Guano price collapse and War of the Pacific</t>
  </si>
  <si>
    <t>Civil unrest. conflict with Chile. and Depression</t>
  </si>
  <si>
    <t>Fishmeal price drop and budget crisis</t>
  </si>
  <si>
    <t>Sharp exports contraction. oil and interest rate shocks</t>
  </si>
  <si>
    <t>Oil and interest rate shocks. natural disasters</t>
  </si>
  <si>
    <t>Depression and World War U</t>
  </si>
  <si>
    <t>Soviet collapse, oil and interest rate shacks</t>
  </si>
  <si>
    <t>Repudiation of usurper's loan</t>
  </si>
  <si>
    <t>Soviet collapse, oil and interest rate shocks</t>
  </si>
  <si>
    <t>Small coupon tax</t>
  </si>
  <si>
    <t>Revolution and repudiation</t>
  </si>
  <si>
    <t>Soviet collapse</t>
  </si>
  <si>
    <t>Sanctions-induced capital outflows</t>
  </si>
  <si>
    <t>Troops mutiny against king</t>
  </si>
  <si>
    <t>Carlist wan</t>
  </si>
  <si>
    <t>Civil unrest</t>
  </si>
  <si>
    <t>Civil unrest prior to Liberal uprising</t>
  </si>
  <si>
    <t>Russo-Turkish War, budget crisis</t>
  </si>
  <si>
    <t>World War I, European occupation, Depression</t>
  </si>
  <si>
    <t>Independence war and split with Colombia</t>
  </si>
  <si>
    <t>Revolutions and civil unrest</t>
  </si>
  <si>
    <t>Revolutions and European blockades</t>
  </si>
  <si>
    <t>Interest rate shocks and budget crisis</t>
  </si>
  <si>
    <t>Oil and inmest rate shacks</t>
  </si>
  <si>
    <t>Repudiation following independence</t>
  </si>
  <si>
    <t>Hyperinflation liquidates domestic currency debt.</t>
  </si>
  <si>
    <t>Monetary reform limiting 40 Deutschemark per person.  Partial cancellation and blocking of all accounts. Source: Pick and Sedillot (1971).</t>
  </si>
  <si>
    <t>Interest on domestic debt was reduced by 75 percent since 1932; Domestic debt was about 1/4 of total public debt. Source: League of Nations Statistical Yearbooks, 1926-1944 (several years).</t>
  </si>
  <si>
    <t>Hyperinflation erodes what little remaining domestic debt there was.</t>
  </si>
  <si>
    <t>Hyperinflation-the highest recorded (until possibly Zimbabwe's 2008-2009). See Sargent (1982).</t>
  </si>
  <si>
    <t>Conversions of domestic debt in the 1920s. These are multiple attempts to reduce the high level of floating rate debt. Unclear how "voluntary" these conversions were; not counted as sovereign defaults. Source: Dornbusch and Draghi (1990), introduction and several papers therein.</t>
  </si>
  <si>
    <t>500% inflation wipes out much of the domestic debt.</t>
  </si>
  <si>
    <t>Inflation in 500-600% range wipes outmuch of  domestic debt.</t>
  </si>
  <si>
    <t>After 3-digit inflation, exchange of all bank notes for new issue (1 to 1) limited to 100 yen per person.  Remaining balances were deposited in blocked accounts.  Source: Pick and Sedillot (1971).</t>
  </si>
  <si>
    <t>After the restructuring of foreign debt in October of that year, domestic debt was roughly cut in half. Domestic debt accounted for 60 percent of total public debt. Bazant (1968)</t>
  </si>
  <si>
    <t>Service on external debt was suspended in 1928.  During the 1930s, interest payments included “arrears of expenditure and civil and military pensions.” Source: League of Nations Statistical Yearbooks, 1926-1944 (several years).</t>
  </si>
  <si>
    <t>In March 1933 the New Zealand Debt Conversion Act was passed providing for voluntary conversion for ordinary debt and 3 per cent for tax-free debt.  Holders had the option of dissenting but interest in the dissented portion was made subject to an interest tax of 33.3 per cent. Sources: Redell (2012), Schedvin (1970) and Prichard (1970).</t>
  </si>
  <si>
    <t>Hyperinflation. Domestic public market essentially wiped out even before hyperinflation; domestic debt stock is nil. Source; Fisher, Sahay, and Vegh (2002).</t>
  </si>
  <si>
    <t>Domestic debt restructurings: In 2003, Nicaragua completed a distressed exchange of domestic CENI bonds. The exchange reduced the bond’s interest rate by more than 7 percentage points and extended maturities from five to ten years. In 2008, these domestic bonds were restructured again, further lowering interest rates and further extending maturities. (Sources: Cruces and Trebesch, 2013 and Moody’s 2011)</t>
  </si>
  <si>
    <t>Arrears in domestic suppliers’ credit, wages, and civil and military pensions. IMF (1989).</t>
  </si>
  <si>
    <t>Domestic colonial debts were not cancelled—debt prices collapsed and this debt was only restructured in 1850. Source: Camprubi Alcazar (1957)</t>
  </si>
  <si>
    <t>After suspending service on external debt on May 29, Peru made “partial interest payments” on domestic debt. Source: League of Nations Statistical Yearbooks, 1926-1944 (several years).</t>
  </si>
  <si>
    <t>U.S. dollar deposits were forcibly converted into local currency.  Foreign currency deposits were allowed again in 1988. Source: Reinhart, Rogoff, and Savastano (2003).</t>
  </si>
  <si>
    <t>Hyperinflation. Domestic debt accounted for less than 15% of total public debt at the outset of the hyperinflation-but this was largely liquidated. Source: Reinhart and Savastano (2003)</t>
  </si>
  <si>
    <t>Hyperinflation--this was an important default device, as in the early 1920s more than 90% of public debt was domestic. Sources: Sargent (1982) and authors' calculations on domestic debt.</t>
  </si>
  <si>
    <t>Redemption of domestic and foreign debt is suspended (except for three loans) in February 1933. Source: League of Nations Statistical Yearbooks, 1926-1944 (several years).</t>
  </si>
  <si>
    <t>Repudiation of debts and confiscation of gold in all forms followed by confiscation of all foreign exchange. Source: Leo and Moulton (1924).</t>
  </si>
  <si>
    <t>The monetary reform subjected privately held currency to a 90 percent reduction. Source: Pick and Sedillot (1971).</t>
  </si>
  <si>
    <t>Largest local currency debt default (US $39 billion) since Brazil 1990.</t>
  </si>
  <si>
    <t>Interest payments on external debt were suspended, arrears on domestic debt service accumulated through the war.</t>
  </si>
  <si>
    <t>Among several conversions of debt into lower coupon rates.  Reductions in rates were mostly 0.5–1.0 percent in these episodes. Allowable under contract; See MacDonald (2006) Not counted as a sovereign default.</t>
  </si>
  <si>
    <t>UK deferred payment on its post WWII 2% loan from the US six times. The origial 1946 loan was for US$4.3 billion. These deferrals were allowed under the terms of the loan and are not counted as reschedulings--though they clearly provide temporary debt relief.</t>
  </si>
  <si>
    <t>Nine states defaulted and three states repudiated their debts altogether. Source: English (1996)</t>
  </si>
  <si>
    <t>By 1873, 10 states were in default.  In the case of West Virginia, settlement was as late as 1919. Many local governments defaultedNot counted as a sovereign default.</t>
  </si>
  <si>
    <t>Abrogation of the gold clause in conjunction with a 40 percent reduction in the gold content of the US dollar. The debt haircut amounted to about 16%  of GDP. Sources: Pick and Sedillot (1954) and authors' calculations</t>
  </si>
  <si>
    <t>After suspending redemption of external debt on January 20, redemptions on domestic debt were equally suspended. Source: League of Nations Statistical Yearbooks, 1926-1944 (several years).</t>
  </si>
  <si>
    <t>No restructuring, but a one-week default on domestic currency bonds. In early July of 1998, the government missed a couponpayment on local currency bonds but repaid the arrears one week later. Since these bonds had no grace period, the payment delay was rated as a default by Moody’s (Moody’s 2011)</t>
  </si>
  <si>
    <t>With over 98.5 percent of domestic debt with maturities less than a year, there is a restructuring. At the same time hyperinflation escalates. No official price statistics avalaible for 2008-2009; in 2009 Zimbabwe abandonds its currency. Source: Hanke and Kwock (2009).</t>
  </si>
  <si>
    <t>AAXRXDE.</t>
  </si>
  <si>
    <t>AOXRXDE.</t>
  </si>
  <si>
    <t>AGXRXDE.</t>
  </si>
  <si>
    <t>AUXRXDE.</t>
  </si>
  <si>
    <t>BRXRXDE.</t>
  </si>
  <si>
    <t>CNXRXDE.</t>
  </si>
  <si>
    <t>CEXRXDE.</t>
  </si>
  <si>
    <t>CLXRXDE.</t>
  </si>
  <si>
    <t>CHXRXDE.</t>
  </si>
  <si>
    <t>CBXRXDE.</t>
  </si>
  <si>
    <t>CRXRXDE.</t>
  </si>
  <si>
    <t>DKXRXDE.</t>
  </si>
  <si>
    <t>DRXRXDE.</t>
  </si>
  <si>
    <t>EDXRXDE.</t>
  </si>
  <si>
    <t>EYXRXDE.</t>
  </si>
  <si>
    <t>GHXRXDE.</t>
  </si>
  <si>
    <t>GWXRXDE.</t>
  </si>
  <si>
    <t>HOXRXDE.</t>
  </si>
  <si>
    <t>HNXRXDE.</t>
  </si>
  <si>
    <t>ICXRXDE.</t>
  </si>
  <si>
    <t>INXRXDE.</t>
  </si>
  <si>
    <t>IDXRXDE.</t>
  </si>
  <si>
    <t>JPXRXDE.</t>
  </si>
  <si>
    <t>KNXRXDE.</t>
  </si>
  <si>
    <t>MYXRXDE.</t>
  </si>
  <si>
    <t>MUXRXDE.</t>
  </si>
  <si>
    <t>MXXRXDE.</t>
  </si>
  <si>
    <t>MCXRXDE.</t>
  </si>
  <si>
    <t>NZXRXDE.</t>
  </si>
  <si>
    <t>NIXRXDE.</t>
  </si>
  <si>
    <t>NGXRXDE.</t>
  </si>
  <si>
    <t>NWXRXDE.</t>
  </si>
  <si>
    <t>PAXRXDE.</t>
  </si>
  <si>
    <t>PYXRXDE.</t>
  </si>
  <si>
    <t>PEXRXDE.</t>
  </si>
  <si>
    <t>PHXRXDE.</t>
  </si>
  <si>
    <t>POXRXDE.</t>
  </si>
  <si>
    <t>RMXRXDE.</t>
  </si>
  <si>
    <t>RSXRXDE.</t>
  </si>
  <si>
    <t>SPXRXDE.</t>
  </si>
  <si>
    <t>SAXRXDE.</t>
  </si>
  <si>
    <t>KOXRXDE.</t>
  </si>
  <si>
    <t>LKXRXDE.</t>
  </si>
  <si>
    <t>SDXRXDE.</t>
  </si>
  <si>
    <t>SWXRXDE.</t>
  </si>
  <si>
    <t>TWXRXDE.</t>
  </si>
  <si>
    <t>THXRXDE.</t>
  </si>
  <si>
    <t>TUXRXDE.</t>
  </si>
  <si>
    <t>TKXRXDE.</t>
  </si>
  <si>
    <t>USXRXDE.</t>
  </si>
  <si>
    <t>UYXRXDE.</t>
  </si>
  <si>
    <t>VEXRXDE.</t>
  </si>
  <si>
    <t>ZMXRXDE.</t>
  </si>
  <si>
    <t>ZIXRXDE.</t>
  </si>
  <si>
    <t>OEY..DE.</t>
  </si>
  <si>
    <t>BGOCFEXA</t>
  </si>
  <si>
    <t>FINMAR$</t>
  </si>
  <si>
    <t>FRENFR$</t>
  </si>
  <si>
    <t>DMARKE$</t>
  </si>
  <si>
    <t>GREDRA$</t>
  </si>
  <si>
    <t>IPUNTEI</t>
  </si>
  <si>
    <t>ITALIR$</t>
  </si>
  <si>
    <t>PORTES$</t>
  </si>
  <si>
    <t>SPANPE$</t>
  </si>
  <si>
    <t>UKDOLLR</t>
  </si>
  <si>
    <t>NLOCFEXA</t>
  </si>
  <si>
    <t xml:space="preserve">Primary source is GFD-IFS official end-of-period exchange rate; alt1 series is IFS end-of-period exchange rate; alt2 series is pick's parallel end-of-period exchange rate;  </t>
  </si>
  <si>
    <t>NA</t>
  </si>
  <si>
    <t>Primary source is IMF eop; alt1 series is GFD market eop exchange rate; alt2 series is RR-Pick's official eop; alt3 series is RR-Pick's parallel eop</t>
  </si>
  <si>
    <t>exch_primary source code</t>
  </si>
  <si>
    <t>Series already adjusted for 100-to-1 conversion here; National currency per USD</t>
  </si>
  <si>
    <t>national currency</t>
  </si>
  <si>
    <t>Primary source is IMF official eop exchange rate; alt1 series is RR_IFS official eop</t>
  </si>
  <si>
    <t>Primary source is IMF Official eop</t>
  </si>
  <si>
    <t>TDXOFSP</t>
  </si>
  <si>
    <t>ELSALV$</t>
  </si>
  <si>
    <t>Primary source is Oxford Economics eop</t>
  </si>
  <si>
    <t>Primary source is WM/Reuters daily</t>
  </si>
  <si>
    <t xml:space="preserve">Primary source is Oxford Economics eop </t>
  </si>
  <si>
    <t>Primary source is Thomson Reuters daily</t>
  </si>
  <si>
    <t>Primary source is OECD Economic Outlook, OECD</t>
  </si>
  <si>
    <t>Independence</t>
  </si>
  <si>
    <t>Inflation Crises</t>
  </si>
  <si>
    <t>Inflation, Annual percentages of average consumer prices</t>
  </si>
  <si>
    <t xml:space="preserve">  </t>
  </si>
  <si>
    <t>Currency Crises</t>
  </si>
  <si>
    <t>x</t>
  </si>
  <si>
    <t>&lt;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</si>
</sst>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0.00_ "/>
    <numFmt numFmtId="166" formatCode="_(* #,##0.0_);_(* \(#,##0.0\);_(* &quot;-&quot;??_);_(@_)"/>
    <numFmt numFmtId="167" formatCode="_(* #,##0_);_(* \(#,##0\);_(* &quot;-&quot;??_);_(@_)"/>
    <numFmt numFmtId="168" formatCode="General_)"/>
    <numFmt numFmtId="169" formatCode="0.0_ "/>
    <numFmt numFmtId="170" formatCode="0_ "/>
  </numFmts>
  <fonts count="22" x14ac:knownFonts="1">
    <font>
      <sz val="11"/>
      <color theme="1"/>
      <name val="Calibri"/>
      <family val="2"/>
      <scheme val="minor"/>
    </font>
    <font>
      <sz val="10"/>
      <name val="Times New Roman"/>
      <family val="1"/>
    </font>
    <font>
      <b/>
      <sz val="9"/>
      <color indexed="81"/>
      <name val="Tahoma"/>
      <family val="2"/>
    </font>
    <font>
      <sz val="9"/>
      <color indexed="81"/>
      <name val="Tahoma"/>
      <family val="2"/>
    </font>
    <font>
      <sz val="10"/>
      <name val="Times New Roman"/>
      <family val="1"/>
    </font>
    <font>
      <sz val="10"/>
      <name val="Verdana"/>
      <family val="2"/>
    </font>
    <font>
      <sz val="10"/>
      <name val="Arial"/>
      <family val="2"/>
    </font>
    <font>
      <b/>
      <sz val="8"/>
      <color indexed="81"/>
      <name val="Tahoma"/>
      <family val="2"/>
    </font>
    <font>
      <sz val="8"/>
      <color indexed="81"/>
      <name val="Tahoma"/>
      <family val="2"/>
    </font>
    <font>
      <sz val="10"/>
      <color theme="1"/>
      <name val="Times New Roman"/>
      <family val="1"/>
    </font>
    <font>
      <sz val="10"/>
      <color indexed="56"/>
      <name val="Times New Roman"/>
      <family val="1"/>
    </font>
    <font>
      <sz val="11"/>
      <color rgb="FF006100"/>
      <name val="Calibri"/>
      <family val="2"/>
      <scheme val="minor"/>
    </font>
    <font>
      <b/>
      <sz val="11"/>
      <color rgb="FF006100"/>
      <name val="Calibri"/>
      <family val="2"/>
      <scheme val="minor"/>
    </font>
    <font>
      <i/>
      <sz val="10"/>
      <name val="Times New Roman"/>
      <family val="1"/>
    </font>
    <font>
      <b/>
      <sz val="10"/>
      <name val="Times New Roman"/>
      <family val="1"/>
    </font>
    <font>
      <sz val="11"/>
      <color theme="1"/>
      <name val="Calibri"/>
      <family val="2"/>
      <scheme val="minor"/>
    </font>
    <font>
      <sz val="10"/>
      <color rgb="FFFF0000"/>
      <name val="Times New Roman"/>
      <family val="1"/>
    </font>
    <font>
      <sz val="11"/>
      <color indexed="8"/>
      <name val="Calibri"/>
      <family val="2"/>
    </font>
    <font>
      <sz val="10"/>
      <color indexed="8"/>
      <name val="Times New Roman"/>
      <family val="1"/>
    </font>
    <font>
      <sz val="10"/>
      <color indexed="14"/>
      <name val="Times New Roman"/>
      <family val="1"/>
    </font>
    <font>
      <sz val="10"/>
      <name val="Agency FB"/>
      <family val="2"/>
    </font>
    <font>
      <sz val="8"/>
      <name val="Times New Roman"/>
      <family val="1"/>
    </font>
  </fonts>
  <fills count="11">
    <fill>
      <patternFill patternType="none"/>
    </fill>
    <fill>
      <patternFill patternType="gray125"/>
    </fill>
    <fill>
      <patternFill patternType="solid">
        <fgColor rgb="FFC6EFCE"/>
      </patternFill>
    </fill>
    <fill>
      <patternFill patternType="solid">
        <fgColor indexed="15"/>
        <bgColor indexed="64"/>
      </patternFill>
    </fill>
    <fill>
      <patternFill patternType="solid">
        <fgColor rgb="FF00B050"/>
        <bgColor indexed="64"/>
      </patternFill>
    </fill>
    <fill>
      <patternFill patternType="solid">
        <fgColor indexed="14"/>
        <bgColor indexed="64"/>
      </patternFill>
    </fill>
    <fill>
      <patternFill patternType="solid">
        <fgColor rgb="FFFF00FF"/>
        <bgColor indexed="64"/>
      </patternFill>
    </fill>
    <fill>
      <patternFill patternType="solid">
        <fgColor indexed="53"/>
        <bgColor indexed="64"/>
      </patternFill>
    </fill>
    <fill>
      <patternFill patternType="solid">
        <fgColor rgb="FFFF0000"/>
        <bgColor indexed="64"/>
      </patternFill>
    </fill>
    <fill>
      <patternFill patternType="solid">
        <fgColor indexed="10"/>
        <bgColor indexed="64"/>
      </patternFill>
    </fill>
    <fill>
      <patternFill patternType="solid">
        <fgColor rgb="FFFF66FF"/>
        <bgColor indexed="64"/>
      </patternFill>
    </fill>
  </fills>
  <borders count="2">
    <border>
      <left/>
      <right/>
      <top/>
      <bottom/>
      <diagonal/>
    </border>
    <border>
      <left/>
      <right/>
      <top/>
      <bottom style="hair">
        <color auto="1"/>
      </bottom>
      <diagonal/>
    </border>
  </borders>
  <cellStyleXfs count="19">
    <xf numFmtId="0" fontId="0" fillId="0" borderId="0"/>
    <xf numFmtId="0" fontId="1" fillId="0" borderId="0">
      <alignment vertical="center"/>
    </xf>
    <xf numFmtId="0" fontId="4" fillId="0" borderId="0">
      <alignment vertical="center"/>
    </xf>
    <xf numFmtId="0" fontId="1" fillId="0" borderId="0">
      <alignment vertical="center"/>
    </xf>
    <xf numFmtId="0" fontId="1" fillId="0" borderId="0" applyNumberFormat="0" applyFill="0" applyBorder="0" applyAlignment="0" applyProtection="0"/>
    <xf numFmtId="0" fontId="5" fillId="0" borderId="0" applyNumberFormat="0" applyFill="0" applyBorder="0" applyAlignment="0" applyProtection="0"/>
    <xf numFmtId="0" fontId="1" fillId="0" borderId="0" applyNumberFormat="0" applyFill="0" applyBorder="0" applyAlignment="0" applyProtection="0"/>
    <xf numFmtId="43" fontId="1" fillId="0" borderId="0" applyFont="0" applyFill="0" applyBorder="0" applyAlignment="0" applyProtection="0"/>
    <xf numFmtId="0" fontId="6" fillId="0" borderId="0"/>
    <xf numFmtId="0" fontId="1" fillId="0" borderId="0" applyNumberFormat="0" applyFill="0" applyBorder="0" applyAlignment="0" applyProtection="0"/>
    <xf numFmtId="0" fontId="1" fillId="0" borderId="0">
      <alignment vertical="center"/>
    </xf>
    <xf numFmtId="0" fontId="1" fillId="0" borderId="0"/>
    <xf numFmtId="0" fontId="11" fillId="2" borderId="0" applyNumberFormat="0" applyBorder="0" applyAlignment="0" applyProtection="0"/>
    <xf numFmtId="43" fontId="15" fillId="0" borderId="0" applyFont="0" applyFill="0" applyBorder="0" applyAlignment="0" applyProtection="0"/>
    <xf numFmtId="0" fontId="17" fillId="0" borderId="0"/>
    <xf numFmtId="0" fontId="17" fillId="0" borderId="0"/>
    <xf numFmtId="168" fontId="21" fillId="0" borderId="0"/>
    <xf numFmtId="0" fontId="17" fillId="0" borderId="0"/>
    <xf numFmtId="0" fontId="17" fillId="0" borderId="0"/>
  </cellStyleXfs>
  <cellXfs count="104">
    <xf numFmtId="0" fontId="0" fillId="0" borderId="0" xfId="0"/>
    <xf numFmtId="0" fontId="9" fillId="0" borderId="0" xfId="0" applyFont="1" applyAlignment="1">
      <alignment horizontal="right"/>
    </xf>
    <xf numFmtId="0" fontId="12" fillId="2" borderId="0" xfId="12" applyFont="1" applyAlignment="1">
      <alignment horizontal="right" wrapText="1"/>
    </xf>
    <xf numFmtId="0" fontId="1" fillId="0" borderId="0" xfId="1" applyNumberFormat="1" applyFont="1" applyAlignment="1" applyProtection="1"/>
    <xf numFmtId="0" fontId="1" fillId="3" borderId="0" xfId="1" applyNumberFormat="1" applyFont="1" applyFill="1" applyBorder="1" applyAlignment="1">
      <alignment horizontal="right"/>
    </xf>
    <xf numFmtId="0" fontId="1" fillId="3" borderId="0" xfId="1" applyNumberFormat="1" applyFont="1" applyFill="1" applyAlignment="1"/>
    <xf numFmtId="0" fontId="1" fillId="0" borderId="0" xfId="1" applyNumberFormat="1" applyFont="1" applyAlignment="1"/>
    <xf numFmtId="0" fontId="13" fillId="3" borderId="0" xfId="1" applyNumberFormat="1" applyFont="1" applyFill="1" applyAlignment="1"/>
    <xf numFmtId="0" fontId="1" fillId="0" borderId="0" xfId="1" applyNumberFormat="1" applyFont="1" applyBorder="1" applyAlignment="1">
      <alignment horizontal="right"/>
    </xf>
    <xf numFmtId="0" fontId="1" fillId="0" borderId="0" xfId="1" applyNumberFormat="1" applyFont="1" applyAlignment="1">
      <alignment horizontal="right"/>
    </xf>
    <xf numFmtId="0" fontId="13" fillId="3" borderId="0" xfId="1" applyNumberFormat="1" applyFont="1" applyFill="1" applyBorder="1" applyAlignment="1">
      <alignment horizontal="right"/>
    </xf>
    <xf numFmtId="0" fontId="1" fillId="0" borderId="0" xfId="1" applyNumberFormat="1" applyFont="1" applyFill="1" applyAlignment="1"/>
    <xf numFmtId="0" fontId="14" fillId="3" borderId="0" xfId="1" applyNumberFormat="1" applyFont="1" applyFill="1" applyBorder="1" applyAlignment="1">
      <alignment horizontal="right"/>
    </xf>
    <xf numFmtId="0" fontId="1" fillId="3" borderId="0" xfId="1" applyNumberFormat="1" applyFont="1" applyFill="1" applyAlignment="1" applyProtection="1"/>
    <xf numFmtId="0" fontId="1" fillId="0" borderId="0" xfId="1" applyNumberFormat="1" applyFont="1" applyFill="1" applyAlignment="1" applyProtection="1"/>
    <xf numFmtId="0" fontId="13" fillId="3" borderId="0" xfId="1" applyNumberFormat="1" applyFont="1" applyFill="1" applyAlignment="1" applyProtection="1"/>
    <xf numFmtId="1" fontId="1" fillId="0" borderId="0" xfId="1" applyNumberFormat="1" applyFont="1" applyAlignment="1"/>
    <xf numFmtId="0" fontId="14" fillId="3" borderId="0" xfId="1" applyNumberFormat="1" applyFont="1" applyFill="1" applyAlignment="1" applyProtection="1"/>
    <xf numFmtId="0" fontId="14" fillId="3" borderId="0" xfId="1" applyNumberFormat="1" applyFont="1" applyFill="1" applyAlignment="1"/>
    <xf numFmtId="0" fontId="1" fillId="3" borderId="0" xfId="1" applyFont="1" applyFill="1" applyAlignment="1"/>
    <xf numFmtId="1" fontId="1" fillId="3" borderId="0" xfId="1" applyNumberFormat="1" applyFont="1" applyFill="1" applyBorder="1" applyAlignment="1">
      <alignment horizontal="right"/>
    </xf>
    <xf numFmtId="1" fontId="13" fillId="3" borderId="0" xfId="1" applyNumberFormat="1" applyFont="1" applyFill="1" applyBorder="1" applyAlignment="1">
      <alignment horizontal="right"/>
    </xf>
    <xf numFmtId="0" fontId="13" fillId="3" borderId="0" xfId="1" applyFont="1" applyFill="1" applyAlignment="1"/>
    <xf numFmtId="0" fontId="1" fillId="0" borderId="0" xfId="0" applyFont="1" applyAlignment="1"/>
    <xf numFmtId="0" fontId="1" fillId="4" borderId="0" xfId="0" applyFont="1" applyFill="1" applyAlignment="1"/>
    <xf numFmtId="164" fontId="1" fillId="0" borderId="0" xfId="1" applyNumberFormat="1" applyFont="1" applyAlignment="1" applyProtection="1"/>
    <xf numFmtId="164" fontId="1" fillId="0" borderId="0" xfId="1" applyNumberFormat="1" applyFont="1" applyAlignment="1"/>
    <xf numFmtId="164" fontId="14" fillId="5" borderId="0" xfId="1" applyNumberFormat="1" applyFont="1" applyFill="1" applyAlignment="1"/>
    <xf numFmtId="164" fontId="1" fillId="5" borderId="0" xfId="1" applyNumberFormat="1" applyFont="1" applyFill="1" applyAlignment="1"/>
    <xf numFmtId="164" fontId="1" fillId="0" borderId="0" xfId="0" applyNumberFormat="1" applyFont="1" applyAlignment="1">
      <alignment vertical="center"/>
    </xf>
    <xf numFmtId="164" fontId="0" fillId="0" borderId="0" xfId="0" applyNumberFormat="1" applyAlignment="1"/>
    <xf numFmtId="0" fontId="1" fillId="5" borderId="0" xfId="1" applyNumberFormat="1" applyFont="1" applyFill="1" applyAlignment="1" applyProtection="1"/>
    <xf numFmtId="165" fontId="1" fillId="0" borderId="0" xfId="1" applyNumberFormat="1" applyFont="1" applyAlignment="1" applyProtection="1"/>
    <xf numFmtId="164" fontId="1" fillId="6" borderId="0" xfId="1" applyNumberFormat="1" applyFont="1" applyFill="1" applyAlignment="1"/>
    <xf numFmtId="0" fontId="1" fillId="6" borderId="0" xfId="1" applyNumberFormat="1" applyFont="1" applyFill="1" applyAlignment="1" applyProtection="1"/>
    <xf numFmtId="164" fontId="13" fillId="0" borderId="0" xfId="1" applyNumberFormat="1" applyFont="1" applyAlignment="1"/>
    <xf numFmtId="0" fontId="1" fillId="6" borderId="0" xfId="1" applyNumberFormat="1" applyFont="1" applyFill="1" applyBorder="1" applyAlignment="1">
      <alignment horizontal="right"/>
    </xf>
    <xf numFmtId="0" fontId="1" fillId="5" borderId="0" xfId="1" applyNumberFormat="1" applyFont="1" applyFill="1" applyBorder="1" applyAlignment="1">
      <alignment horizontal="right"/>
    </xf>
    <xf numFmtId="0" fontId="1" fillId="0" borderId="0" xfId="1" applyNumberFormat="1" applyFont="1" applyFill="1" applyBorder="1" applyAlignment="1">
      <alignment horizontal="right"/>
    </xf>
    <xf numFmtId="164" fontId="1" fillId="0" borderId="0" xfId="1" applyNumberFormat="1" applyFont="1" applyFill="1" applyAlignment="1"/>
    <xf numFmtId="0" fontId="1" fillId="6" borderId="0" xfId="1" applyNumberFormat="1" applyFont="1" applyFill="1" applyAlignment="1"/>
    <xf numFmtId="164" fontId="16" fillId="0" borderId="0" xfId="1" applyNumberFormat="1" applyFont="1" applyAlignment="1"/>
    <xf numFmtId="164" fontId="0" fillId="0" borderId="0" xfId="0" applyNumberFormat="1"/>
    <xf numFmtId="164" fontId="1" fillId="7" borderId="0" xfId="1" applyNumberFormat="1" applyFont="1" applyFill="1" applyAlignment="1"/>
    <xf numFmtId="164" fontId="1" fillId="0" borderId="0" xfId="1" applyNumberFormat="1" applyFont="1" applyFill="1" applyAlignment="1" applyProtection="1"/>
    <xf numFmtId="164" fontId="18" fillId="0" borderId="0" xfId="14" applyNumberFormat="1" applyFont="1"/>
    <xf numFmtId="164" fontId="18" fillId="5" borderId="0" xfId="14" applyNumberFormat="1" applyFont="1" applyFill="1"/>
    <xf numFmtId="0" fontId="1" fillId="5" borderId="0" xfId="1" applyNumberFormat="1" applyFont="1" applyFill="1" applyAlignment="1"/>
    <xf numFmtId="164" fontId="1" fillId="6" borderId="0" xfId="0" applyNumberFormat="1" applyFont="1" applyFill="1" applyAlignment="1"/>
    <xf numFmtId="0" fontId="1" fillId="8" borderId="0" xfId="1" applyNumberFormat="1" applyFont="1" applyFill="1" applyAlignment="1"/>
    <xf numFmtId="165" fontId="1" fillId="0" borderId="0" xfId="1" applyNumberFormat="1" applyFont="1" applyFill="1" applyAlignment="1"/>
    <xf numFmtId="164" fontId="19" fillId="5" borderId="0" xfId="1" applyNumberFormat="1" applyFont="1" applyFill="1" applyAlignment="1"/>
    <xf numFmtId="0" fontId="1" fillId="9" borderId="0" xfId="1" applyNumberFormat="1" applyFont="1" applyFill="1" applyAlignment="1"/>
    <xf numFmtId="164" fontId="14" fillId="0" borderId="0" xfId="1" applyNumberFormat="1" applyFont="1" applyFill="1" applyAlignment="1"/>
    <xf numFmtId="164" fontId="1" fillId="10" borderId="0" xfId="1" applyNumberFormat="1" applyFont="1" applyFill="1" applyAlignment="1"/>
    <xf numFmtId="0" fontId="1" fillId="10" borderId="0" xfId="1" applyNumberFormat="1" applyFont="1" applyFill="1" applyAlignment="1"/>
    <xf numFmtId="166" fontId="1" fillId="0" borderId="0" xfId="13" applyNumberFormat="1" applyFont="1"/>
    <xf numFmtId="0" fontId="1" fillId="0" borderId="0" xfId="1" applyFont="1" applyAlignment="1"/>
    <xf numFmtId="0" fontId="1" fillId="10" borderId="0" xfId="1" applyNumberFormat="1" applyFont="1" applyFill="1" applyAlignment="1" applyProtection="1"/>
    <xf numFmtId="0" fontId="0" fillId="0" borderId="0" xfId="1" applyNumberFormat="1" applyFont="1" applyAlignment="1"/>
    <xf numFmtId="1" fontId="1" fillId="0" borderId="0" xfId="1" applyNumberFormat="1" applyFont="1" applyFill="1" applyAlignment="1"/>
    <xf numFmtId="0" fontId="1" fillId="8" borderId="0" xfId="1" applyFont="1" applyFill="1" applyAlignment="1"/>
    <xf numFmtId="1" fontId="1" fillId="8" borderId="0" xfId="1" applyNumberFormat="1" applyFont="1" applyFill="1" applyAlignment="1"/>
    <xf numFmtId="164" fontId="20" fillId="0" borderId="0" xfId="1" applyNumberFormat="1" applyFont="1" applyFill="1" applyAlignment="1"/>
    <xf numFmtId="164" fontId="18" fillId="0" borderId="0" xfId="15" applyNumberFormat="1" applyFont="1"/>
    <xf numFmtId="167" fontId="1" fillId="10" borderId="0" xfId="13" applyNumberFormat="1" applyFont="1" applyFill="1" applyAlignment="1"/>
    <xf numFmtId="164" fontId="18" fillId="10" borderId="0" xfId="15" applyNumberFormat="1" applyFont="1" applyFill="1"/>
    <xf numFmtId="164" fontId="21" fillId="0" borderId="0" xfId="16" applyNumberFormat="1" applyFont="1" applyBorder="1" applyAlignment="1">
      <alignment horizontal="right"/>
    </xf>
    <xf numFmtId="164" fontId="1" fillId="0" borderId="0" xfId="16" applyNumberFormat="1" applyFont="1" applyBorder="1" applyAlignment="1">
      <alignment horizontal="right"/>
    </xf>
    <xf numFmtId="1" fontId="21" fillId="0" borderId="0" xfId="16" applyNumberFormat="1" applyFont="1" applyBorder="1" applyAlignment="1">
      <alignment horizontal="right"/>
    </xf>
    <xf numFmtId="164" fontId="14" fillId="0" borderId="0" xfId="16" applyNumberFormat="1" applyFont="1" applyBorder="1" applyAlignment="1">
      <alignment horizontal="right"/>
    </xf>
    <xf numFmtId="164" fontId="1" fillId="10" borderId="0" xfId="16" applyNumberFormat="1" applyFont="1" applyFill="1" applyBorder="1" applyAlignment="1">
      <alignment horizontal="right"/>
    </xf>
    <xf numFmtId="1" fontId="18" fillId="0" borderId="0" xfId="15" applyNumberFormat="1" applyFont="1"/>
    <xf numFmtId="0" fontId="14" fillId="0" borderId="0" xfId="1" applyNumberFormat="1" applyFont="1" applyAlignment="1"/>
    <xf numFmtId="164" fontId="18" fillId="5" borderId="0" xfId="15" applyNumberFormat="1" applyFont="1" applyFill="1"/>
    <xf numFmtId="165" fontId="1" fillId="0" borderId="0" xfId="1" applyNumberFormat="1" applyFont="1" applyAlignment="1"/>
    <xf numFmtId="165" fontId="1" fillId="10" borderId="0" xfId="1" applyNumberFormat="1" applyFont="1" applyFill="1" applyAlignment="1"/>
    <xf numFmtId="169" fontId="1" fillId="0" borderId="0" xfId="1" applyNumberFormat="1" applyFont="1" applyFill="1" applyAlignment="1"/>
    <xf numFmtId="170" fontId="1" fillId="8" borderId="0" xfId="1" applyNumberFormat="1" applyFont="1" applyFill="1" applyAlignment="1"/>
    <xf numFmtId="166" fontId="1" fillId="6" borderId="0" xfId="13" applyNumberFormat="1" applyFont="1" applyFill="1" applyAlignment="1"/>
    <xf numFmtId="164" fontId="18" fillId="0" borderId="0" xfId="17" applyNumberFormat="1" applyFont="1"/>
    <xf numFmtId="170" fontId="1" fillId="5" borderId="0" xfId="1" applyNumberFormat="1" applyFont="1" applyFill="1" applyAlignment="1"/>
    <xf numFmtId="1" fontId="1" fillId="6" borderId="0" xfId="1" applyNumberFormat="1" applyFont="1" applyFill="1" applyAlignment="1"/>
    <xf numFmtId="169" fontId="1" fillId="0" borderId="0" xfId="1" applyNumberFormat="1" applyFont="1" applyAlignment="1"/>
    <xf numFmtId="164" fontId="1" fillId="6" borderId="0" xfId="1" applyNumberFormat="1" applyFont="1" applyFill="1" applyAlignment="1" applyProtection="1"/>
    <xf numFmtId="164" fontId="1" fillId="0" borderId="0" xfId="0" applyNumberFormat="1" applyFont="1" applyAlignment="1"/>
    <xf numFmtId="164" fontId="18" fillId="0" borderId="0" xfId="18" applyNumberFormat="1" applyFont="1"/>
    <xf numFmtId="164" fontId="1" fillId="5" borderId="0" xfId="0" applyNumberFormat="1" applyFont="1" applyFill="1" applyAlignment="1"/>
    <xf numFmtId="1" fontId="1" fillId="5" borderId="0" xfId="1" applyNumberFormat="1" applyFont="1" applyFill="1" applyAlignment="1"/>
    <xf numFmtId="167" fontId="1" fillId="6" borderId="0" xfId="13" applyNumberFormat="1" applyFont="1" applyFill="1" applyAlignment="1"/>
    <xf numFmtId="167" fontId="1" fillId="6" borderId="0" xfId="13" applyNumberFormat="1" applyFont="1" applyFill="1" applyAlignment="1">
      <alignment vertical="center"/>
    </xf>
    <xf numFmtId="0" fontId="1" fillId="9" borderId="0" xfId="1" applyNumberFormat="1" applyFont="1" applyFill="1" applyAlignment="1" applyProtection="1"/>
    <xf numFmtId="0" fontId="1" fillId="8" borderId="0" xfId="1" applyNumberFormat="1" applyFont="1" applyFill="1" applyAlignment="1" applyProtection="1"/>
    <xf numFmtId="0" fontId="1" fillId="9" borderId="0" xfId="1" applyNumberFormat="1" applyFont="1" applyFill="1" applyBorder="1" applyAlignment="1">
      <alignment horizontal="right"/>
    </xf>
    <xf numFmtId="164" fontId="1" fillId="0" borderId="0" xfId="1" applyNumberFormat="1" applyFont="1" applyFill="1" applyBorder="1" applyAlignment="1"/>
    <xf numFmtId="0" fontId="1" fillId="8" borderId="0" xfId="1" applyFont="1" applyFill="1">
      <alignment vertical="center"/>
    </xf>
    <xf numFmtId="0" fontId="1" fillId="0" borderId="0" xfId="1" applyNumberFormat="1" applyFont="1" applyFill="1" applyBorder="1" applyAlignment="1"/>
    <xf numFmtId="0" fontId="12" fillId="2" borderId="0" xfId="12" applyFont="1" applyAlignment="1">
      <alignment horizontal="center" vertical="center" wrapText="1"/>
    </xf>
    <xf numFmtId="165" fontId="1" fillId="0" borderId="0" xfId="1" applyNumberFormat="1" applyFont="1" applyFill="1" applyBorder="1" applyAlignment="1"/>
    <xf numFmtId="164" fontId="1" fillId="0" borderId="0" xfId="1" applyNumberFormat="1" applyFont="1" applyBorder="1" applyAlignment="1"/>
    <xf numFmtId="164" fontId="1" fillId="0" borderId="1" xfId="16" applyNumberFormat="1" applyFont="1" applyBorder="1" applyAlignment="1">
      <alignment horizontal="right"/>
    </xf>
    <xf numFmtId="0" fontId="1" fillId="0" borderId="0" xfId="1" applyNumberFormat="1" applyFont="1" applyAlignment="1" applyProtection="1">
      <alignment horizontal="right"/>
    </xf>
    <xf numFmtId="2" fontId="1" fillId="0" borderId="0" xfId="0" applyNumberFormat="1" applyFont="1"/>
    <xf numFmtId="2" fontId="1" fillId="0" borderId="0" xfId="0" applyNumberFormat="1" applyFont="1" applyFill="1"/>
  </cellXfs>
  <cellStyles count="19">
    <cellStyle name="ANCLAS,REZONES Y SUS PARTES,DE FUNDICION,DE HIERRO O DE ACERO" xfId="1"/>
    <cellStyle name="ANCLAS,REZONES Y SUS PARTES,DE FUNDICION,DE HIERRO O DE ACERO 2" xfId="4"/>
    <cellStyle name="ANCLAS,REZONES Y SUS PARTES,DE FUNDICION,DE HIERRO O DE ACERO 3" xfId="5"/>
    <cellStyle name="bstitutes]_x000a__x000a_; The following mappings take Word for MS-DOS names, PostScript names, and TrueType_x000a__x000a_; names into account" xfId="6"/>
    <cellStyle name="Comma" xfId="13" builtinId="3"/>
    <cellStyle name="Comma 2" xfId="7"/>
    <cellStyle name="Good" xfId="12" builtinId="26"/>
    <cellStyle name="Normal" xfId="0" builtinId="0"/>
    <cellStyle name="Normal 2" xfId="2"/>
    <cellStyle name="Normal 2 2" xfId="8"/>
    <cellStyle name="Normal 3" xfId="9"/>
    <cellStyle name="Normal 3 2" xfId="10"/>
    <cellStyle name="Normal 4" xfId="11"/>
    <cellStyle name="Normal 5" xfId="3"/>
    <cellStyle name="Normal_A-F" xfId="14"/>
    <cellStyle name="Normal_G-M" xfId="15"/>
    <cellStyle name="Normal_G-M_1" xfId="16"/>
    <cellStyle name="Normal_N-Z" xfId="17"/>
    <cellStyle name="Normal_T-Z" xfId="18"/>
  </cellStyles>
  <dxfs count="477">
    <dxf>
      <font>
        <b/>
        <i val="0"/>
        <condense val="0"/>
        <extend val="0"/>
        <color auto="1"/>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auto="1"/>
      </font>
      <fill>
        <patternFill>
          <bgColor indexed="10"/>
        </patternFill>
      </fill>
    </dxf>
    <dxf>
      <font>
        <b/>
        <i val="0"/>
        <condense val="0"/>
        <extend val="0"/>
        <color auto="1"/>
      </font>
      <fill>
        <patternFill>
          <bgColor indexed="10"/>
        </patternFill>
      </fill>
    </dxf>
    <dxf>
      <font>
        <b/>
        <i val="0"/>
        <condense val="0"/>
        <extend val="0"/>
      </font>
    </dxf>
    <dxf>
      <font>
        <b/>
        <i val="0"/>
        <condense val="0"/>
        <extend val="0"/>
        <color auto="1"/>
      </font>
      <fill>
        <patternFill>
          <bgColor indexed="14"/>
        </patternFill>
      </fill>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48"/>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auto="1"/>
      </font>
      <fill>
        <patternFill>
          <bgColor indexed="14"/>
        </patternFill>
      </fill>
    </dxf>
    <dxf>
      <font>
        <b/>
        <i val="0"/>
        <condense val="0"/>
        <extend val="0"/>
        <color indexed="33"/>
      </font>
    </dxf>
    <dxf>
      <font>
        <b/>
        <i val="0"/>
        <condense val="0"/>
        <extend val="0"/>
        <color indexed="10"/>
      </font>
    </dxf>
    <dxf>
      <font>
        <b/>
        <i val="0"/>
        <condense val="0"/>
        <extend val="0"/>
        <color auto="1"/>
      </font>
      <fill>
        <patternFill>
          <bgColor indexed="10"/>
        </patternFill>
      </fill>
    </dxf>
    <dxf>
      <font>
        <b/>
        <i val="0"/>
        <condense val="0"/>
        <extend val="0"/>
        <color auto="1"/>
      </font>
      <fill>
        <patternFill>
          <bgColor indexed="14"/>
        </patternFill>
      </fill>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48"/>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10"/>
        </patternFill>
      </fill>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10"/>
      </font>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auto="1"/>
      </font>
      <fill>
        <patternFill>
          <bgColor indexed="14"/>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dxf>
    <dxf>
      <font>
        <b/>
        <i val="0"/>
        <condense val="0"/>
        <extend val="0"/>
        <color auto="1"/>
      </font>
      <fill>
        <patternFill>
          <bgColor indexed="14"/>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dxf>
    <dxf>
      <font>
        <b/>
        <i val="0"/>
        <condense val="0"/>
        <extend val="0"/>
        <color auto="1"/>
      </font>
      <fill>
        <patternFill>
          <bgColor indexed="10"/>
        </patternFill>
      </fill>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48"/>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48"/>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48"/>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10"/>
        </patternFill>
      </fill>
    </dxf>
    <dxf>
      <font>
        <b/>
        <i val="0"/>
        <condense val="0"/>
        <extend val="0"/>
        <color indexed="48"/>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color auto="1"/>
      </font>
      <fill>
        <patternFill>
          <bgColor indexed="53"/>
        </patternFill>
      </fill>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auto="1"/>
      </font>
      <fill>
        <patternFill>
          <bgColor indexed="14"/>
        </patternFill>
      </fill>
    </dxf>
    <dxf>
      <font>
        <b/>
        <i val="0"/>
        <condense val="0"/>
        <extend val="0"/>
        <color auto="1"/>
      </font>
      <fill>
        <patternFill>
          <bgColor indexed="10"/>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indexed="48"/>
      </font>
    </dxf>
    <dxf>
      <font>
        <b/>
        <i val="0"/>
        <condense val="0"/>
        <extend val="0"/>
        <color indexed="10"/>
      </font>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53"/>
        </patternFill>
      </fill>
    </dxf>
    <dxf>
      <font>
        <b/>
        <i val="0"/>
        <condense val="0"/>
        <extend val="0"/>
        <color auto="1"/>
      </font>
      <fill>
        <patternFill>
          <bgColor indexed="14"/>
        </patternFill>
      </fill>
    </dxf>
    <dxf>
      <font>
        <b/>
        <i val="0"/>
        <condense val="0"/>
        <extend val="0"/>
        <color auto="1"/>
      </font>
      <fill>
        <patternFill>
          <bgColor indexed="10"/>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14"/>
        </patternFill>
      </fill>
    </dxf>
    <dxf>
      <font>
        <b/>
        <i val="0"/>
        <condense val="0"/>
        <extend val="0"/>
      </font>
    </dxf>
    <dxf>
      <font>
        <b/>
        <i val="0"/>
        <condense val="0"/>
        <extend val="0"/>
      </font>
      <fill>
        <patternFill>
          <bgColor indexed="14"/>
        </patternFill>
      </fill>
    </dxf>
    <dxf>
      <font>
        <b/>
        <i val="0"/>
        <condense val="0"/>
        <extend val="0"/>
      </font>
      <fill>
        <patternFill>
          <bgColor indexed="14"/>
        </patternFill>
      </fill>
    </dxf>
    <dxf>
      <font>
        <b/>
        <i val="0"/>
        <condense val="0"/>
        <extend val="0"/>
      </font>
      <fill>
        <patternFill>
          <bgColor indexed="53"/>
        </patternFill>
      </fill>
    </dxf>
    <dxf>
      <font>
        <b/>
        <i val="0"/>
        <condense val="0"/>
        <extend val="0"/>
        <color indexed="33"/>
      </font>
    </dxf>
    <dxf>
      <font>
        <b/>
        <i val="0"/>
        <condense val="0"/>
        <extend val="0"/>
        <color indexed="10"/>
      </font>
    </dxf>
    <dxf>
      <font>
        <b/>
        <i val="0"/>
        <condense val="0"/>
        <extend val="0"/>
      </font>
      <fill>
        <patternFill>
          <bgColor indexed="14"/>
        </patternFill>
      </fill>
    </dxf>
    <dxf>
      <font>
        <b/>
        <i val="0"/>
        <condense val="0"/>
        <extend val="0"/>
      </font>
      <fill>
        <patternFill>
          <bgColor indexed="14"/>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auto="1"/>
      </font>
      <fill>
        <patternFill patternType="solid">
          <bgColor indexed="53"/>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48"/>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font>
      <fill>
        <patternFill>
          <bgColor indexed="53"/>
        </patternFill>
      </fill>
    </dxf>
    <dxf>
      <font>
        <b/>
        <i val="0"/>
        <condense val="0"/>
        <extend val="0"/>
      </font>
      <fill>
        <patternFill>
          <bgColor indexed="14"/>
        </patternFill>
      </fill>
    </dxf>
    <dxf>
      <font>
        <b/>
        <i val="0"/>
        <condense val="0"/>
        <extend val="0"/>
        <color indexed="33"/>
      </font>
    </dxf>
    <dxf>
      <font>
        <b/>
        <i val="0"/>
        <condense val="0"/>
        <extend val="0"/>
        <color indexed="10"/>
      </font>
    </dxf>
    <dxf>
      <font>
        <b/>
        <i val="0"/>
        <condense val="0"/>
        <extend val="0"/>
        <color auto="1"/>
      </font>
    </dxf>
    <dxf>
      <font>
        <b/>
        <i val="0"/>
        <condense val="0"/>
        <extend val="0"/>
        <color auto="1"/>
      </font>
    </dxf>
    <dxf>
      <font>
        <b/>
        <i val="0"/>
        <condense val="0"/>
        <extend val="0"/>
        <color indexed="33"/>
      </font>
    </dxf>
    <dxf>
      <font>
        <b/>
        <i val="0"/>
        <condense val="0"/>
        <extend val="0"/>
        <color indexed="10"/>
      </font>
    </dxf>
    <dxf>
      <font>
        <b/>
        <i val="0"/>
        <condense val="0"/>
        <extend val="0"/>
        <color auto="1"/>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auto="1"/>
      </font>
    </dxf>
    <dxf>
      <font>
        <b/>
        <i val="0"/>
        <condense val="0"/>
        <extend val="0"/>
        <color indexed="33"/>
      </font>
    </dxf>
    <dxf>
      <font>
        <b/>
        <i val="0"/>
        <condense val="0"/>
        <extend val="0"/>
        <color indexed="10"/>
      </font>
    </dxf>
    <dxf>
      <font>
        <b/>
        <i val="0"/>
        <condense val="0"/>
        <extend val="0"/>
        <color auto="1"/>
      </font>
    </dxf>
    <dxf>
      <font>
        <b/>
        <i val="0"/>
        <condense val="0"/>
        <extend val="0"/>
        <color indexed="33"/>
      </font>
    </dxf>
    <dxf>
      <font>
        <b/>
        <i val="0"/>
        <condense val="0"/>
        <extend val="0"/>
        <color indexed="10"/>
      </font>
    </dxf>
    <dxf>
      <font>
        <b/>
        <i val="0"/>
        <condense val="0"/>
        <extend val="0"/>
        <color indexed="10"/>
      </font>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auto="1"/>
      </font>
      <fill>
        <patternFill>
          <bgColor indexed="14"/>
        </patternFill>
      </fill>
    </dxf>
    <dxf>
      <font>
        <b/>
        <i val="0"/>
        <condense val="0"/>
        <extend val="0"/>
        <color auto="1"/>
      </font>
      <fill>
        <patternFill>
          <bgColor indexed="53"/>
        </patternFill>
      </fill>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indexed="33"/>
      </font>
    </dxf>
    <dxf>
      <font>
        <b/>
        <i val="0"/>
        <condense val="0"/>
        <extend val="0"/>
        <color indexed="10"/>
      </font>
    </dxf>
    <dxf>
      <font>
        <b/>
        <i val="0"/>
        <condense val="0"/>
        <extend val="0"/>
        <color auto="1"/>
      </font>
      <fill>
        <patternFill>
          <bgColor indexed="22"/>
        </patternFill>
      </fill>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auto="1"/>
      </font>
      <fill>
        <patternFill>
          <bgColor indexed="22"/>
        </patternFill>
      </fill>
    </dxf>
    <dxf>
      <font>
        <b/>
        <i val="0"/>
        <condense val="0"/>
        <extend val="0"/>
        <color auto="1"/>
      </font>
      <fill>
        <patternFill>
          <bgColor indexed="22"/>
        </patternFill>
      </fill>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auto="1"/>
      </font>
      <fill>
        <patternFill>
          <bgColor indexed="57"/>
        </patternFill>
      </fill>
    </dxf>
    <dxf>
      <font>
        <b/>
        <i val="0"/>
        <condense val="0"/>
        <extend val="0"/>
        <color auto="1"/>
      </font>
      <fill>
        <patternFill>
          <bgColor indexed="57"/>
        </patternFill>
      </fill>
    </dxf>
    <dxf>
      <font>
        <b/>
        <i val="0"/>
        <condense val="0"/>
        <extend val="0"/>
        <color auto="1"/>
      </font>
      <fill>
        <patternFill>
          <bgColor indexed="57"/>
        </patternFill>
      </fill>
    </dxf>
    <dxf>
      <font>
        <b/>
        <i val="0"/>
        <condense val="0"/>
        <extend val="0"/>
        <color auto="1"/>
      </font>
      <fill>
        <patternFill>
          <bgColor indexed="57"/>
        </patternFill>
      </fill>
    </dxf>
    <dxf>
      <font>
        <b/>
        <i val="0"/>
        <condense val="0"/>
        <extend val="0"/>
        <color auto="1"/>
      </font>
      <fill>
        <patternFill>
          <bgColor indexed="57"/>
        </patternFill>
      </fill>
    </dxf>
    <dxf>
      <font>
        <b/>
        <i val="0"/>
        <condense val="0"/>
        <extend val="0"/>
        <color indexed="10"/>
      </font>
    </dxf>
    <dxf>
      <font>
        <b/>
        <i val="0"/>
        <condense val="0"/>
        <extend val="0"/>
        <color auto="1"/>
      </font>
      <fill>
        <patternFill>
          <bgColor indexed="14"/>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auto="1"/>
      </font>
      <fill>
        <patternFill>
          <bgColor indexed="57"/>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auto="1"/>
      </font>
      <fill>
        <patternFill>
          <bgColor indexed="22"/>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ik/Documents/Uni/Bachelor/Harvard/Research%20Assistant%20Harvard/Orga/E:/Summer%202016/Exchange_Rates_1600-20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U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5192"/>
  <sheetViews>
    <sheetView tabSelected="1" zoomScale="115" zoomScaleNormal="115" zoomScalePageLayoutView="115" workbookViewId="0">
      <pane xSplit="4" ySplit="1" topLeftCell="E2" activePane="bottomRight" state="frozen"/>
      <selection pane="topRight" activeCell="E1" sqref="E1"/>
      <selection pane="bottomLeft" activeCell="A2" sqref="A2"/>
      <selection pane="bottomRight" activeCell="P7" sqref="P7"/>
    </sheetView>
  </sheetViews>
  <sheetFormatPr defaultColWidth="8.85546875" defaultRowHeight="12.75" x14ac:dyDescent="0.2"/>
  <cols>
    <col min="1" max="4" width="8.85546875" style="1"/>
    <col min="5" max="5" width="8.85546875" style="1" customWidth="1"/>
    <col min="6" max="6" width="12" style="1" customWidth="1"/>
    <col min="7" max="7" width="8.85546875" style="1" customWidth="1"/>
    <col min="8" max="8" width="10" style="1" customWidth="1"/>
    <col min="9" max="9" width="14.42578125" style="1" customWidth="1"/>
    <col min="10" max="10" width="10.42578125" style="1" customWidth="1"/>
    <col min="11" max="13" width="8.85546875" style="1" customWidth="1"/>
    <col min="14" max="14" width="10.28515625" style="1" customWidth="1"/>
    <col min="15" max="15" width="13" style="1" customWidth="1"/>
    <col min="16" max="16" width="17.42578125" style="1" customWidth="1"/>
    <col min="17" max="18" width="12.140625" style="1" customWidth="1"/>
    <col min="19" max="19" width="13" style="1" customWidth="1"/>
    <col min="20" max="20" width="11.140625" style="1" customWidth="1"/>
    <col min="21" max="21" width="9.42578125" style="1" customWidth="1"/>
    <col min="22" max="27" width="8.85546875" style="1" customWidth="1"/>
    <col min="28" max="16384" width="8.85546875" style="1"/>
  </cols>
  <sheetData>
    <row r="1" spans="1:27" s="2" customFormat="1" ht="39" customHeight="1" x14ac:dyDescent="0.25">
      <c r="A1" s="2" t="s">
        <v>0</v>
      </c>
      <c r="B1" s="2" t="s">
        <v>7</v>
      </c>
      <c r="C1" s="2" t="s">
        <v>1</v>
      </c>
      <c r="D1" s="2" t="s">
        <v>2</v>
      </c>
      <c r="E1" s="2" t="s">
        <v>480</v>
      </c>
      <c r="F1" s="2" t="s">
        <v>14</v>
      </c>
      <c r="G1" s="2" t="s">
        <v>481</v>
      </c>
      <c r="H1" s="2" t="s">
        <v>8</v>
      </c>
      <c r="I1" s="2" t="s">
        <v>9</v>
      </c>
      <c r="J1" s="2" t="s">
        <v>10</v>
      </c>
      <c r="K1" s="2" t="s">
        <v>11</v>
      </c>
      <c r="L1" s="2" t="s">
        <v>12</v>
      </c>
      <c r="M1" s="2" t="s">
        <v>13</v>
      </c>
      <c r="N1" s="2" t="s">
        <v>678</v>
      </c>
      <c r="O1" s="2" t="s">
        <v>676</v>
      </c>
      <c r="P1" s="2" t="s">
        <v>15</v>
      </c>
      <c r="Q1" s="2" t="s">
        <v>16</v>
      </c>
      <c r="R1" s="2" t="s">
        <v>491</v>
      </c>
      <c r="S1" s="2" t="s">
        <v>482</v>
      </c>
      <c r="T1" s="2" t="s">
        <v>483</v>
      </c>
      <c r="U1" s="2" t="s">
        <v>508</v>
      </c>
      <c r="V1" s="2" t="s">
        <v>507</v>
      </c>
      <c r="W1" s="2" t="s">
        <v>694</v>
      </c>
      <c r="X1" s="2" t="s">
        <v>690</v>
      </c>
      <c r="Y1" s="2" t="s">
        <v>688</v>
      </c>
      <c r="Z1" s="2" t="s">
        <v>692</v>
      </c>
      <c r="AA1" s="2" t="s">
        <v>689</v>
      </c>
    </row>
    <row r="2" spans="1:27" ht="15" customHeight="1" x14ac:dyDescent="0.2">
      <c r="A2" s="97"/>
      <c r="B2" s="97"/>
      <c r="C2" s="97"/>
      <c r="D2" s="97"/>
      <c r="E2" s="97" t="s">
        <v>693</v>
      </c>
      <c r="F2" s="97"/>
      <c r="G2" s="97" t="s">
        <v>693</v>
      </c>
      <c r="H2" s="97" t="s">
        <v>693</v>
      </c>
      <c r="I2" s="97"/>
      <c r="J2" s="97"/>
      <c r="K2" s="97"/>
      <c r="L2" s="97"/>
      <c r="M2" s="97"/>
      <c r="N2" s="97"/>
      <c r="O2" s="97"/>
      <c r="P2" s="97"/>
      <c r="Q2" s="97" t="s">
        <v>693</v>
      </c>
      <c r="R2" s="97"/>
      <c r="S2" s="97" t="s">
        <v>693</v>
      </c>
      <c r="T2" s="97"/>
      <c r="U2" s="97"/>
      <c r="V2" s="97" t="s">
        <v>693</v>
      </c>
      <c r="W2" s="97" t="s">
        <v>693</v>
      </c>
      <c r="X2" s="97"/>
      <c r="Y2" s="97" t="s">
        <v>693</v>
      </c>
      <c r="Z2" s="97" t="s">
        <v>693</v>
      </c>
      <c r="AA2" s="97" t="s">
        <v>693</v>
      </c>
    </row>
    <row r="437" spans="1:27" ht="15" customHeight="1" x14ac:dyDescent="0.2">
      <c r="A437" s="1">
        <v>3</v>
      </c>
      <c r="B437" s="1" t="s">
        <v>23</v>
      </c>
      <c r="C437" s="1" t="s">
        <v>22</v>
      </c>
      <c r="D437" s="1">
        <v>1800</v>
      </c>
      <c r="E437" s="8">
        <v>0</v>
      </c>
      <c r="G437" s="1">
        <v>0</v>
      </c>
      <c r="H437" s="1">
        <v>0</v>
      </c>
      <c r="M437" s="1" t="s">
        <v>677</v>
      </c>
      <c r="N437" s="1" t="s">
        <v>36</v>
      </c>
      <c r="O437" s="1" t="s">
        <v>609</v>
      </c>
      <c r="P437" s="1" t="s">
        <v>37</v>
      </c>
      <c r="Q437" s="1">
        <v>0</v>
      </c>
      <c r="S437" s="1">
        <v>0</v>
      </c>
      <c r="T437" s="1">
        <v>0</v>
      </c>
      <c r="V437" s="1">
        <f t="shared" ref="V437:V500" si="5">1.06*S437</f>
        <v>0</v>
      </c>
      <c r="W437" s="1" t="s">
        <v>5</v>
      </c>
      <c r="X437" s="26">
        <v>-5.9669745859377725</v>
      </c>
      <c r="Y437" s="1">
        <v>0</v>
      </c>
      <c r="Z437" s="3">
        <v>0</v>
      </c>
      <c r="AA437" s="8">
        <v>0</v>
      </c>
    </row>
    <row r="438" spans="1:27" ht="12.75" customHeight="1" x14ac:dyDescent="0.2">
      <c r="A438" s="1">
        <v>3</v>
      </c>
      <c r="B438" s="1" t="s">
        <v>23</v>
      </c>
      <c r="C438" s="1" t="s">
        <v>22</v>
      </c>
      <c r="D438" s="1">
        <v>1801</v>
      </c>
      <c r="E438" s="8">
        <v>0</v>
      </c>
      <c r="G438" s="1">
        <v>0</v>
      </c>
      <c r="H438" s="1">
        <v>0</v>
      </c>
      <c r="M438" s="1" t="s">
        <v>677</v>
      </c>
      <c r="N438" s="1" t="s">
        <v>36</v>
      </c>
      <c r="O438" s="1" t="s">
        <v>609</v>
      </c>
      <c r="P438" s="1" t="s">
        <v>37</v>
      </c>
      <c r="Q438" s="1">
        <v>0</v>
      </c>
      <c r="S438" s="1">
        <v>0</v>
      </c>
      <c r="T438" s="1">
        <v>0</v>
      </c>
      <c r="V438" s="1">
        <f t="shared" si="5"/>
        <v>0</v>
      </c>
      <c r="W438" s="1" t="s">
        <v>5</v>
      </c>
      <c r="X438" s="26">
        <v>18.796595742540536</v>
      </c>
      <c r="Y438" s="1">
        <v>0</v>
      </c>
      <c r="Z438" s="3">
        <v>0</v>
      </c>
      <c r="AA438" s="8">
        <v>0</v>
      </c>
    </row>
    <row r="439" spans="1:27" ht="12.75" customHeight="1" x14ac:dyDescent="0.2">
      <c r="A439" s="1">
        <v>3</v>
      </c>
      <c r="B439" s="1" t="s">
        <v>23</v>
      </c>
      <c r="C439" s="1" t="s">
        <v>22</v>
      </c>
      <c r="D439" s="1">
        <v>1802</v>
      </c>
      <c r="E439" s="8">
        <v>0</v>
      </c>
      <c r="G439" s="1">
        <v>0</v>
      </c>
      <c r="H439" s="1">
        <v>0</v>
      </c>
      <c r="M439" s="1" t="s">
        <v>677</v>
      </c>
      <c r="N439" s="1" t="s">
        <v>36</v>
      </c>
      <c r="O439" s="1" t="s">
        <v>609</v>
      </c>
      <c r="P439" s="1" t="s">
        <v>37</v>
      </c>
      <c r="Q439" s="1">
        <v>0</v>
      </c>
      <c r="S439" s="1">
        <v>0</v>
      </c>
      <c r="T439" s="1">
        <v>0</v>
      </c>
      <c r="V439" s="1">
        <f t="shared" si="5"/>
        <v>0</v>
      </c>
      <c r="W439" s="1" t="s">
        <v>5</v>
      </c>
      <c r="X439" s="26">
        <v>-2.4607308497514686</v>
      </c>
      <c r="Y439" s="1">
        <v>0</v>
      </c>
      <c r="Z439" s="3">
        <v>0</v>
      </c>
      <c r="AA439" s="8">
        <v>0</v>
      </c>
    </row>
    <row r="440" spans="1:27" ht="12.75" customHeight="1" x14ac:dyDescent="0.2">
      <c r="A440" s="1">
        <v>3</v>
      </c>
      <c r="B440" s="1" t="s">
        <v>23</v>
      </c>
      <c r="C440" s="1" t="s">
        <v>22</v>
      </c>
      <c r="D440" s="1">
        <v>1803</v>
      </c>
      <c r="E440" s="8">
        <v>0</v>
      </c>
      <c r="G440" s="1">
        <v>0</v>
      </c>
      <c r="H440" s="1">
        <v>0</v>
      </c>
      <c r="M440" s="1" t="s">
        <v>677</v>
      </c>
      <c r="N440" s="1" t="s">
        <v>36</v>
      </c>
      <c r="O440" s="1" t="s">
        <v>609</v>
      </c>
      <c r="P440" s="1" t="s">
        <v>37</v>
      </c>
      <c r="Q440" s="1">
        <v>0</v>
      </c>
      <c r="S440" s="1">
        <v>0</v>
      </c>
      <c r="T440" s="1">
        <v>0</v>
      </c>
      <c r="V440" s="1">
        <f t="shared" si="5"/>
        <v>0</v>
      </c>
      <c r="W440" s="1" t="s">
        <v>5</v>
      </c>
      <c r="X440" s="28">
        <v>22.593285352851527</v>
      </c>
      <c r="Y440" s="1">
        <v>0</v>
      </c>
      <c r="Z440" s="3">
        <v>0</v>
      </c>
      <c r="AA440" s="8">
        <v>1</v>
      </c>
    </row>
    <row r="441" spans="1:27" ht="12.75" customHeight="1" x14ac:dyDescent="0.2">
      <c r="A441" s="1">
        <v>3</v>
      </c>
      <c r="B441" s="1" t="s">
        <v>23</v>
      </c>
      <c r="C441" s="1" t="s">
        <v>22</v>
      </c>
      <c r="D441" s="1">
        <v>1804</v>
      </c>
      <c r="E441" s="8">
        <v>0</v>
      </c>
      <c r="G441" s="1">
        <v>0</v>
      </c>
      <c r="H441" s="1">
        <v>0</v>
      </c>
      <c r="M441" s="1" t="s">
        <v>677</v>
      </c>
      <c r="N441" s="1" t="s">
        <v>36</v>
      </c>
      <c r="O441" s="1" t="s">
        <v>609</v>
      </c>
      <c r="P441" s="1" t="s">
        <v>37</v>
      </c>
      <c r="Q441" s="1">
        <v>0</v>
      </c>
      <c r="S441" s="1">
        <v>0</v>
      </c>
      <c r="T441" s="1">
        <v>0</v>
      </c>
      <c r="V441" s="1">
        <f t="shared" si="5"/>
        <v>0</v>
      </c>
      <c r="W441" s="1" t="s">
        <v>5</v>
      </c>
      <c r="X441" s="26">
        <v>-2.5728312801863149</v>
      </c>
      <c r="Y441" s="1">
        <v>0</v>
      </c>
      <c r="Z441" s="3">
        <v>0</v>
      </c>
      <c r="AA441" s="8">
        <v>0</v>
      </c>
    </row>
    <row r="442" spans="1:27" ht="12.75" customHeight="1" x14ac:dyDescent="0.2">
      <c r="A442" s="1">
        <v>3</v>
      </c>
      <c r="B442" s="1" t="s">
        <v>23</v>
      </c>
      <c r="C442" s="1" t="s">
        <v>22</v>
      </c>
      <c r="D442" s="1">
        <v>1805</v>
      </c>
      <c r="E442" s="8">
        <v>0</v>
      </c>
      <c r="G442" s="1">
        <v>0</v>
      </c>
      <c r="H442" s="1">
        <v>0</v>
      </c>
      <c r="M442" s="1" t="s">
        <v>677</v>
      </c>
      <c r="N442" s="1" t="s">
        <v>36</v>
      </c>
      <c r="O442" s="1" t="s">
        <v>609</v>
      </c>
      <c r="P442" s="1" t="s">
        <v>37</v>
      </c>
      <c r="Q442" s="1">
        <v>0</v>
      </c>
      <c r="S442" s="1">
        <v>0</v>
      </c>
      <c r="T442" s="1">
        <v>0</v>
      </c>
      <c r="V442" s="1">
        <f t="shared" si="5"/>
        <v>0</v>
      </c>
      <c r="W442" s="1" t="s">
        <v>5</v>
      </c>
      <c r="X442" s="26">
        <v>8.7390977822416183</v>
      </c>
      <c r="Y442" s="1">
        <v>0</v>
      </c>
      <c r="Z442" s="3">
        <v>0</v>
      </c>
      <c r="AA442" s="8">
        <v>0</v>
      </c>
    </row>
    <row r="443" spans="1:27" ht="12.75" customHeight="1" x14ac:dyDescent="0.2">
      <c r="A443" s="1">
        <v>3</v>
      </c>
      <c r="B443" s="1" t="s">
        <v>23</v>
      </c>
      <c r="C443" s="1" t="s">
        <v>22</v>
      </c>
      <c r="D443" s="1">
        <v>1806</v>
      </c>
      <c r="E443" s="8">
        <v>0</v>
      </c>
      <c r="G443" s="1">
        <v>0</v>
      </c>
      <c r="H443" s="1">
        <v>0</v>
      </c>
      <c r="M443" s="1" t="s">
        <v>677</v>
      </c>
      <c r="N443" s="1" t="s">
        <v>36</v>
      </c>
      <c r="O443" s="1" t="s">
        <v>609</v>
      </c>
      <c r="P443" s="1" t="s">
        <v>37</v>
      </c>
      <c r="Q443" s="1">
        <v>0</v>
      </c>
      <c r="S443" s="1">
        <v>0</v>
      </c>
      <c r="T443" s="1">
        <v>0</v>
      </c>
      <c r="V443" s="1">
        <f t="shared" si="5"/>
        <v>0</v>
      </c>
      <c r="W443" s="1" t="s">
        <v>5</v>
      </c>
      <c r="X443" s="26">
        <v>-2.9517960244089227E-2</v>
      </c>
      <c r="Y443" s="1">
        <v>0</v>
      </c>
      <c r="Z443" s="3">
        <v>0</v>
      </c>
      <c r="AA443" s="8">
        <v>0</v>
      </c>
    </row>
    <row r="444" spans="1:27" ht="12.75" customHeight="1" x14ac:dyDescent="0.2">
      <c r="A444" s="1">
        <v>3</v>
      </c>
      <c r="B444" s="1" t="s">
        <v>23</v>
      </c>
      <c r="C444" s="1" t="s">
        <v>22</v>
      </c>
      <c r="D444" s="1">
        <v>1807</v>
      </c>
      <c r="E444" s="8">
        <v>0</v>
      </c>
      <c r="G444" s="1">
        <v>0</v>
      </c>
      <c r="H444" s="1">
        <v>0</v>
      </c>
      <c r="M444" s="1" t="s">
        <v>677</v>
      </c>
      <c r="N444" s="1" t="s">
        <v>36</v>
      </c>
      <c r="O444" s="1" t="s">
        <v>609</v>
      </c>
      <c r="P444" s="1" t="s">
        <v>37</v>
      </c>
      <c r="Q444" s="1">
        <v>0</v>
      </c>
      <c r="S444" s="1">
        <v>0</v>
      </c>
      <c r="T444" s="1">
        <v>0</v>
      </c>
      <c r="V444" s="1">
        <f t="shared" si="5"/>
        <v>0</v>
      </c>
      <c r="W444" s="1" t="s">
        <v>5</v>
      </c>
      <c r="X444" s="26">
        <v>-9.3239249086137708</v>
      </c>
      <c r="Y444" s="1">
        <v>0</v>
      </c>
      <c r="Z444" s="3">
        <v>0</v>
      </c>
      <c r="AA444" s="8">
        <v>0</v>
      </c>
    </row>
    <row r="445" spans="1:27" ht="12.75" customHeight="1" x14ac:dyDescent="0.2">
      <c r="A445" s="1">
        <v>3</v>
      </c>
      <c r="B445" s="1" t="s">
        <v>23</v>
      </c>
      <c r="C445" s="1" t="s">
        <v>22</v>
      </c>
      <c r="D445" s="1">
        <v>1808</v>
      </c>
      <c r="E445" s="8">
        <v>0</v>
      </c>
      <c r="G445" s="1">
        <v>0</v>
      </c>
      <c r="H445" s="1">
        <v>0</v>
      </c>
      <c r="M445" s="1" t="s">
        <v>677</v>
      </c>
      <c r="N445" s="1" t="s">
        <v>36</v>
      </c>
      <c r="O445" s="1" t="s">
        <v>609</v>
      </c>
      <c r="P445" s="1" t="s">
        <v>37</v>
      </c>
      <c r="Q445" s="1">
        <v>0</v>
      </c>
      <c r="S445" s="1">
        <v>0</v>
      </c>
      <c r="T445" s="1">
        <v>0</v>
      </c>
      <c r="V445" s="1">
        <f t="shared" si="5"/>
        <v>0</v>
      </c>
      <c r="W445" s="1" t="s">
        <v>5</v>
      </c>
      <c r="X445" s="26">
        <v>-3.4875854467758418</v>
      </c>
      <c r="Y445" s="1">
        <v>0</v>
      </c>
      <c r="Z445" s="3">
        <v>0</v>
      </c>
      <c r="AA445" s="8">
        <v>0</v>
      </c>
    </row>
    <row r="446" spans="1:27" ht="12.75" customHeight="1" x14ac:dyDescent="0.2">
      <c r="A446" s="1">
        <v>3</v>
      </c>
      <c r="B446" s="1" t="s">
        <v>23</v>
      </c>
      <c r="C446" s="1" t="s">
        <v>22</v>
      </c>
      <c r="D446" s="1">
        <v>1809</v>
      </c>
      <c r="E446" s="8">
        <v>0</v>
      </c>
      <c r="G446" s="1">
        <v>0</v>
      </c>
      <c r="H446" s="1">
        <v>0</v>
      </c>
      <c r="M446" s="1" t="s">
        <v>677</v>
      </c>
      <c r="N446" s="1" t="s">
        <v>36</v>
      </c>
      <c r="O446" s="1" t="s">
        <v>609</v>
      </c>
      <c r="P446" s="1" t="s">
        <v>37</v>
      </c>
      <c r="Q446" s="1">
        <v>0</v>
      </c>
      <c r="S446" s="1">
        <v>0</v>
      </c>
      <c r="T446" s="1">
        <v>0</v>
      </c>
      <c r="V446" s="1">
        <f t="shared" si="5"/>
        <v>0</v>
      </c>
      <c r="W446" s="1" t="s">
        <v>5</v>
      </c>
      <c r="X446" s="26">
        <v>9.8903585830479379</v>
      </c>
      <c r="Y446" s="1">
        <v>0</v>
      </c>
      <c r="Z446" s="3">
        <v>0</v>
      </c>
      <c r="AA446" s="8">
        <v>0</v>
      </c>
    </row>
    <row r="447" spans="1:27" x14ac:dyDescent="0.2">
      <c r="A447" s="1">
        <v>3</v>
      </c>
      <c r="B447" s="1" t="s">
        <v>23</v>
      </c>
      <c r="C447" s="1" t="s">
        <v>22</v>
      </c>
      <c r="D447" s="1">
        <v>1810</v>
      </c>
      <c r="E447" s="8">
        <v>0</v>
      </c>
      <c r="G447" s="1">
        <v>0</v>
      </c>
      <c r="H447" s="1">
        <v>0</v>
      </c>
      <c r="M447" s="1" t="s">
        <v>677</v>
      </c>
      <c r="N447" s="1" t="s">
        <v>36</v>
      </c>
      <c r="O447" s="1" t="s">
        <v>609</v>
      </c>
      <c r="P447" s="1" t="s">
        <v>37</v>
      </c>
      <c r="Q447" s="1">
        <v>0</v>
      </c>
      <c r="S447" s="1">
        <v>0</v>
      </c>
      <c r="T447" s="1">
        <v>0</v>
      </c>
      <c r="V447" s="1">
        <f t="shared" si="5"/>
        <v>0</v>
      </c>
      <c r="W447" s="1" t="s">
        <v>5</v>
      </c>
      <c r="X447" s="26">
        <v>-9.6888546281740631</v>
      </c>
      <c r="Y447" s="1">
        <v>0</v>
      </c>
      <c r="Z447" s="3">
        <v>0</v>
      </c>
      <c r="AA447" s="8">
        <v>0</v>
      </c>
    </row>
    <row r="448" spans="1:27" x14ac:dyDescent="0.2">
      <c r="A448" s="1">
        <v>3</v>
      </c>
      <c r="B448" s="1" t="s">
        <v>23</v>
      </c>
      <c r="C448" s="1" t="s">
        <v>22</v>
      </c>
      <c r="D448" s="1">
        <v>1811</v>
      </c>
      <c r="E448" s="8">
        <v>0</v>
      </c>
      <c r="G448" s="1">
        <v>0</v>
      </c>
      <c r="H448" s="1">
        <v>0</v>
      </c>
      <c r="M448" s="1" t="s">
        <v>677</v>
      </c>
      <c r="N448" s="1" t="s">
        <v>36</v>
      </c>
      <c r="O448" s="1" t="s">
        <v>609</v>
      </c>
      <c r="P448" s="1" t="s">
        <v>37</v>
      </c>
      <c r="Q448" s="1">
        <v>0</v>
      </c>
      <c r="S448" s="1">
        <v>0</v>
      </c>
      <c r="T448" s="1">
        <v>0</v>
      </c>
      <c r="V448" s="1">
        <f t="shared" si="5"/>
        <v>0</v>
      </c>
      <c r="W448" s="1" t="s">
        <v>5</v>
      </c>
      <c r="X448" s="26">
        <v>4.0160621783364912</v>
      </c>
      <c r="Y448" s="1">
        <v>0</v>
      </c>
      <c r="Z448" s="3">
        <v>0</v>
      </c>
      <c r="AA448" s="8">
        <v>0</v>
      </c>
    </row>
    <row r="449" spans="1:27" x14ac:dyDescent="0.2">
      <c r="A449" s="1">
        <v>3</v>
      </c>
      <c r="B449" s="1" t="s">
        <v>23</v>
      </c>
      <c r="C449" s="1" t="s">
        <v>22</v>
      </c>
      <c r="D449" s="1">
        <v>1812</v>
      </c>
      <c r="E449" s="8">
        <v>0</v>
      </c>
      <c r="G449" s="1">
        <v>0</v>
      </c>
      <c r="H449" s="1">
        <v>0</v>
      </c>
      <c r="M449" s="1" t="s">
        <v>677</v>
      </c>
      <c r="N449" s="1" t="s">
        <v>36</v>
      </c>
      <c r="O449" s="1" t="s">
        <v>609</v>
      </c>
      <c r="P449" s="1" t="s">
        <v>37</v>
      </c>
      <c r="Q449" s="1">
        <v>0</v>
      </c>
      <c r="S449" s="1">
        <v>0</v>
      </c>
      <c r="T449" s="1">
        <v>0</v>
      </c>
      <c r="V449" s="1">
        <f t="shared" si="5"/>
        <v>0</v>
      </c>
      <c r="W449" s="1" t="s">
        <v>5</v>
      </c>
      <c r="X449" s="26">
        <v>2.4783300253020011</v>
      </c>
      <c r="Y449" s="1">
        <v>0</v>
      </c>
      <c r="Z449" s="3">
        <v>0</v>
      </c>
      <c r="AA449" s="8">
        <v>0</v>
      </c>
    </row>
    <row r="450" spans="1:27" x14ac:dyDescent="0.2">
      <c r="A450" s="1">
        <v>3</v>
      </c>
      <c r="B450" s="1" t="s">
        <v>23</v>
      </c>
      <c r="C450" s="1" t="s">
        <v>22</v>
      </c>
      <c r="D450" s="1">
        <v>1813</v>
      </c>
      <c r="E450" s="8">
        <v>0</v>
      </c>
      <c r="G450" s="1">
        <v>0</v>
      </c>
      <c r="H450" s="1">
        <v>0</v>
      </c>
      <c r="M450" s="1" t="s">
        <v>677</v>
      </c>
      <c r="N450" s="1" t="s">
        <v>36</v>
      </c>
      <c r="O450" s="1" t="s">
        <v>609</v>
      </c>
      <c r="P450" s="1" t="s">
        <v>37</v>
      </c>
      <c r="Q450" s="1">
        <v>0</v>
      </c>
      <c r="S450" s="1">
        <v>0</v>
      </c>
      <c r="T450" s="1">
        <v>0</v>
      </c>
      <c r="V450" s="1">
        <f t="shared" si="5"/>
        <v>0</v>
      </c>
      <c r="W450" s="1" t="s">
        <v>5</v>
      </c>
      <c r="X450" s="26">
        <v>0</v>
      </c>
      <c r="Y450" s="1">
        <v>0</v>
      </c>
      <c r="Z450" s="3">
        <v>0</v>
      </c>
      <c r="AA450" s="8">
        <v>0</v>
      </c>
    </row>
    <row r="451" spans="1:27" x14ac:dyDescent="0.2">
      <c r="A451" s="1">
        <v>3</v>
      </c>
      <c r="B451" s="1" t="s">
        <v>23</v>
      </c>
      <c r="C451" s="1" t="s">
        <v>22</v>
      </c>
      <c r="D451" s="1">
        <v>1814</v>
      </c>
      <c r="E451" s="8">
        <v>0</v>
      </c>
      <c r="G451" s="1">
        <v>0</v>
      </c>
      <c r="H451" s="1">
        <v>0</v>
      </c>
      <c r="M451" s="1" t="s">
        <v>677</v>
      </c>
      <c r="N451" s="1" t="s">
        <v>36</v>
      </c>
      <c r="O451" s="1" t="s">
        <v>609</v>
      </c>
      <c r="P451" s="1" t="s">
        <v>37</v>
      </c>
      <c r="Q451" s="1">
        <v>0</v>
      </c>
      <c r="S451" s="1">
        <v>0</v>
      </c>
      <c r="T451" s="1">
        <v>0</v>
      </c>
      <c r="V451" s="1">
        <f t="shared" si="5"/>
        <v>0</v>
      </c>
      <c r="W451" s="1" t="s">
        <v>5</v>
      </c>
      <c r="X451" s="26">
        <v>0</v>
      </c>
      <c r="Y451" s="1">
        <v>0</v>
      </c>
      <c r="Z451" s="3">
        <v>0</v>
      </c>
      <c r="AA451" s="8">
        <v>0</v>
      </c>
    </row>
    <row r="452" spans="1:27" ht="12.75" customHeight="1" x14ac:dyDescent="0.2">
      <c r="A452" s="1">
        <v>3</v>
      </c>
      <c r="B452" s="1" t="s">
        <v>23</v>
      </c>
      <c r="C452" s="1" t="s">
        <v>22</v>
      </c>
      <c r="D452" s="1">
        <v>1815</v>
      </c>
      <c r="E452" s="8">
        <v>0</v>
      </c>
      <c r="G452" s="1">
        <v>0</v>
      </c>
      <c r="H452" s="1">
        <v>0</v>
      </c>
      <c r="M452" s="1" t="s">
        <v>677</v>
      </c>
      <c r="N452" s="1" t="s">
        <v>36</v>
      </c>
      <c r="O452" s="1" t="s">
        <v>609</v>
      </c>
      <c r="P452" s="1" t="s">
        <v>37</v>
      </c>
      <c r="Q452" s="1">
        <v>0</v>
      </c>
      <c r="S452" s="1">
        <v>0</v>
      </c>
      <c r="T452" s="1">
        <v>0</v>
      </c>
      <c r="V452" s="1">
        <f t="shared" si="5"/>
        <v>0</v>
      </c>
      <c r="W452" s="1" t="s">
        <v>5</v>
      </c>
      <c r="X452" s="28">
        <v>50</v>
      </c>
      <c r="Y452" s="1">
        <v>0</v>
      </c>
      <c r="Z452" s="3">
        <v>0</v>
      </c>
      <c r="AA452" s="36">
        <v>1</v>
      </c>
    </row>
    <row r="453" spans="1:27" x14ac:dyDescent="0.2">
      <c r="A453" s="1">
        <v>3</v>
      </c>
      <c r="B453" s="1" t="s">
        <v>23</v>
      </c>
      <c r="C453" s="1" t="s">
        <v>22</v>
      </c>
      <c r="D453" s="1">
        <v>1816</v>
      </c>
      <c r="E453" s="8">
        <v>0</v>
      </c>
      <c r="G453" s="1">
        <v>0</v>
      </c>
      <c r="H453" s="1">
        <v>0</v>
      </c>
      <c r="M453" s="1" t="s">
        <v>677</v>
      </c>
      <c r="N453" s="1" t="s">
        <v>36</v>
      </c>
      <c r="O453" s="1" t="s">
        <v>609</v>
      </c>
      <c r="P453" s="1" t="s">
        <v>37</v>
      </c>
      <c r="Q453" s="1">
        <v>0</v>
      </c>
      <c r="S453" s="1">
        <v>0</v>
      </c>
      <c r="T453" s="1">
        <v>0</v>
      </c>
      <c r="V453" s="1">
        <f t="shared" si="5"/>
        <v>0</v>
      </c>
      <c r="W453" s="1" t="s">
        <v>5</v>
      </c>
      <c r="X453" s="26">
        <v>9.9999999999999858</v>
      </c>
      <c r="Y453" s="1">
        <v>1</v>
      </c>
      <c r="Z453" s="3">
        <v>0</v>
      </c>
      <c r="AA453" s="8">
        <v>0</v>
      </c>
    </row>
    <row r="454" spans="1:27" ht="12.95" customHeight="1" x14ac:dyDescent="0.2">
      <c r="A454" s="1">
        <v>3</v>
      </c>
      <c r="B454" s="1" t="s">
        <v>23</v>
      </c>
      <c r="C454" s="1" t="s">
        <v>22</v>
      </c>
      <c r="D454" s="1">
        <v>1817</v>
      </c>
      <c r="E454" s="8">
        <v>0</v>
      </c>
      <c r="G454" s="1">
        <v>0</v>
      </c>
      <c r="H454" s="1">
        <v>0</v>
      </c>
      <c r="M454" s="1" t="s">
        <v>677</v>
      </c>
      <c r="N454" s="1" t="s">
        <v>36</v>
      </c>
      <c r="O454" s="1" t="s">
        <v>609</v>
      </c>
      <c r="P454" s="1" t="s">
        <v>37</v>
      </c>
      <c r="Q454" s="1">
        <v>0</v>
      </c>
      <c r="S454" s="1">
        <v>0</v>
      </c>
      <c r="T454" s="1">
        <v>0</v>
      </c>
      <c r="V454" s="1">
        <f t="shared" si="5"/>
        <v>0</v>
      </c>
      <c r="W454" s="1" t="s">
        <v>5</v>
      </c>
      <c r="X454" s="26">
        <v>0</v>
      </c>
      <c r="Y454" s="1">
        <v>1</v>
      </c>
      <c r="Z454" s="3">
        <v>0</v>
      </c>
      <c r="AA454" s="8">
        <v>0</v>
      </c>
    </row>
    <row r="455" spans="1:27" ht="12.75" customHeight="1" x14ac:dyDescent="0.2">
      <c r="A455" s="1">
        <v>3</v>
      </c>
      <c r="B455" s="1" t="s">
        <v>23</v>
      </c>
      <c r="C455" s="1" t="s">
        <v>22</v>
      </c>
      <c r="D455" s="1">
        <v>1818</v>
      </c>
      <c r="E455" s="8">
        <v>0</v>
      </c>
      <c r="G455" s="1">
        <v>0</v>
      </c>
      <c r="H455" s="1">
        <v>0</v>
      </c>
      <c r="M455" s="1" t="s">
        <v>677</v>
      </c>
      <c r="N455" s="1" t="s">
        <v>36</v>
      </c>
      <c r="O455" s="1" t="s">
        <v>609</v>
      </c>
      <c r="P455" s="1" t="s">
        <v>37</v>
      </c>
      <c r="Q455" s="1">
        <v>0</v>
      </c>
      <c r="S455" s="1">
        <v>0</v>
      </c>
      <c r="T455" s="1">
        <v>0</v>
      </c>
      <c r="V455" s="1">
        <f t="shared" si="5"/>
        <v>0</v>
      </c>
      <c r="W455" s="1" t="s">
        <v>5</v>
      </c>
      <c r="X455" s="26">
        <v>0</v>
      </c>
      <c r="Y455" s="1">
        <v>1</v>
      </c>
      <c r="Z455" s="3">
        <v>0</v>
      </c>
      <c r="AA455" s="8">
        <v>0</v>
      </c>
    </row>
    <row r="456" spans="1:27" x14ac:dyDescent="0.2">
      <c r="A456" s="1">
        <v>3</v>
      </c>
      <c r="B456" s="1" t="s">
        <v>23</v>
      </c>
      <c r="C456" s="1" t="s">
        <v>22</v>
      </c>
      <c r="D456" s="1">
        <v>1819</v>
      </c>
      <c r="E456" s="8">
        <v>0</v>
      </c>
      <c r="G456" s="1">
        <v>0</v>
      </c>
      <c r="H456" s="1">
        <v>0</v>
      </c>
      <c r="M456" s="1" t="s">
        <v>677</v>
      </c>
      <c r="N456" s="1" t="s">
        <v>36</v>
      </c>
      <c r="O456" s="1" t="s">
        <v>609</v>
      </c>
      <c r="P456" s="1" t="s">
        <v>37</v>
      </c>
      <c r="Q456" s="1">
        <v>0</v>
      </c>
      <c r="S456" s="1">
        <v>0</v>
      </c>
      <c r="T456" s="1">
        <v>0</v>
      </c>
      <c r="V456" s="1">
        <f t="shared" si="5"/>
        <v>0</v>
      </c>
      <c r="W456" s="1" t="s">
        <v>5</v>
      </c>
      <c r="X456" s="26">
        <v>6.0606060606060552</v>
      </c>
      <c r="Y456" s="1">
        <v>1</v>
      </c>
      <c r="Z456" s="3">
        <v>0</v>
      </c>
      <c r="AA456" s="8">
        <v>0</v>
      </c>
    </row>
    <row r="457" spans="1:27" x14ac:dyDescent="0.2">
      <c r="A457" s="1">
        <v>3</v>
      </c>
      <c r="B457" s="1" t="s">
        <v>23</v>
      </c>
      <c r="C457" s="1" t="s">
        <v>22</v>
      </c>
      <c r="D457" s="1">
        <v>1820</v>
      </c>
      <c r="E457" s="8">
        <v>0</v>
      </c>
      <c r="G457" s="1">
        <v>0</v>
      </c>
      <c r="H457" s="1">
        <v>0</v>
      </c>
      <c r="M457" s="1" t="s">
        <v>677</v>
      </c>
      <c r="N457" s="1" t="s">
        <v>36</v>
      </c>
      <c r="O457" s="1" t="s">
        <v>609</v>
      </c>
      <c r="P457" s="1" t="s">
        <v>37</v>
      </c>
      <c r="Q457" s="1">
        <v>0</v>
      </c>
      <c r="S457" s="1">
        <v>0</v>
      </c>
      <c r="T457" s="1">
        <v>0</v>
      </c>
      <c r="V457" s="1">
        <f t="shared" si="5"/>
        <v>0</v>
      </c>
      <c r="W457" s="1" t="s">
        <v>5</v>
      </c>
      <c r="X457" s="26">
        <v>0</v>
      </c>
      <c r="Y457" s="1">
        <v>1</v>
      </c>
      <c r="Z457" s="3">
        <v>0</v>
      </c>
      <c r="AA457" s="8">
        <v>0</v>
      </c>
    </row>
    <row r="458" spans="1:27" x14ac:dyDescent="0.2">
      <c r="A458" s="1">
        <v>3</v>
      </c>
      <c r="B458" s="1" t="s">
        <v>23</v>
      </c>
      <c r="C458" s="1" t="s">
        <v>22</v>
      </c>
      <c r="D458" s="1">
        <v>1821</v>
      </c>
      <c r="E458" s="8">
        <v>0</v>
      </c>
      <c r="G458" s="1">
        <v>0</v>
      </c>
      <c r="H458" s="1">
        <v>0</v>
      </c>
      <c r="M458" s="1" t="s">
        <v>677</v>
      </c>
      <c r="N458" s="1" t="s">
        <v>36</v>
      </c>
      <c r="O458" s="1" t="s">
        <v>609</v>
      </c>
      <c r="P458" s="1" t="s">
        <v>37</v>
      </c>
      <c r="Q458" s="1">
        <v>0</v>
      </c>
      <c r="S458" s="1">
        <v>0</v>
      </c>
      <c r="T458" s="1">
        <v>0</v>
      </c>
      <c r="V458" s="1">
        <f t="shared" si="5"/>
        <v>0</v>
      </c>
      <c r="W458" s="1" t="s">
        <v>5</v>
      </c>
      <c r="X458" s="26">
        <v>6.8571428571428727</v>
      </c>
      <c r="Y458" s="1">
        <v>1</v>
      </c>
      <c r="Z458" s="3">
        <v>0</v>
      </c>
      <c r="AA458" s="8">
        <v>0</v>
      </c>
    </row>
    <row r="459" spans="1:27" ht="12.75" customHeight="1" x14ac:dyDescent="0.2">
      <c r="A459" s="1">
        <v>3</v>
      </c>
      <c r="B459" s="1" t="s">
        <v>23</v>
      </c>
      <c r="C459" s="1" t="s">
        <v>22</v>
      </c>
      <c r="D459" s="1">
        <v>1822</v>
      </c>
      <c r="E459" s="8">
        <v>0</v>
      </c>
      <c r="G459" s="1">
        <v>0</v>
      </c>
      <c r="H459" s="1">
        <v>0</v>
      </c>
      <c r="M459" s="1" t="s">
        <v>677</v>
      </c>
      <c r="N459" s="1" t="s">
        <v>36</v>
      </c>
      <c r="O459" s="1" t="s">
        <v>609</v>
      </c>
      <c r="P459" s="1" t="s">
        <v>37</v>
      </c>
      <c r="Q459" s="1">
        <v>0</v>
      </c>
      <c r="S459" s="1">
        <v>0</v>
      </c>
      <c r="T459" s="1">
        <v>0</v>
      </c>
      <c r="V459" s="1">
        <f t="shared" si="5"/>
        <v>0</v>
      </c>
      <c r="W459" s="1" t="s">
        <v>5</v>
      </c>
      <c r="X459" s="26">
        <v>-6.4171122994652441</v>
      </c>
      <c r="Y459" s="1">
        <v>1</v>
      </c>
      <c r="Z459" s="3">
        <v>0</v>
      </c>
      <c r="AA459" s="8">
        <v>0</v>
      </c>
    </row>
    <row r="460" spans="1:27" x14ac:dyDescent="0.2">
      <c r="A460" s="1">
        <v>3</v>
      </c>
      <c r="B460" s="1" t="s">
        <v>23</v>
      </c>
      <c r="C460" s="1" t="s">
        <v>22</v>
      </c>
      <c r="D460" s="1">
        <v>1823</v>
      </c>
      <c r="E460" s="8">
        <v>0</v>
      </c>
      <c r="G460" s="1">
        <v>0</v>
      </c>
      <c r="H460" s="1">
        <v>0</v>
      </c>
      <c r="M460" s="1" t="s">
        <v>677</v>
      </c>
      <c r="N460" s="1" t="s">
        <v>36</v>
      </c>
      <c r="O460" s="1" t="s">
        <v>609</v>
      </c>
      <c r="P460" s="1" t="s">
        <v>37</v>
      </c>
      <c r="Q460" s="1">
        <v>0</v>
      </c>
      <c r="S460" s="1">
        <v>0</v>
      </c>
      <c r="T460" s="1">
        <v>0</v>
      </c>
      <c r="V460" s="1">
        <f t="shared" si="5"/>
        <v>0</v>
      </c>
      <c r="W460" s="1" t="s">
        <v>5</v>
      </c>
      <c r="X460" s="26">
        <v>14.285714285714279</v>
      </c>
      <c r="Y460" s="1">
        <v>1</v>
      </c>
      <c r="Z460" s="3">
        <v>0</v>
      </c>
      <c r="AA460" s="8">
        <v>0</v>
      </c>
    </row>
    <row r="461" spans="1:27" ht="12.75" customHeight="1" x14ac:dyDescent="0.2">
      <c r="A461" s="1">
        <v>3</v>
      </c>
      <c r="B461" s="1" t="s">
        <v>23</v>
      </c>
      <c r="C461" s="1" t="s">
        <v>22</v>
      </c>
      <c r="D461" s="1">
        <v>1824</v>
      </c>
      <c r="E461" s="8">
        <v>0</v>
      </c>
      <c r="G461" s="1">
        <v>0</v>
      </c>
      <c r="H461" s="1">
        <v>0</v>
      </c>
      <c r="M461" s="1" t="s">
        <v>677</v>
      </c>
      <c r="N461" s="1" t="s">
        <v>36</v>
      </c>
      <c r="O461" s="1" t="s">
        <v>609</v>
      </c>
      <c r="P461" s="1" t="s">
        <v>37</v>
      </c>
      <c r="Q461" s="1">
        <v>0</v>
      </c>
      <c r="S461" s="1">
        <v>0</v>
      </c>
      <c r="T461" s="1">
        <v>0</v>
      </c>
      <c r="V461" s="1">
        <f t="shared" si="5"/>
        <v>0</v>
      </c>
      <c r="W461" s="1" t="s">
        <v>5</v>
      </c>
      <c r="X461" s="26">
        <v>0</v>
      </c>
      <c r="Y461" s="1">
        <v>1</v>
      </c>
      <c r="Z461" s="3">
        <v>0</v>
      </c>
      <c r="AA461" s="8">
        <v>0</v>
      </c>
    </row>
    <row r="462" spans="1:27" x14ac:dyDescent="0.2">
      <c r="A462" s="1">
        <v>3</v>
      </c>
      <c r="B462" s="1" t="s">
        <v>23</v>
      </c>
      <c r="C462" s="1" t="s">
        <v>22</v>
      </c>
      <c r="D462" s="1">
        <v>1825</v>
      </c>
      <c r="E462" s="8">
        <v>0</v>
      </c>
      <c r="G462" s="1">
        <v>0</v>
      </c>
      <c r="H462" s="1">
        <v>0</v>
      </c>
      <c r="M462" s="1" t="s">
        <v>677</v>
      </c>
      <c r="N462" s="1" t="s">
        <v>36</v>
      </c>
      <c r="O462" s="1" t="s">
        <v>609</v>
      </c>
      <c r="P462" s="1" t="s">
        <v>37</v>
      </c>
      <c r="Q462" s="1">
        <v>0</v>
      </c>
      <c r="S462" s="1">
        <v>0</v>
      </c>
      <c r="T462" s="1">
        <v>0</v>
      </c>
      <c r="V462" s="1">
        <f t="shared" si="5"/>
        <v>0</v>
      </c>
      <c r="W462" s="1" t="s">
        <v>5</v>
      </c>
      <c r="X462" s="26">
        <v>0</v>
      </c>
      <c r="Y462" s="1">
        <v>1</v>
      </c>
      <c r="Z462" s="3">
        <v>0</v>
      </c>
      <c r="AA462" s="8">
        <v>0</v>
      </c>
    </row>
    <row r="463" spans="1:27" x14ac:dyDescent="0.2">
      <c r="A463" s="1">
        <v>3</v>
      </c>
      <c r="B463" s="1" t="s">
        <v>23</v>
      </c>
      <c r="C463" s="1" t="s">
        <v>22</v>
      </c>
      <c r="D463" s="1">
        <v>1826</v>
      </c>
      <c r="E463" s="8">
        <v>0</v>
      </c>
      <c r="G463" s="1">
        <v>0</v>
      </c>
      <c r="H463" s="1">
        <v>0</v>
      </c>
      <c r="M463" s="1" t="s">
        <v>677</v>
      </c>
      <c r="N463" s="1" t="s">
        <v>36</v>
      </c>
      <c r="O463" s="1" t="s">
        <v>609</v>
      </c>
      <c r="P463" s="1" t="s">
        <v>37</v>
      </c>
      <c r="Q463" s="1">
        <v>0</v>
      </c>
      <c r="S463" s="1">
        <v>0</v>
      </c>
      <c r="T463" s="1">
        <v>0</v>
      </c>
      <c r="V463" s="1">
        <f t="shared" si="5"/>
        <v>0</v>
      </c>
      <c r="W463" s="1" t="s">
        <v>5</v>
      </c>
      <c r="X463" s="26">
        <v>3.3333333333333326</v>
      </c>
      <c r="Y463" s="1">
        <v>1</v>
      </c>
      <c r="Z463" s="3">
        <v>0</v>
      </c>
      <c r="AA463" s="8">
        <v>0</v>
      </c>
    </row>
    <row r="464" spans="1:27" x14ac:dyDescent="0.2">
      <c r="A464" s="1">
        <v>3</v>
      </c>
      <c r="B464" s="1" t="s">
        <v>23</v>
      </c>
      <c r="C464" s="1" t="s">
        <v>22</v>
      </c>
      <c r="D464" s="1">
        <v>1827</v>
      </c>
      <c r="E464" s="8">
        <v>0</v>
      </c>
      <c r="G464" s="1">
        <v>0</v>
      </c>
      <c r="H464" s="1">
        <v>0</v>
      </c>
      <c r="I464" s="1">
        <v>1.8768328445747801E-14</v>
      </c>
      <c r="M464" s="1" t="s">
        <v>677</v>
      </c>
      <c r="N464" s="1" t="s">
        <v>36</v>
      </c>
      <c r="O464" s="1" t="s">
        <v>609</v>
      </c>
      <c r="P464" s="1" t="s">
        <v>37</v>
      </c>
      <c r="Q464" s="1">
        <v>0</v>
      </c>
      <c r="S464" s="1">
        <v>0</v>
      </c>
      <c r="T464" s="1">
        <v>0</v>
      </c>
      <c r="V464" s="1">
        <f t="shared" si="5"/>
        <v>0</v>
      </c>
      <c r="W464" s="1" t="s">
        <v>5</v>
      </c>
      <c r="X464" s="26">
        <v>4.6875</v>
      </c>
      <c r="Y464" s="1">
        <v>1</v>
      </c>
      <c r="Z464" s="3">
        <v>0</v>
      </c>
      <c r="AA464" s="8">
        <v>0</v>
      </c>
    </row>
    <row r="465" spans="1:27" x14ac:dyDescent="0.2">
      <c r="A465" s="1">
        <v>3</v>
      </c>
      <c r="B465" s="1" t="s">
        <v>23</v>
      </c>
      <c r="C465" s="1" t="s">
        <v>22</v>
      </c>
      <c r="D465" s="1">
        <v>1828</v>
      </c>
      <c r="E465" s="8">
        <v>0</v>
      </c>
      <c r="G465" s="1">
        <v>0</v>
      </c>
      <c r="H465" s="1">
        <v>0</v>
      </c>
      <c r="I465" s="1">
        <v>2.3460410557184799E-14</v>
      </c>
      <c r="M465" s="1" t="s">
        <v>677</v>
      </c>
      <c r="N465" s="1" t="s">
        <v>36</v>
      </c>
      <c r="O465" s="1" t="s">
        <v>609</v>
      </c>
      <c r="P465" s="1" t="s">
        <v>37</v>
      </c>
      <c r="Q465" s="1">
        <v>0</v>
      </c>
      <c r="S465" s="1">
        <v>1</v>
      </c>
      <c r="T465" s="1">
        <v>1</v>
      </c>
      <c r="V465" s="1">
        <f t="shared" si="5"/>
        <v>1.06</v>
      </c>
      <c r="W465" s="1" t="s">
        <v>5</v>
      </c>
      <c r="X465" s="26">
        <v>-1.428571428571429</v>
      </c>
      <c r="Y465" s="1">
        <v>1</v>
      </c>
      <c r="Z465" s="3">
        <v>0</v>
      </c>
      <c r="AA465" s="8">
        <v>0</v>
      </c>
    </row>
    <row r="466" spans="1:27" x14ac:dyDescent="0.2">
      <c r="A466" s="1">
        <v>3</v>
      </c>
      <c r="B466" s="1" t="s">
        <v>23</v>
      </c>
      <c r="C466" s="1" t="s">
        <v>22</v>
      </c>
      <c r="D466" s="1">
        <v>1829</v>
      </c>
      <c r="E466" s="8">
        <v>0</v>
      </c>
      <c r="G466" s="1">
        <v>0</v>
      </c>
      <c r="H466" s="1">
        <v>0</v>
      </c>
      <c r="I466" s="1">
        <v>2.7631671554252199E-14</v>
      </c>
      <c r="M466" s="1" t="s">
        <v>677</v>
      </c>
      <c r="N466" s="1" t="s">
        <v>36</v>
      </c>
      <c r="O466" s="1" t="s">
        <v>609</v>
      </c>
      <c r="P466" s="1" t="s">
        <v>37</v>
      </c>
      <c r="Q466" s="1">
        <v>0</v>
      </c>
      <c r="S466" s="1">
        <v>1</v>
      </c>
      <c r="T466" s="1">
        <v>1</v>
      </c>
      <c r="V466" s="1">
        <f t="shared" si="5"/>
        <v>1.06</v>
      </c>
      <c r="W466" s="1" t="s">
        <v>5</v>
      </c>
      <c r="X466" s="26">
        <v>-13.235294117647056</v>
      </c>
      <c r="Y466" s="1">
        <v>1</v>
      </c>
      <c r="Z466" s="3">
        <v>0</v>
      </c>
      <c r="AA466" s="8">
        <v>0</v>
      </c>
    </row>
    <row r="467" spans="1:27" x14ac:dyDescent="0.2">
      <c r="A467" s="1">
        <v>3</v>
      </c>
      <c r="B467" s="1" t="s">
        <v>23</v>
      </c>
      <c r="C467" s="1" t="s">
        <v>22</v>
      </c>
      <c r="D467" s="1">
        <v>1830</v>
      </c>
      <c r="E467" s="8">
        <v>0</v>
      </c>
      <c r="G467" s="1">
        <v>0</v>
      </c>
      <c r="H467" s="1">
        <v>0</v>
      </c>
      <c r="I467" s="1">
        <v>3.6152492668621699E-14</v>
      </c>
      <c r="M467" s="1" t="s">
        <v>677</v>
      </c>
      <c r="N467" s="1" t="s">
        <v>36</v>
      </c>
      <c r="O467" s="1" t="s">
        <v>609</v>
      </c>
      <c r="P467" s="1" t="s">
        <v>37</v>
      </c>
      <c r="Q467" s="1">
        <v>0</v>
      </c>
      <c r="S467" s="1">
        <v>1</v>
      </c>
      <c r="T467" s="1">
        <v>1</v>
      </c>
      <c r="V467" s="1">
        <f t="shared" si="5"/>
        <v>1.06</v>
      </c>
      <c r="W467" s="1" t="s">
        <v>5</v>
      </c>
      <c r="X467" s="26">
        <v>-0.79999999999999516</v>
      </c>
      <c r="Y467" s="1">
        <v>1</v>
      </c>
      <c r="Z467" s="3">
        <v>0</v>
      </c>
      <c r="AA467" s="8">
        <v>0</v>
      </c>
    </row>
    <row r="468" spans="1:27" x14ac:dyDescent="0.2">
      <c r="A468" s="1">
        <v>3</v>
      </c>
      <c r="B468" s="1" t="s">
        <v>23</v>
      </c>
      <c r="C468" s="1" t="s">
        <v>22</v>
      </c>
      <c r="D468" s="1">
        <v>1831</v>
      </c>
      <c r="E468" s="8">
        <v>0</v>
      </c>
      <c r="G468" s="1">
        <v>0</v>
      </c>
      <c r="H468" s="1">
        <v>0</v>
      </c>
      <c r="I468" s="1">
        <v>3.1436950146627599E-14</v>
      </c>
      <c r="M468" s="1" t="s">
        <v>677</v>
      </c>
      <c r="N468" s="1" t="s">
        <v>36</v>
      </c>
      <c r="O468" s="1" t="s">
        <v>609</v>
      </c>
      <c r="P468" s="1" t="s">
        <v>37</v>
      </c>
      <c r="Q468" s="1">
        <v>0</v>
      </c>
      <c r="S468" s="1">
        <v>1</v>
      </c>
      <c r="T468" s="1">
        <v>1</v>
      </c>
      <c r="V468" s="1">
        <f t="shared" si="5"/>
        <v>1.06</v>
      </c>
      <c r="W468" s="1" t="s">
        <v>5</v>
      </c>
      <c r="X468" s="26">
        <v>-6.7073170731707323</v>
      </c>
      <c r="Y468" s="1">
        <v>1</v>
      </c>
      <c r="Z468" s="3">
        <v>0</v>
      </c>
      <c r="AA468" s="8">
        <v>0</v>
      </c>
    </row>
    <row r="469" spans="1:27" x14ac:dyDescent="0.2">
      <c r="A469" s="1">
        <v>3</v>
      </c>
      <c r="B469" s="1" t="s">
        <v>23</v>
      </c>
      <c r="C469" s="1" t="s">
        <v>22</v>
      </c>
      <c r="D469" s="1">
        <v>1832</v>
      </c>
      <c r="E469" s="8">
        <v>0</v>
      </c>
      <c r="G469" s="1">
        <v>0</v>
      </c>
      <c r="H469" s="1">
        <v>0</v>
      </c>
      <c r="I469" s="1">
        <v>3.12023460410557E-14</v>
      </c>
      <c r="M469" s="1" t="s">
        <v>677</v>
      </c>
      <c r="N469" s="1" t="s">
        <v>36</v>
      </c>
      <c r="O469" s="1" t="s">
        <v>609</v>
      </c>
      <c r="P469" s="1" t="s">
        <v>37</v>
      </c>
      <c r="Q469" s="1">
        <v>0</v>
      </c>
      <c r="S469" s="1">
        <v>1</v>
      </c>
      <c r="T469" s="1">
        <v>1</v>
      </c>
      <c r="V469" s="1">
        <f t="shared" si="5"/>
        <v>1.06</v>
      </c>
      <c r="W469" s="1" t="s">
        <v>5</v>
      </c>
      <c r="X469" s="26">
        <v>4.4600938967136123</v>
      </c>
      <c r="Y469" s="1">
        <v>1</v>
      </c>
      <c r="Z469" s="3">
        <v>0</v>
      </c>
      <c r="AA469" s="8">
        <v>0</v>
      </c>
    </row>
    <row r="470" spans="1:27" x14ac:dyDescent="0.2">
      <c r="A470" s="1">
        <v>3</v>
      </c>
      <c r="B470" s="1" t="s">
        <v>23</v>
      </c>
      <c r="C470" s="1" t="s">
        <v>22</v>
      </c>
      <c r="D470" s="1">
        <v>1833</v>
      </c>
      <c r="E470" s="8">
        <v>0</v>
      </c>
      <c r="G470" s="1">
        <v>0</v>
      </c>
      <c r="H470" s="1">
        <v>0</v>
      </c>
      <c r="I470" s="1">
        <v>3.3689149560117302E-14</v>
      </c>
      <c r="M470" s="1" t="s">
        <v>677</v>
      </c>
      <c r="N470" s="1" t="s">
        <v>36</v>
      </c>
      <c r="O470" s="1" t="s">
        <v>609</v>
      </c>
      <c r="P470" s="1" t="s">
        <v>37</v>
      </c>
      <c r="Q470" s="1">
        <v>0</v>
      </c>
      <c r="S470" s="1">
        <v>1</v>
      </c>
      <c r="T470" s="1">
        <v>1</v>
      </c>
      <c r="V470" s="1">
        <f t="shared" si="5"/>
        <v>1.06</v>
      </c>
      <c r="W470" s="1" t="s">
        <v>5</v>
      </c>
      <c r="X470" s="28">
        <v>46.982758620689658</v>
      </c>
      <c r="Y470" s="1">
        <v>1</v>
      </c>
      <c r="Z470" s="3">
        <v>0</v>
      </c>
      <c r="AA470" s="36">
        <v>1</v>
      </c>
    </row>
    <row r="471" spans="1:27" x14ac:dyDescent="0.2">
      <c r="A471" s="1">
        <v>3</v>
      </c>
      <c r="B471" s="1" t="s">
        <v>23</v>
      </c>
      <c r="C471" s="1" t="s">
        <v>22</v>
      </c>
      <c r="D471" s="1">
        <v>1834</v>
      </c>
      <c r="E471" s="8">
        <v>0</v>
      </c>
      <c r="G471" s="1">
        <v>0</v>
      </c>
      <c r="H471" s="1">
        <v>0</v>
      </c>
      <c r="I471" s="1">
        <v>3.3782991202346003E-14</v>
      </c>
      <c r="M471" s="1" t="s">
        <v>677</v>
      </c>
      <c r="N471" s="1" t="s">
        <v>36</v>
      </c>
      <c r="O471" s="1" t="s">
        <v>609</v>
      </c>
      <c r="P471" s="1" t="s">
        <v>37</v>
      </c>
      <c r="Q471" s="1">
        <v>0</v>
      </c>
      <c r="S471" s="1">
        <v>1</v>
      </c>
      <c r="T471" s="1">
        <v>1</v>
      </c>
      <c r="V471" s="1">
        <f t="shared" si="5"/>
        <v>1.06</v>
      </c>
      <c r="W471" s="1" t="s">
        <v>5</v>
      </c>
      <c r="X471" s="26">
        <v>-1.9444444444444429</v>
      </c>
      <c r="Y471" s="1">
        <v>1</v>
      </c>
      <c r="Z471" s="3">
        <v>0</v>
      </c>
      <c r="AA471" s="8">
        <v>0</v>
      </c>
    </row>
    <row r="472" spans="1:27" x14ac:dyDescent="0.2">
      <c r="A472" s="1">
        <v>3</v>
      </c>
      <c r="B472" s="1" t="s">
        <v>23</v>
      </c>
      <c r="C472" s="1" t="s">
        <v>22</v>
      </c>
      <c r="D472" s="1">
        <v>1835</v>
      </c>
      <c r="E472" s="8">
        <v>0</v>
      </c>
      <c r="G472" s="1">
        <v>0</v>
      </c>
      <c r="H472" s="1">
        <v>0</v>
      </c>
      <c r="I472" s="1">
        <v>3.4017595307917901E-14</v>
      </c>
      <c r="M472" s="1" t="s">
        <v>677</v>
      </c>
      <c r="N472" s="1" t="s">
        <v>36</v>
      </c>
      <c r="O472" s="1" t="s">
        <v>609</v>
      </c>
      <c r="P472" s="1" t="s">
        <v>37</v>
      </c>
      <c r="Q472" s="1">
        <v>0</v>
      </c>
      <c r="S472" s="1">
        <v>1</v>
      </c>
      <c r="T472" s="1">
        <v>1</v>
      </c>
      <c r="V472" s="1">
        <f t="shared" si="5"/>
        <v>1.06</v>
      </c>
      <c r="W472" s="1" t="s">
        <v>5</v>
      </c>
      <c r="X472" s="26">
        <v>18.125</v>
      </c>
      <c r="Y472" s="1">
        <v>1</v>
      </c>
      <c r="Z472" s="3">
        <v>0</v>
      </c>
      <c r="AA472" s="8">
        <v>0</v>
      </c>
    </row>
    <row r="473" spans="1:27" x14ac:dyDescent="0.2">
      <c r="A473" s="1">
        <v>3</v>
      </c>
      <c r="B473" s="1" t="s">
        <v>23</v>
      </c>
      <c r="C473" s="1" t="s">
        <v>22</v>
      </c>
      <c r="D473" s="1">
        <v>1836</v>
      </c>
      <c r="E473" s="8">
        <v>0</v>
      </c>
      <c r="G473" s="1">
        <v>0</v>
      </c>
      <c r="H473" s="1">
        <v>0</v>
      </c>
      <c r="I473" s="1">
        <v>3.39706744868035E-14</v>
      </c>
      <c r="M473" s="1" t="s">
        <v>677</v>
      </c>
      <c r="N473" s="1" t="s">
        <v>36</v>
      </c>
      <c r="O473" s="1" t="s">
        <v>609</v>
      </c>
      <c r="P473" s="1" t="s">
        <v>37</v>
      </c>
      <c r="Q473" s="1">
        <v>0</v>
      </c>
      <c r="S473" s="1">
        <v>1</v>
      </c>
      <c r="T473" s="1">
        <v>1</v>
      </c>
      <c r="V473" s="1">
        <f t="shared" si="5"/>
        <v>1.06</v>
      </c>
      <c r="W473" s="1" t="s">
        <v>5</v>
      </c>
      <c r="X473" s="26">
        <v>2</v>
      </c>
      <c r="Y473" s="1">
        <v>1</v>
      </c>
      <c r="Z473" s="3">
        <v>0</v>
      </c>
      <c r="AA473" s="8">
        <v>0</v>
      </c>
    </row>
    <row r="474" spans="1:27" x14ac:dyDescent="0.2">
      <c r="A474" s="1">
        <v>3</v>
      </c>
      <c r="B474" s="1" t="s">
        <v>23</v>
      </c>
      <c r="C474" s="1" t="s">
        <v>22</v>
      </c>
      <c r="D474" s="1">
        <v>1837</v>
      </c>
      <c r="E474" s="8">
        <v>0</v>
      </c>
      <c r="G474" s="1">
        <v>0</v>
      </c>
      <c r="H474" s="1">
        <v>0</v>
      </c>
      <c r="I474" s="1">
        <v>3.63636363636364E-14</v>
      </c>
      <c r="M474" s="1" t="s">
        <v>677</v>
      </c>
      <c r="N474" s="1" t="s">
        <v>36</v>
      </c>
      <c r="O474" s="1" t="s">
        <v>609</v>
      </c>
      <c r="P474" s="1" t="s">
        <v>37</v>
      </c>
      <c r="Q474" s="1">
        <v>0</v>
      </c>
      <c r="S474" s="1">
        <v>1</v>
      </c>
      <c r="T474" s="1">
        <v>1</v>
      </c>
      <c r="V474" s="1">
        <f t="shared" si="5"/>
        <v>1.06</v>
      </c>
      <c r="W474" s="1" t="s">
        <v>5</v>
      </c>
      <c r="X474" s="26">
        <v>13.096153846153847</v>
      </c>
      <c r="Y474" s="1">
        <v>1</v>
      </c>
      <c r="Z474" s="3">
        <v>0</v>
      </c>
      <c r="AA474" s="8">
        <v>0</v>
      </c>
    </row>
    <row r="475" spans="1:27" x14ac:dyDescent="0.2">
      <c r="A475" s="1">
        <v>3</v>
      </c>
      <c r="B475" s="1" t="s">
        <v>23</v>
      </c>
      <c r="C475" s="1" t="s">
        <v>22</v>
      </c>
      <c r="D475" s="1">
        <v>1838</v>
      </c>
      <c r="E475" s="8">
        <v>0</v>
      </c>
      <c r="G475" s="1">
        <v>0</v>
      </c>
      <c r="H475" s="1">
        <v>0</v>
      </c>
      <c r="I475" s="1">
        <v>4.15718475073314E-14</v>
      </c>
      <c r="M475" s="1" t="s">
        <v>677</v>
      </c>
      <c r="N475" s="1" t="s">
        <v>36</v>
      </c>
      <c r="O475" s="1" t="s">
        <v>609</v>
      </c>
      <c r="P475" s="1" t="s">
        <v>37</v>
      </c>
      <c r="Q475" s="1">
        <v>0</v>
      </c>
      <c r="S475" s="1">
        <v>1</v>
      </c>
      <c r="T475" s="1">
        <v>1</v>
      </c>
      <c r="V475" s="1">
        <f t="shared" si="5"/>
        <v>1.06</v>
      </c>
      <c r="W475" s="1" t="s">
        <v>5</v>
      </c>
      <c r="X475" s="28">
        <v>24.981163351416512</v>
      </c>
      <c r="Y475" s="1">
        <v>1</v>
      </c>
      <c r="Z475" s="3">
        <v>0</v>
      </c>
      <c r="AA475" s="36">
        <v>1</v>
      </c>
    </row>
    <row r="476" spans="1:27" x14ac:dyDescent="0.2">
      <c r="A476" s="1">
        <v>3</v>
      </c>
      <c r="B476" s="1" t="s">
        <v>23</v>
      </c>
      <c r="C476" s="1" t="s">
        <v>22</v>
      </c>
      <c r="D476" s="1">
        <v>1839</v>
      </c>
      <c r="E476" s="8">
        <v>0</v>
      </c>
      <c r="G476" s="1">
        <v>0</v>
      </c>
      <c r="H476" s="1">
        <v>0</v>
      </c>
      <c r="I476" s="1">
        <v>5.9741935483871002E-14</v>
      </c>
      <c r="M476" s="1" t="s">
        <v>677</v>
      </c>
      <c r="N476" s="1" t="s">
        <v>36</v>
      </c>
      <c r="O476" s="1" t="s">
        <v>609</v>
      </c>
      <c r="P476" s="1" t="s">
        <v>37</v>
      </c>
      <c r="Q476" s="1">
        <v>0</v>
      </c>
      <c r="S476" s="1">
        <v>1</v>
      </c>
      <c r="T476" s="1">
        <v>1</v>
      </c>
      <c r="V476" s="1">
        <f t="shared" si="5"/>
        <v>1.06</v>
      </c>
      <c r="W476" s="1" t="s">
        <v>5</v>
      </c>
      <c r="X476" s="26">
        <v>-30.303030303030305</v>
      </c>
      <c r="Y476" s="1">
        <v>1</v>
      </c>
      <c r="Z476" s="3">
        <v>0</v>
      </c>
      <c r="AA476" s="8">
        <v>0</v>
      </c>
    </row>
    <row r="477" spans="1:27" x14ac:dyDescent="0.2">
      <c r="A477" s="1">
        <v>3</v>
      </c>
      <c r="B477" s="1" t="s">
        <v>23</v>
      </c>
      <c r="C477" s="1" t="s">
        <v>22</v>
      </c>
      <c r="D477" s="1">
        <v>1840</v>
      </c>
      <c r="E477" s="8">
        <v>0</v>
      </c>
      <c r="G477" s="1">
        <v>0</v>
      </c>
      <c r="H477" s="1">
        <v>0</v>
      </c>
      <c r="I477" s="1">
        <v>8.0602932551319596E-14</v>
      </c>
      <c r="M477" s="1" t="s">
        <v>677</v>
      </c>
      <c r="N477" s="1" t="s">
        <v>36</v>
      </c>
      <c r="O477" s="1" t="s">
        <v>609</v>
      </c>
      <c r="P477" s="1" t="s">
        <v>37</v>
      </c>
      <c r="Q477" s="1">
        <v>0</v>
      </c>
      <c r="S477" s="1">
        <v>1</v>
      </c>
      <c r="T477" s="1">
        <v>1</v>
      </c>
      <c r="V477" s="1">
        <f t="shared" si="5"/>
        <v>1.06</v>
      </c>
      <c r="W477" s="1" t="s">
        <v>5</v>
      </c>
      <c r="X477" s="26">
        <v>2.5</v>
      </c>
      <c r="Y477" s="1">
        <v>1</v>
      </c>
      <c r="Z477" s="3">
        <v>0</v>
      </c>
      <c r="AA477" s="8">
        <v>0</v>
      </c>
    </row>
    <row r="478" spans="1:27" x14ac:dyDescent="0.2">
      <c r="A478" s="1">
        <v>3</v>
      </c>
      <c r="B478" s="1" t="s">
        <v>23</v>
      </c>
      <c r="C478" s="1" t="s">
        <v>22</v>
      </c>
      <c r="D478" s="1">
        <v>1841</v>
      </c>
      <c r="E478" s="8">
        <v>0</v>
      </c>
      <c r="G478" s="1">
        <v>0</v>
      </c>
      <c r="H478" s="1">
        <v>0</v>
      </c>
      <c r="I478" s="1">
        <v>9.1495601173020501E-14</v>
      </c>
      <c r="M478" s="1" t="s">
        <v>677</v>
      </c>
      <c r="N478" s="1" t="s">
        <v>36</v>
      </c>
      <c r="O478" s="1" t="s">
        <v>609</v>
      </c>
      <c r="P478" s="1" t="s">
        <v>37</v>
      </c>
      <c r="Q478" s="1">
        <v>0</v>
      </c>
      <c r="S478" s="1">
        <v>1</v>
      </c>
      <c r="T478" s="1">
        <v>1</v>
      </c>
      <c r="V478" s="1">
        <f t="shared" si="5"/>
        <v>1.06</v>
      </c>
      <c r="W478" s="1" t="s">
        <v>5</v>
      </c>
      <c r="X478" s="28">
        <v>51.846502991541158</v>
      </c>
      <c r="Y478" s="1">
        <v>1</v>
      </c>
      <c r="Z478" s="3">
        <v>0</v>
      </c>
      <c r="AA478" s="36">
        <v>1</v>
      </c>
    </row>
    <row r="479" spans="1:27" x14ac:dyDescent="0.2">
      <c r="A479" s="1">
        <v>3</v>
      </c>
      <c r="B479" s="1" t="s">
        <v>23</v>
      </c>
      <c r="C479" s="1" t="s">
        <v>22</v>
      </c>
      <c r="D479" s="1">
        <v>1842</v>
      </c>
      <c r="E479" s="8">
        <v>0</v>
      </c>
      <c r="G479" s="1">
        <v>0</v>
      </c>
      <c r="H479" s="1">
        <v>0</v>
      </c>
      <c r="I479" s="1">
        <v>8.5395894428152504E-14</v>
      </c>
      <c r="M479" s="1" t="s">
        <v>677</v>
      </c>
      <c r="N479" s="1" t="s">
        <v>36</v>
      </c>
      <c r="O479" s="1" t="s">
        <v>609</v>
      </c>
      <c r="P479" s="1" t="s">
        <v>37</v>
      </c>
      <c r="Q479" s="1">
        <v>0</v>
      </c>
      <c r="S479" s="1">
        <v>1</v>
      </c>
      <c r="T479" s="1">
        <v>1</v>
      </c>
      <c r="V479" s="1">
        <f t="shared" si="5"/>
        <v>1.06</v>
      </c>
      <c r="W479" s="1" t="s">
        <v>5</v>
      </c>
      <c r="X479" s="28">
        <v>55.357142857142861</v>
      </c>
      <c r="Y479" s="1">
        <v>1</v>
      </c>
      <c r="Z479" s="3">
        <v>0</v>
      </c>
      <c r="AA479" s="36">
        <v>1</v>
      </c>
    </row>
    <row r="480" spans="1:27" x14ac:dyDescent="0.2">
      <c r="A480" s="1">
        <v>3</v>
      </c>
      <c r="B480" s="1" t="s">
        <v>23</v>
      </c>
      <c r="C480" s="1" t="s">
        <v>22</v>
      </c>
      <c r="D480" s="1">
        <v>1843</v>
      </c>
      <c r="E480" s="8">
        <v>0</v>
      </c>
      <c r="G480" s="1">
        <v>0</v>
      </c>
      <c r="H480" s="1">
        <v>0</v>
      </c>
      <c r="I480" s="1">
        <v>7.5073313782991205E-14</v>
      </c>
      <c r="M480" s="1" t="s">
        <v>677</v>
      </c>
      <c r="N480" s="1" t="s">
        <v>36</v>
      </c>
      <c r="O480" s="1" t="s">
        <v>609</v>
      </c>
      <c r="P480" s="1" t="s">
        <v>37</v>
      </c>
      <c r="Q480" s="1">
        <v>0</v>
      </c>
      <c r="S480" s="1">
        <v>1</v>
      </c>
      <c r="T480" s="1">
        <v>1</v>
      </c>
      <c r="V480" s="1">
        <f t="shared" si="5"/>
        <v>1.06</v>
      </c>
      <c r="W480" s="1" t="s">
        <v>5</v>
      </c>
      <c r="X480" s="26">
        <v>-3.0769230769230771</v>
      </c>
      <c r="Y480" s="1">
        <v>1</v>
      </c>
      <c r="Z480" s="3">
        <v>0</v>
      </c>
      <c r="AA480" s="8">
        <v>0</v>
      </c>
    </row>
    <row r="481" spans="1:27" x14ac:dyDescent="0.2">
      <c r="A481" s="1">
        <v>3</v>
      </c>
      <c r="B481" s="1" t="s">
        <v>23</v>
      </c>
      <c r="C481" s="1" t="s">
        <v>22</v>
      </c>
      <c r="D481" s="1">
        <v>1844</v>
      </c>
      <c r="E481" s="8">
        <v>0</v>
      </c>
      <c r="G481" s="1">
        <v>0</v>
      </c>
      <c r="H481" s="1">
        <v>0</v>
      </c>
      <c r="I481" s="1">
        <v>6.3636363636363603E-14</v>
      </c>
      <c r="M481" s="1" t="s">
        <v>677</v>
      </c>
      <c r="N481" s="1" t="s">
        <v>36</v>
      </c>
      <c r="O481" s="1" t="s">
        <v>609</v>
      </c>
      <c r="P481" s="1" t="s">
        <v>37</v>
      </c>
      <c r="Q481" s="1">
        <v>0</v>
      </c>
      <c r="S481" s="1">
        <v>1</v>
      </c>
      <c r="T481" s="1">
        <v>1</v>
      </c>
      <c r="V481" s="1">
        <f t="shared" si="5"/>
        <v>1.06</v>
      </c>
      <c r="W481" s="1" t="s">
        <v>5</v>
      </c>
      <c r="X481" s="26">
        <v>4.5628415300546399</v>
      </c>
      <c r="Y481" s="1">
        <v>1</v>
      </c>
      <c r="Z481" s="3">
        <v>0</v>
      </c>
      <c r="AA481" s="8">
        <v>0</v>
      </c>
    </row>
    <row r="482" spans="1:27" ht="12.95" customHeight="1" x14ac:dyDescent="0.2">
      <c r="A482" s="1">
        <v>3</v>
      </c>
      <c r="B482" s="1" t="s">
        <v>23</v>
      </c>
      <c r="C482" s="1" t="s">
        <v>22</v>
      </c>
      <c r="D482" s="1">
        <v>1845</v>
      </c>
      <c r="E482" s="8">
        <v>0</v>
      </c>
      <c r="G482" s="1">
        <v>0</v>
      </c>
      <c r="H482" s="1">
        <v>0</v>
      </c>
      <c r="I482" s="1">
        <v>6.5395894428152501E-14</v>
      </c>
      <c r="M482" s="1" t="s">
        <v>677</v>
      </c>
      <c r="N482" s="1" t="s">
        <v>36</v>
      </c>
      <c r="O482" s="1" t="s">
        <v>609</v>
      </c>
      <c r="P482" s="1" t="s">
        <v>37</v>
      </c>
      <c r="Q482" s="1">
        <v>0</v>
      </c>
      <c r="S482" s="1">
        <v>1</v>
      </c>
      <c r="T482" s="1">
        <v>1</v>
      </c>
      <c r="V482" s="1">
        <f t="shared" si="5"/>
        <v>1.06</v>
      </c>
      <c r="W482" s="1" t="s">
        <v>5</v>
      </c>
      <c r="X482" s="26">
        <v>-17</v>
      </c>
      <c r="Y482" s="1">
        <v>1</v>
      </c>
      <c r="Z482" s="3">
        <v>0</v>
      </c>
      <c r="AA482" s="8">
        <v>0</v>
      </c>
    </row>
    <row r="483" spans="1:27" ht="12.75" customHeight="1" x14ac:dyDescent="0.2">
      <c r="A483" s="1">
        <v>3</v>
      </c>
      <c r="B483" s="1" t="s">
        <v>23</v>
      </c>
      <c r="C483" s="1" t="s">
        <v>22</v>
      </c>
      <c r="D483" s="1">
        <v>1846</v>
      </c>
      <c r="E483" s="8">
        <v>0</v>
      </c>
      <c r="G483" s="1">
        <v>0</v>
      </c>
      <c r="H483" s="1">
        <v>0</v>
      </c>
      <c r="I483" s="1">
        <v>8.8211143695014705E-14</v>
      </c>
      <c r="M483" s="1" t="s">
        <v>677</v>
      </c>
      <c r="N483" s="1" t="s">
        <v>36</v>
      </c>
      <c r="O483" s="1" t="s">
        <v>609</v>
      </c>
      <c r="P483" s="1" t="s">
        <v>37</v>
      </c>
      <c r="Q483" s="1">
        <v>0</v>
      </c>
      <c r="S483" s="1">
        <v>1</v>
      </c>
      <c r="T483" s="1">
        <v>1</v>
      </c>
      <c r="V483" s="1">
        <f t="shared" si="5"/>
        <v>1.06</v>
      </c>
      <c r="W483" s="1" t="s">
        <v>5</v>
      </c>
      <c r="X483" s="26">
        <v>7.5862068965517278</v>
      </c>
      <c r="Y483" s="1">
        <v>1</v>
      </c>
      <c r="Z483" s="3">
        <v>0</v>
      </c>
      <c r="AA483" s="8">
        <v>0</v>
      </c>
    </row>
    <row r="484" spans="1:27" x14ac:dyDescent="0.2">
      <c r="A484" s="1">
        <v>3</v>
      </c>
      <c r="B484" s="1" t="s">
        <v>23</v>
      </c>
      <c r="C484" s="1" t="s">
        <v>22</v>
      </c>
      <c r="D484" s="1">
        <v>1847</v>
      </c>
      <c r="E484" s="8">
        <v>0</v>
      </c>
      <c r="G484" s="1">
        <v>0</v>
      </c>
      <c r="H484" s="1">
        <v>0</v>
      </c>
      <c r="I484" s="1">
        <v>9.3255131964809399E-14</v>
      </c>
      <c r="M484" s="1" t="s">
        <v>677</v>
      </c>
      <c r="N484" s="1" t="s">
        <v>36</v>
      </c>
      <c r="O484" s="1" t="s">
        <v>609</v>
      </c>
      <c r="P484" s="1" t="s">
        <v>37</v>
      </c>
      <c r="Q484" s="1">
        <v>0</v>
      </c>
      <c r="S484" s="1">
        <v>1</v>
      </c>
      <c r="T484" s="1">
        <v>1</v>
      </c>
      <c r="V484" s="1">
        <f t="shared" si="5"/>
        <v>1.06</v>
      </c>
      <c r="W484" s="1" t="s">
        <v>5</v>
      </c>
      <c r="X484" s="28">
        <v>28.293413173652691</v>
      </c>
      <c r="Y484" s="1">
        <v>1</v>
      </c>
      <c r="Z484" s="3">
        <v>0</v>
      </c>
      <c r="AA484" s="36">
        <v>1</v>
      </c>
    </row>
    <row r="485" spans="1:27" x14ac:dyDescent="0.2">
      <c r="A485" s="1">
        <v>3</v>
      </c>
      <c r="B485" s="1" t="s">
        <v>23</v>
      </c>
      <c r="C485" s="1" t="s">
        <v>22</v>
      </c>
      <c r="D485" s="1">
        <v>1848</v>
      </c>
      <c r="E485" s="8">
        <v>0</v>
      </c>
      <c r="G485" s="1">
        <v>0</v>
      </c>
      <c r="H485" s="1">
        <v>0</v>
      </c>
      <c r="I485" s="1">
        <v>1E-13</v>
      </c>
      <c r="M485" s="1" t="s">
        <v>677</v>
      </c>
      <c r="N485" s="1" t="s">
        <v>36</v>
      </c>
      <c r="O485" s="1" t="s">
        <v>609</v>
      </c>
      <c r="P485" s="1" t="s">
        <v>37</v>
      </c>
      <c r="Q485" s="1">
        <v>0</v>
      </c>
      <c r="S485" s="1">
        <v>1</v>
      </c>
      <c r="T485" s="1">
        <v>1</v>
      </c>
      <c r="V485" s="1">
        <f t="shared" si="5"/>
        <v>1.06</v>
      </c>
      <c r="W485" s="1" t="s">
        <v>5</v>
      </c>
      <c r="X485" s="26">
        <v>10.848314606741578</v>
      </c>
      <c r="Y485" s="1">
        <v>1</v>
      </c>
      <c r="Z485" s="3">
        <v>0</v>
      </c>
      <c r="AA485" s="8">
        <v>0</v>
      </c>
    </row>
    <row r="486" spans="1:27" x14ac:dyDescent="0.2">
      <c r="A486" s="1">
        <v>3</v>
      </c>
      <c r="B486" s="1" t="s">
        <v>23</v>
      </c>
      <c r="C486" s="1" t="s">
        <v>22</v>
      </c>
      <c r="D486" s="1">
        <v>1849</v>
      </c>
      <c r="E486" s="8">
        <v>0</v>
      </c>
      <c r="G486" s="1">
        <v>0</v>
      </c>
      <c r="H486" s="1">
        <v>0</v>
      </c>
      <c r="I486" s="1">
        <v>9.5999999999999995E-14</v>
      </c>
      <c r="M486" s="1" t="s">
        <v>677</v>
      </c>
      <c r="N486" s="1" t="s">
        <v>36</v>
      </c>
      <c r="O486" s="1" t="s">
        <v>609</v>
      </c>
      <c r="P486" s="1" t="s">
        <v>37</v>
      </c>
      <c r="Q486" s="1">
        <v>0</v>
      </c>
      <c r="S486" s="1">
        <v>1</v>
      </c>
      <c r="T486" s="1">
        <v>1</v>
      </c>
      <c r="V486" s="1">
        <f t="shared" si="5"/>
        <v>1.06</v>
      </c>
      <c r="W486" s="1" t="s">
        <v>5</v>
      </c>
      <c r="X486" s="26">
        <v>13.291050035236086</v>
      </c>
      <c r="Y486" s="1">
        <v>1</v>
      </c>
      <c r="Z486" s="3">
        <v>0</v>
      </c>
      <c r="AA486" s="8">
        <v>0</v>
      </c>
    </row>
    <row r="487" spans="1:27" x14ac:dyDescent="0.2">
      <c r="A487" s="1">
        <v>3</v>
      </c>
      <c r="B487" s="1" t="s">
        <v>23</v>
      </c>
      <c r="C487" s="1" t="s">
        <v>22</v>
      </c>
      <c r="D487" s="1">
        <v>1850</v>
      </c>
      <c r="E487" s="8">
        <v>0</v>
      </c>
      <c r="G487" s="1">
        <v>0</v>
      </c>
      <c r="H487" s="1">
        <v>0</v>
      </c>
      <c r="I487" s="1">
        <v>9.2999999999999995E-14</v>
      </c>
      <c r="M487" s="1" t="s">
        <v>677</v>
      </c>
      <c r="N487" s="1" t="s">
        <v>36</v>
      </c>
      <c r="O487" s="1" t="s">
        <v>609</v>
      </c>
      <c r="P487" s="1" t="s">
        <v>37</v>
      </c>
      <c r="Q487" s="1">
        <v>0</v>
      </c>
      <c r="S487" s="1">
        <v>1</v>
      </c>
      <c r="T487" s="1">
        <v>1</v>
      </c>
      <c r="V487" s="1">
        <f t="shared" si="5"/>
        <v>1.06</v>
      </c>
      <c r="W487" s="1" t="s">
        <v>5</v>
      </c>
      <c r="X487" s="26">
        <v>-11.172161172161172</v>
      </c>
      <c r="Y487" s="1">
        <v>1</v>
      </c>
      <c r="Z487" s="3">
        <v>0</v>
      </c>
      <c r="AA487" s="8">
        <v>0</v>
      </c>
    </row>
    <row r="488" spans="1:27" x14ac:dyDescent="0.2">
      <c r="A488" s="1">
        <v>3</v>
      </c>
      <c r="B488" s="1" t="s">
        <v>23</v>
      </c>
      <c r="C488" s="1" t="s">
        <v>22</v>
      </c>
      <c r="D488" s="1">
        <v>1851</v>
      </c>
      <c r="E488" s="8">
        <v>0</v>
      </c>
      <c r="G488" s="1">
        <v>0</v>
      </c>
      <c r="H488" s="1">
        <v>0</v>
      </c>
      <c r="I488" s="1">
        <v>8.9999999999999995E-14</v>
      </c>
      <c r="M488" s="1" t="s">
        <v>677</v>
      </c>
      <c r="N488" s="1" t="s">
        <v>36</v>
      </c>
      <c r="O488" s="1" t="s">
        <v>609</v>
      </c>
      <c r="P488" s="1" t="s">
        <v>37</v>
      </c>
      <c r="Q488" s="1">
        <v>0</v>
      </c>
      <c r="S488" s="1">
        <v>1</v>
      </c>
      <c r="T488" s="1">
        <v>1</v>
      </c>
      <c r="V488" s="1">
        <f t="shared" si="5"/>
        <v>1.06</v>
      </c>
      <c r="W488" s="1" t="s">
        <v>5</v>
      </c>
      <c r="X488" s="33">
        <v>55.981848184818482</v>
      </c>
      <c r="Y488" s="1">
        <v>1</v>
      </c>
      <c r="Z488" s="3">
        <v>0</v>
      </c>
      <c r="AA488" s="36">
        <v>1</v>
      </c>
    </row>
    <row r="489" spans="1:27" ht="12.75" customHeight="1" x14ac:dyDescent="0.2">
      <c r="A489" s="1">
        <v>3</v>
      </c>
      <c r="B489" s="1" t="s">
        <v>23</v>
      </c>
      <c r="C489" s="1" t="s">
        <v>22</v>
      </c>
      <c r="D489" s="1">
        <v>1852</v>
      </c>
      <c r="E489" s="8">
        <v>0</v>
      </c>
      <c r="G489" s="1">
        <v>0</v>
      </c>
      <c r="H489" s="1">
        <v>0</v>
      </c>
      <c r="I489" s="1">
        <v>9.7000000000000003E-14</v>
      </c>
      <c r="M489" s="1" t="s">
        <v>677</v>
      </c>
      <c r="N489" s="1" t="s">
        <v>36</v>
      </c>
      <c r="O489" s="1" t="s">
        <v>609</v>
      </c>
      <c r="P489" s="1" t="s">
        <v>37</v>
      </c>
      <c r="Q489" s="1">
        <v>0</v>
      </c>
      <c r="S489" s="1">
        <v>1</v>
      </c>
      <c r="T489" s="1">
        <v>1</v>
      </c>
      <c r="V489" s="1">
        <f t="shared" si="5"/>
        <v>1.06</v>
      </c>
      <c r="W489" s="1" t="s">
        <v>5</v>
      </c>
      <c r="X489" s="33">
        <v>52.334943639291467</v>
      </c>
      <c r="Y489" s="1">
        <v>1</v>
      </c>
      <c r="Z489" s="3">
        <v>0</v>
      </c>
      <c r="AA489" s="36">
        <v>1</v>
      </c>
    </row>
    <row r="490" spans="1:27" x14ac:dyDescent="0.2">
      <c r="A490" s="1">
        <v>3</v>
      </c>
      <c r="B490" s="1" t="s">
        <v>23</v>
      </c>
      <c r="C490" s="1" t="s">
        <v>22</v>
      </c>
      <c r="D490" s="1">
        <v>1853</v>
      </c>
      <c r="E490" s="8">
        <v>0</v>
      </c>
      <c r="G490" s="1">
        <v>0</v>
      </c>
      <c r="H490" s="1">
        <v>0</v>
      </c>
      <c r="I490" s="1">
        <v>9.5999999999999995E-14</v>
      </c>
      <c r="M490" s="1" t="s">
        <v>677</v>
      </c>
      <c r="N490" s="1" t="s">
        <v>36</v>
      </c>
      <c r="O490" s="1" t="s">
        <v>609</v>
      </c>
      <c r="P490" s="1" t="s">
        <v>37</v>
      </c>
      <c r="Q490" s="1">
        <v>0</v>
      </c>
      <c r="S490" s="1">
        <v>1</v>
      </c>
      <c r="T490" s="1">
        <v>1</v>
      </c>
      <c r="V490" s="1">
        <f t="shared" si="5"/>
        <v>1.06</v>
      </c>
      <c r="W490" s="1" t="s">
        <v>5</v>
      </c>
      <c r="X490" s="33">
        <v>55.55555555555555</v>
      </c>
      <c r="Y490" s="1">
        <v>1</v>
      </c>
      <c r="Z490" s="3">
        <v>0</v>
      </c>
      <c r="AA490" s="36">
        <v>1</v>
      </c>
    </row>
    <row r="491" spans="1:27" x14ac:dyDescent="0.2">
      <c r="A491" s="1">
        <v>3</v>
      </c>
      <c r="B491" s="1" t="s">
        <v>23</v>
      </c>
      <c r="C491" s="1" t="s">
        <v>22</v>
      </c>
      <c r="D491" s="1">
        <v>1854</v>
      </c>
      <c r="E491" s="8">
        <v>0</v>
      </c>
      <c r="G491" s="1">
        <v>0</v>
      </c>
      <c r="H491" s="1">
        <v>0</v>
      </c>
      <c r="I491" s="1">
        <v>1E-13</v>
      </c>
      <c r="M491" s="1" t="s">
        <v>677</v>
      </c>
      <c r="N491" s="1" t="s">
        <v>36</v>
      </c>
      <c r="O491" s="1" t="s">
        <v>609</v>
      </c>
      <c r="P491" s="1" t="s">
        <v>37</v>
      </c>
      <c r="Q491" s="1">
        <v>0</v>
      </c>
      <c r="S491" s="1">
        <v>1</v>
      </c>
      <c r="T491" s="1">
        <v>1</v>
      </c>
      <c r="V491" s="1">
        <f t="shared" si="5"/>
        <v>1.06</v>
      </c>
      <c r="W491" s="1" t="s">
        <v>5</v>
      </c>
      <c r="X491" s="33">
        <v>22.708333333333329</v>
      </c>
      <c r="Y491" s="1">
        <v>1</v>
      </c>
      <c r="Z491" s="3">
        <v>0</v>
      </c>
      <c r="AA491" s="36">
        <v>1</v>
      </c>
    </row>
    <row r="492" spans="1:27" x14ac:dyDescent="0.2">
      <c r="A492" s="1">
        <v>3</v>
      </c>
      <c r="B492" s="1" t="s">
        <v>23</v>
      </c>
      <c r="C492" s="1" t="s">
        <v>22</v>
      </c>
      <c r="D492" s="1">
        <v>1855</v>
      </c>
      <c r="E492" s="8">
        <v>0</v>
      </c>
      <c r="G492" s="1">
        <v>0</v>
      </c>
      <c r="H492" s="1">
        <v>0</v>
      </c>
      <c r="I492" s="1">
        <v>1E-13</v>
      </c>
      <c r="M492" s="1" t="s">
        <v>677</v>
      </c>
      <c r="N492" s="1" t="s">
        <v>36</v>
      </c>
      <c r="O492" s="1" t="s">
        <v>609</v>
      </c>
      <c r="P492" s="1" t="s">
        <v>37</v>
      </c>
      <c r="Q492" s="1">
        <v>0</v>
      </c>
      <c r="S492" s="1">
        <v>1</v>
      </c>
      <c r="T492" s="1">
        <v>1</v>
      </c>
      <c r="V492" s="1">
        <f t="shared" si="5"/>
        <v>1.06</v>
      </c>
      <c r="W492" s="1" t="s">
        <v>5</v>
      </c>
      <c r="X492" s="26">
        <v>-3.3871533871533908</v>
      </c>
      <c r="Y492" s="1">
        <v>1</v>
      </c>
      <c r="Z492" s="3">
        <v>0</v>
      </c>
      <c r="AA492" s="8">
        <v>0</v>
      </c>
    </row>
    <row r="493" spans="1:27" x14ac:dyDescent="0.2">
      <c r="A493" s="1">
        <v>3</v>
      </c>
      <c r="B493" s="1" t="s">
        <v>23</v>
      </c>
      <c r="C493" s="1" t="s">
        <v>22</v>
      </c>
      <c r="D493" s="1">
        <v>1856</v>
      </c>
      <c r="E493" s="8">
        <v>0</v>
      </c>
      <c r="G493" s="1">
        <v>0</v>
      </c>
      <c r="H493" s="1">
        <v>0</v>
      </c>
      <c r="I493" s="1">
        <v>9.7000000000000003E-14</v>
      </c>
      <c r="M493" s="1" t="s">
        <v>677</v>
      </c>
      <c r="N493" s="1" t="s">
        <v>36</v>
      </c>
      <c r="O493" s="1" t="s">
        <v>609</v>
      </c>
      <c r="P493" s="1" t="s">
        <v>37</v>
      </c>
      <c r="Q493" s="1">
        <v>0</v>
      </c>
      <c r="S493" s="1">
        <v>1</v>
      </c>
      <c r="T493" s="1">
        <v>1</v>
      </c>
      <c r="V493" s="1">
        <f t="shared" si="5"/>
        <v>1.06</v>
      </c>
      <c r="W493" s="1" t="s">
        <v>5</v>
      </c>
      <c r="X493" s="26">
        <v>-12.075471698113205</v>
      </c>
      <c r="Y493" s="1">
        <v>1</v>
      </c>
      <c r="Z493" s="3">
        <v>0</v>
      </c>
      <c r="AA493" s="8">
        <v>0</v>
      </c>
    </row>
    <row r="494" spans="1:27" ht="12.75" customHeight="1" x14ac:dyDescent="0.2">
      <c r="A494" s="1">
        <v>3</v>
      </c>
      <c r="B494" s="1" t="s">
        <v>23</v>
      </c>
      <c r="C494" s="1" t="s">
        <v>22</v>
      </c>
      <c r="D494" s="1">
        <v>1857</v>
      </c>
      <c r="E494" s="8">
        <v>0</v>
      </c>
      <c r="G494" s="1">
        <v>0</v>
      </c>
      <c r="H494" s="1">
        <v>0</v>
      </c>
      <c r="I494" s="1">
        <v>9.7999999999999999E-14</v>
      </c>
      <c r="M494" s="1" t="s">
        <v>677</v>
      </c>
      <c r="N494" s="1" t="s">
        <v>36</v>
      </c>
      <c r="O494" s="1" t="s">
        <v>609</v>
      </c>
      <c r="P494" s="1" t="s">
        <v>37</v>
      </c>
      <c r="Q494" s="1">
        <v>0</v>
      </c>
      <c r="S494" s="1">
        <v>1</v>
      </c>
      <c r="T494" s="1">
        <v>1</v>
      </c>
      <c r="V494" s="1">
        <f t="shared" si="5"/>
        <v>1.06</v>
      </c>
      <c r="W494" s="1" t="s">
        <v>5</v>
      </c>
      <c r="X494" s="26">
        <v>1.4285714285714235</v>
      </c>
      <c r="Y494" s="1">
        <v>1</v>
      </c>
      <c r="Z494" s="3">
        <v>0</v>
      </c>
      <c r="AA494" s="8">
        <v>0</v>
      </c>
    </row>
    <row r="495" spans="1:27" ht="12.95" customHeight="1" x14ac:dyDescent="0.2">
      <c r="A495" s="1">
        <v>3</v>
      </c>
      <c r="B495" s="1" t="s">
        <v>23</v>
      </c>
      <c r="C495" s="1" t="s">
        <v>22</v>
      </c>
      <c r="D495" s="1">
        <v>1858</v>
      </c>
      <c r="E495" s="8">
        <v>0</v>
      </c>
      <c r="G495" s="1">
        <v>0</v>
      </c>
      <c r="H495" s="1">
        <v>0</v>
      </c>
      <c r="I495" s="1">
        <v>1E-13</v>
      </c>
      <c r="M495" s="1" t="s">
        <v>677</v>
      </c>
      <c r="N495" s="1" t="s">
        <v>36</v>
      </c>
      <c r="O495" s="1" t="s">
        <v>609</v>
      </c>
      <c r="P495" s="1" t="s">
        <v>37</v>
      </c>
      <c r="Q495" s="1">
        <v>0</v>
      </c>
      <c r="S495" s="1">
        <v>0</v>
      </c>
      <c r="T495" s="1">
        <v>0</v>
      </c>
      <c r="V495" s="1">
        <f t="shared" si="5"/>
        <v>0</v>
      </c>
      <c r="W495" s="1" t="s">
        <v>5</v>
      </c>
      <c r="X495" s="26">
        <v>-2.7777777777777741</v>
      </c>
      <c r="Y495" s="1">
        <v>1</v>
      </c>
      <c r="Z495" s="3">
        <v>0</v>
      </c>
      <c r="AA495" s="8">
        <v>0</v>
      </c>
    </row>
    <row r="496" spans="1:27" ht="12.75" customHeight="1" x14ac:dyDescent="0.2">
      <c r="A496" s="1">
        <v>3</v>
      </c>
      <c r="B496" s="1" t="s">
        <v>23</v>
      </c>
      <c r="C496" s="1" t="s">
        <v>22</v>
      </c>
      <c r="D496" s="1">
        <v>1859</v>
      </c>
      <c r="E496" s="8">
        <v>0</v>
      </c>
      <c r="G496" s="1">
        <v>0</v>
      </c>
      <c r="H496" s="1">
        <v>0</v>
      </c>
      <c r="I496" s="1">
        <v>1E-13</v>
      </c>
      <c r="M496" s="1" t="s">
        <v>677</v>
      </c>
      <c r="N496" s="1" t="s">
        <v>36</v>
      </c>
      <c r="O496" s="1" t="s">
        <v>609</v>
      </c>
      <c r="P496" s="1" t="s">
        <v>37</v>
      </c>
      <c r="Q496" s="1">
        <v>0</v>
      </c>
      <c r="S496" s="1">
        <v>0</v>
      </c>
      <c r="T496" s="1">
        <v>0</v>
      </c>
      <c r="V496" s="1">
        <f t="shared" si="5"/>
        <v>0</v>
      </c>
      <c r="W496" s="1" t="s">
        <v>5</v>
      </c>
      <c r="X496" s="26">
        <v>0</v>
      </c>
      <c r="Y496" s="1">
        <v>1</v>
      </c>
      <c r="Z496" s="3">
        <v>0</v>
      </c>
      <c r="AA496" s="8">
        <v>0</v>
      </c>
    </row>
    <row r="497" spans="1:27" x14ac:dyDescent="0.2">
      <c r="A497" s="1">
        <v>3</v>
      </c>
      <c r="B497" s="1" t="s">
        <v>23</v>
      </c>
      <c r="C497" s="1" t="s">
        <v>22</v>
      </c>
      <c r="D497" s="1">
        <v>1860</v>
      </c>
      <c r="E497" s="8">
        <v>0</v>
      </c>
      <c r="G497" s="1">
        <v>0</v>
      </c>
      <c r="H497" s="1">
        <v>0</v>
      </c>
      <c r="I497" s="1">
        <v>1.0499999999999999E-13</v>
      </c>
      <c r="M497" s="1" t="s">
        <v>677</v>
      </c>
      <c r="N497" s="1" t="s">
        <v>36</v>
      </c>
      <c r="O497" s="1" t="s">
        <v>609</v>
      </c>
      <c r="P497" s="1" t="s">
        <v>37</v>
      </c>
      <c r="Q497" s="1">
        <v>0</v>
      </c>
      <c r="S497" s="1">
        <v>0</v>
      </c>
      <c r="T497" s="1">
        <v>0</v>
      </c>
      <c r="V497" s="1">
        <f t="shared" si="5"/>
        <v>0</v>
      </c>
      <c r="W497" s="1" t="s">
        <v>5</v>
      </c>
      <c r="X497" s="26">
        <v>0.86538461538461231</v>
      </c>
      <c r="Y497" s="1">
        <v>1</v>
      </c>
      <c r="Z497" s="3">
        <v>0</v>
      </c>
      <c r="AA497" s="8">
        <v>0</v>
      </c>
    </row>
    <row r="498" spans="1:27" x14ac:dyDescent="0.2">
      <c r="A498" s="1">
        <v>3</v>
      </c>
      <c r="B498" s="1" t="s">
        <v>23</v>
      </c>
      <c r="C498" s="1" t="s">
        <v>22</v>
      </c>
      <c r="D498" s="1">
        <v>1861</v>
      </c>
      <c r="E498" s="8">
        <v>0</v>
      </c>
      <c r="G498" s="1">
        <v>0</v>
      </c>
      <c r="H498" s="1">
        <v>0</v>
      </c>
      <c r="I498" s="1">
        <v>1E-13</v>
      </c>
      <c r="M498" s="1" t="s">
        <v>677</v>
      </c>
      <c r="N498" s="1" t="s">
        <v>36</v>
      </c>
      <c r="O498" s="1" t="s">
        <v>609</v>
      </c>
      <c r="P498" s="1" t="s">
        <v>37</v>
      </c>
      <c r="Q498" s="1">
        <v>0</v>
      </c>
      <c r="S498" s="1">
        <v>0</v>
      </c>
      <c r="T498" s="1">
        <v>0</v>
      </c>
      <c r="V498" s="1">
        <f t="shared" si="5"/>
        <v>0</v>
      </c>
      <c r="W498" s="1" t="s">
        <v>5</v>
      </c>
      <c r="X498" s="26">
        <v>0</v>
      </c>
      <c r="Y498" s="1">
        <v>1</v>
      </c>
      <c r="Z498" s="3">
        <v>0</v>
      </c>
      <c r="AA498" s="8">
        <v>0</v>
      </c>
    </row>
    <row r="499" spans="1:27" x14ac:dyDescent="0.2">
      <c r="A499" s="1">
        <v>3</v>
      </c>
      <c r="B499" s="1" t="s">
        <v>23</v>
      </c>
      <c r="C499" s="1" t="s">
        <v>22</v>
      </c>
      <c r="D499" s="1">
        <v>1862</v>
      </c>
      <c r="E499" s="8">
        <v>0</v>
      </c>
      <c r="G499" s="1">
        <v>0</v>
      </c>
      <c r="H499" s="1">
        <v>0</v>
      </c>
      <c r="I499" s="1">
        <v>7.4E-14</v>
      </c>
      <c r="M499" s="1" t="s">
        <v>677</v>
      </c>
      <c r="N499" s="1" t="s">
        <v>36</v>
      </c>
      <c r="O499" s="1" t="s">
        <v>609</v>
      </c>
      <c r="P499" s="1" t="s">
        <v>37</v>
      </c>
      <c r="Q499" s="1">
        <v>0</v>
      </c>
      <c r="S499" s="1">
        <v>0</v>
      </c>
      <c r="T499" s="1">
        <v>0</v>
      </c>
      <c r="V499" s="1">
        <f t="shared" si="5"/>
        <v>0</v>
      </c>
      <c r="W499" s="1" t="s">
        <v>5</v>
      </c>
      <c r="X499" s="26" t="s">
        <v>419</v>
      </c>
      <c r="Y499" s="1">
        <v>1</v>
      </c>
      <c r="Z499" s="3">
        <v>0</v>
      </c>
      <c r="AA499" s="8">
        <v>0</v>
      </c>
    </row>
    <row r="500" spans="1:27" x14ac:dyDescent="0.2">
      <c r="A500" s="1">
        <v>3</v>
      </c>
      <c r="B500" s="1" t="s">
        <v>23</v>
      </c>
      <c r="C500" s="1" t="s">
        <v>22</v>
      </c>
      <c r="D500" s="1">
        <v>1863</v>
      </c>
      <c r="E500" s="8">
        <v>0</v>
      </c>
      <c r="G500" s="1">
        <v>0</v>
      </c>
      <c r="H500" s="1">
        <v>0</v>
      </c>
      <c r="I500" s="1">
        <v>6.5000000000000001E-14</v>
      </c>
      <c r="M500" s="1" t="s">
        <v>677</v>
      </c>
      <c r="N500" s="1" t="s">
        <v>36</v>
      </c>
      <c r="O500" s="1" t="s">
        <v>609</v>
      </c>
      <c r="P500" s="1" t="s">
        <v>37</v>
      </c>
      <c r="Q500" s="1">
        <v>0</v>
      </c>
      <c r="S500" s="1">
        <v>0</v>
      </c>
      <c r="T500" s="1">
        <v>0</v>
      </c>
      <c r="V500" s="1">
        <f t="shared" si="5"/>
        <v>0</v>
      </c>
      <c r="W500" s="1" t="s">
        <v>5</v>
      </c>
      <c r="X500" s="26" t="s">
        <v>419</v>
      </c>
      <c r="Y500" s="1">
        <v>1</v>
      </c>
      <c r="Z500" s="3">
        <v>0</v>
      </c>
      <c r="AA500" s="8">
        <v>0</v>
      </c>
    </row>
    <row r="501" spans="1:27" x14ac:dyDescent="0.2">
      <c r="A501" s="1">
        <v>3</v>
      </c>
      <c r="B501" s="1" t="s">
        <v>23</v>
      </c>
      <c r="C501" s="1" t="s">
        <v>22</v>
      </c>
      <c r="D501" s="1">
        <v>1864</v>
      </c>
      <c r="E501" s="8">
        <v>0</v>
      </c>
      <c r="G501" s="1">
        <v>0</v>
      </c>
      <c r="H501" s="1">
        <v>0</v>
      </c>
      <c r="I501" s="1">
        <v>4.4000000000000002E-14</v>
      </c>
      <c r="M501" s="1" t="s">
        <v>677</v>
      </c>
      <c r="N501" s="1" t="s">
        <v>36</v>
      </c>
      <c r="O501" s="1" t="s">
        <v>609</v>
      </c>
      <c r="P501" s="1" t="s">
        <v>37</v>
      </c>
      <c r="Q501" s="1">
        <v>0</v>
      </c>
      <c r="S501" s="1">
        <v>0</v>
      </c>
      <c r="T501" s="1">
        <v>0</v>
      </c>
      <c r="V501" s="1">
        <f t="shared" ref="V501:V564" si="6">1.06*S501</f>
        <v>0</v>
      </c>
      <c r="W501" s="1" t="s">
        <v>5</v>
      </c>
      <c r="X501" s="26" t="s">
        <v>419</v>
      </c>
      <c r="Y501" s="1">
        <v>1</v>
      </c>
      <c r="Z501" s="3">
        <v>0</v>
      </c>
      <c r="AA501" s="8">
        <v>0</v>
      </c>
    </row>
    <row r="502" spans="1:27" x14ac:dyDescent="0.2">
      <c r="A502" s="1">
        <v>3</v>
      </c>
      <c r="B502" s="1" t="s">
        <v>23</v>
      </c>
      <c r="C502" s="1" t="s">
        <v>22</v>
      </c>
      <c r="D502" s="1">
        <v>1865</v>
      </c>
      <c r="E502" s="8">
        <v>0</v>
      </c>
      <c r="G502" s="1">
        <v>0</v>
      </c>
      <c r="H502" s="1">
        <v>0</v>
      </c>
      <c r="I502" s="1">
        <v>6.6499999999999994E-14</v>
      </c>
      <c r="M502" s="1" t="s">
        <v>677</v>
      </c>
      <c r="N502" s="1" t="s">
        <v>36</v>
      </c>
      <c r="O502" s="1" t="s">
        <v>609</v>
      </c>
      <c r="P502" s="1" t="s">
        <v>37</v>
      </c>
      <c r="Q502" s="1">
        <v>0</v>
      </c>
      <c r="S502" s="1">
        <v>0</v>
      </c>
      <c r="T502" s="1">
        <v>0</v>
      </c>
      <c r="V502" s="1">
        <f t="shared" si="6"/>
        <v>0</v>
      </c>
      <c r="W502" s="1" t="s">
        <v>5</v>
      </c>
      <c r="X502" s="26">
        <v>-9.5070422535211243</v>
      </c>
      <c r="Y502" s="1">
        <v>1</v>
      </c>
      <c r="Z502" s="3">
        <v>0</v>
      </c>
      <c r="AA502" s="8">
        <v>0</v>
      </c>
    </row>
    <row r="503" spans="1:27" x14ac:dyDescent="0.2">
      <c r="A503" s="1">
        <v>3</v>
      </c>
      <c r="B503" s="1" t="s">
        <v>23</v>
      </c>
      <c r="C503" s="1" t="s">
        <v>22</v>
      </c>
      <c r="D503" s="1">
        <v>1866</v>
      </c>
      <c r="E503" s="8">
        <v>0</v>
      </c>
      <c r="G503" s="1">
        <v>0</v>
      </c>
      <c r="H503" s="1">
        <v>0</v>
      </c>
      <c r="I503" s="1">
        <v>6.9600000000000001E-14</v>
      </c>
      <c r="M503" s="1" t="s">
        <v>677</v>
      </c>
      <c r="N503" s="1" t="s">
        <v>36</v>
      </c>
      <c r="O503" s="1" t="s">
        <v>609</v>
      </c>
      <c r="P503" s="1" t="s">
        <v>37</v>
      </c>
      <c r="Q503" s="1">
        <v>0</v>
      </c>
      <c r="S503" s="1">
        <v>0</v>
      </c>
      <c r="T503" s="1">
        <v>0</v>
      </c>
      <c r="V503" s="1">
        <f t="shared" si="6"/>
        <v>0</v>
      </c>
      <c r="W503" s="1" t="s">
        <v>5</v>
      </c>
      <c r="X503" s="26">
        <v>-9.3385214007782054</v>
      </c>
      <c r="Y503" s="1">
        <v>1</v>
      </c>
      <c r="Z503" s="3">
        <v>0</v>
      </c>
      <c r="AA503" s="8">
        <v>0</v>
      </c>
    </row>
    <row r="504" spans="1:27" x14ac:dyDescent="0.2">
      <c r="A504" s="1">
        <v>3</v>
      </c>
      <c r="B504" s="1" t="s">
        <v>23</v>
      </c>
      <c r="C504" s="1" t="s">
        <v>22</v>
      </c>
      <c r="D504" s="1">
        <v>1867</v>
      </c>
      <c r="E504" s="8">
        <v>0</v>
      </c>
      <c r="G504" s="1">
        <v>0</v>
      </c>
      <c r="H504" s="1">
        <v>1</v>
      </c>
      <c r="I504" s="1">
        <v>7.3300000000000001E-14</v>
      </c>
      <c r="M504" s="1" t="s">
        <v>677</v>
      </c>
      <c r="N504" s="1" t="s">
        <v>36</v>
      </c>
      <c r="O504" s="1" t="s">
        <v>609</v>
      </c>
      <c r="P504" s="1" t="s">
        <v>37</v>
      </c>
      <c r="Q504" s="1">
        <v>0</v>
      </c>
      <c r="S504" s="1">
        <v>0</v>
      </c>
      <c r="T504" s="1">
        <v>0</v>
      </c>
      <c r="V504" s="1">
        <f t="shared" si="6"/>
        <v>0</v>
      </c>
      <c r="W504" s="1" t="s">
        <v>5</v>
      </c>
      <c r="X504" s="26">
        <v>2.7896995708154444</v>
      </c>
      <c r="Y504" s="1">
        <v>1</v>
      </c>
      <c r="Z504" s="3">
        <v>0</v>
      </c>
      <c r="AA504" s="8">
        <v>0</v>
      </c>
    </row>
    <row r="505" spans="1:27" x14ac:dyDescent="0.2">
      <c r="A505" s="1">
        <v>3</v>
      </c>
      <c r="B505" s="1" t="s">
        <v>23</v>
      </c>
      <c r="C505" s="1" t="s">
        <v>22</v>
      </c>
      <c r="D505" s="1">
        <v>1868</v>
      </c>
      <c r="E505" s="8">
        <v>0</v>
      </c>
      <c r="G505" s="1">
        <v>0</v>
      </c>
      <c r="H505" s="1">
        <v>1</v>
      </c>
      <c r="I505" s="1">
        <v>7.4400000000000004E-14</v>
      </c>
      <c r="M505" s="1" t="s">
        <v>677</v>
      </c>
      <c r="N505" s="1" t="s">
        <v>36</v>
      </c>
      <c r="O505" s="1" t="s">
        <v>609</v>
      </c>
      <c r="P505" s="1" t="s">
        <v>37</v>
      </c>
      <c r="Q505" s="1">
        <v>0</v>
      </c>
      <c r="S505" s="1">
        <v>0</v>
      </c>
      <c r="T505" s="1">
        <v>0</v>
      </c>
      <c r="V505" s="1">
        <f t="shared" si="6"/>
        <v>0</v>
      </c>
      <c r="W505" s="1" t="s">
        <v>5</v>
      </c>
      <c r="X505" s="26">
        <v>0</v>
      </c>
      <c r="Y505" s="1">
        <v>1</v>
      </c>
      <c r="Z505" s="3">
        <v>0</v>
      </c>
      <c r="AA505" s="8">
        <v>0</v>
      </c>
    </row>
    <row r="506" spans="1:27" x14ac:dyDescent="0.2">
      <c r="A506" s="1">
        <v>3</v>
      </c>
      <c r="B506" s="1" t="s">
        <v>23</v>
      </c>
      <c r="C506" s="1" t="s">
        <v>22</v>
      </c>
      <c r="D506" s="1">
        <v>1869</v>
      </c>
      <c r="E506" s="8">
        <v>0</v>
      </c>
      <c r="G506" s="1">
        <v>0</v>
      </c>
      <c r="H506" s="1">
        <v>1</v>
      </c>
      <c r="I506" s="1">
        <v>8.2399999999999995E-14</v>
      </c>
      <c r="M506" s="1" t="s">
        <v>677</v>
      </c>
      <c r="N506" s="1" t="s">
        <v>36</v>
      </c>
      <c r="O506" s="1" t="s">
        <v>609</v>
      </c>
      <c r="P506" s="1" t="s">
        <v>37</v>
      </c>
      <c r="Q506" s="1">
        <v>0</v>
      </c>
      <c r="S506" s="1">
        <v>0</v>
      </c>
      <c r="T506" s="1">
        <v>0</v>
      </c>
      <c r="V506" s="1">
        <f t="shared" si="6"/>
        <v>0</v>
      </c>
      <c r="W506" s="1" t="s">
        <v>5</v>
      </c>
      <c r="X506" s="26">
        <v>-5.6367432150313066</v>
      </c>
      <c r="Y506" s="1">
        <v>1</v>
      </c>
      <c r="Z506" s="3">
        <v>0</v>
      </c>
      <c r="AA506" s="8">
        <v>0</v>
      </c>
    </row>
    <row r="507" spans="1:27" x14ac:dyDescent="0.2">
      <c r="A507" s="1">
        <v>3</v>
      </c>
      <c r="B507" s="1" t="s">
        <v>23</v>
      </c>
      <c r="C507" s="1" t="s">
        <v>22</v>
      </c>
      <c r="D507" s="1">
        <v>1870</v>
      </c>
      <c r="E507" s="8">
        <v>0</v>
      </c>
      <c r="G507" s="1">
        <v>0</v>
      </c>
      <c r="H507" s="1">
        <v>1</v>
      </c>
      <c r="I507" s="1">
        <v>9.0899999999999996E-14</v>
      </c>
      <c r="M507" s="1" t="s">
        <v>677</v>
      </c>
      <c r="N507" s="1" t="s">
        <v>36</v>
      </c>
      <c r="O507" s="1" t="s">
        <v>609</v>
      </c>
      <c r="P507" s="1" t="s">
        <v>37</v>
      </c>
      <c r="Q507" s="1">
        <v>0</v>
      </c>
      <c r="S507" s="1">
        <v>0</v>
      </c>
      <c r="T507" s="1">
        <v>0</v>
      </c>
      <c r="V507" s="1">
        <f t="shared" si="6"/>
        <v>0</v>
      </c>
      <c r="W507" s="1" t="s">
        <v>5</v>
      </c>
      <c r="X507" s="26">
        <v>4.6460176991150313</v>
      </c>
      <c r="Y507" s="1">
        <v>1</v>
      </c>
      <c r="Z507" s="3">
        <v>0</v>
      </c>
      <c r="AA507" s="8">
        <v>0</v>
      </c>
    </row>
    <row r="508" spans="1:27" x14ac:dyDescent="0.2">
      <c r="A508" s="1">
        <v>3</v>
      </c>
      <c r="B508" s="1" t="s">
        <v>23</v>
      </c>
      <c r="C508" s="1" t="s">
        <v>22</v>
      </c>
      <c r="D508" s="1">
        <v>1871</v>
      </c>
      <c r="E508" s="8">
        <v>0</v>
      </c>
      <c r="G508" s="1">
        <v>0</v>
      </c>
      <c r="H508" s="1">
        <v>1</v>
      </c>
      <c r="I508" s="1">
        <v>8.6900000000000001E-14</v>
      </c>
      <c r="M508" s="1" t="s">
        <v>677</v>
      </c>
      <c r="N508" s="1" t="s">
        <v>36</v>
      </c>
      <c r="O508" s="1" t="s">
        <v>609</v>
      </c>
      <c r="P508" s="1" t="s">
        <v>37</v>
      </c>
      <c r="Q508" s="1">
        <v>0</v>
      </c>
      <c r="S508" s="1">
        <v>0</v>
      </c>
      <c r="T508" s="1">
        <v>0</v>
      </c>
      <c r="V508" s="1">
        <f t="shared" si="6"/>
        <v>0</v>
      </c>
      <c r="W508" s="1" t="s">
        <v>5</v>
      </c>
      <c r="X508" s="26">
        <v>7.1881606765327817</v>
      </c>
      <c r="Y508" s="1">
        <v>1</v>
      </c>
      <c r="Z508" s="3">
        <v>0</v>
      </c>
      <c r="AA508" s="8">
        <v>0</v>
      </c>
    </row>
    <row r="509" spans="1:27" x14ac:dyDescent="0.2">
      <c r="A509" s="1">
        <v>3</v>
      </c>
      <c r="B509" s="1" t="s">
        <v>23</v>
      </c>
      <c r="C509" s="1" t="s">
        <v>22</v>
      </c>
      <c r="D509" s="1">
        <v>1872</v>
      </c>
      <c r="E509" s="8">
        <v>0</v>
      </c>
      <c r="G509" s="1">
        <v>0</v>
      </c>
      <c r="H509" s="1">
        <v>1</v>
      </c>
      <c r="I509" s="1">
        <v>8.8500000000000002E-14</v>
      </c>
      <c r="M509" s="1" t="s">
        <v>677</v>
      </c>
      <c r="N509" s="1" t="s">
        <v>36</v>
      </c>
      <c r="O509" s="1" t="s">
        <v>609</v>
      </c>
      <c r="P509" s="1" t="s">
        <v>37</v>
      </c>
      <c r="Q509" s="1">
        <v>0</v>
      </c>
      <c r="S509" s="1">
        <v>0</v>
      </c>
      <c r="T509" s="1">
        <v>0</v>
      </c>
      <c r="V509" s="1">
        <f t="shared" si="6"/>
        <v>0</v>
      </c>
      <c r="W509" s="1" t="s">
        <v>5</v>
      </c>
      <c r="X509" s="26">
        <v>17.554240631163704</v>
      </c>
      <c r="Y509" s="1">
        <v>1</v>
      </c>
      <c r="Z509" s="3">
        <v>0</v>
      </c>
      <c r="AA509" s="8">
        <v>0</v>
      </c>
    </row>
    <row r="510" spans="1:27" x14ac:dyDescent="0.2">
      <c r="A510" s="1">
        <v>3</v>
      </c>
      <c r="B510" s="1" t="s">
        <v>23</v>
      </c>
      <c r="C510" s="1" t="s">
        <v>22</v>
      </c>
      <c r="D510" s="1">
        <v>1873</v>
      </c>
      <c r="E510" s="8">
        <v>0</v>
      </c>
      <c r="G510" s="1">
        <v>0</v>
      </c>
      <c r="H510" s="1">
        <v>1</v>
      </c>
      <c r="I510" s="1">
        <v>9.2299999999999995E-14</v>
      </c>
      <c r="M510" s="1" t="s">
        <v>677</v>
      </c>
      <c r="N510" s="1" t="s">
        <v>36</v>
      </c>
      <c r="O510" s="1" t="s">
        <v>609</v>
      </c>
      <c r="P510" s="1" t="s">
        <v>37</v>
      </c>
      <c r="Q510" s="1">
        <v>0</v>
      </c>
      <c r="S510" s="1">
        <v>0</v>
      </c>
      <c r="T510" s="1">
        <v>0</v>
      </c>
      <c r="V510" s="1">
        <f t="shared" si="6"/>
        <v>0</v>
      </c>
      <c r="W510" s="1" t="s">
        <v>5</v>
      </c>
      <c r="X510" s="26">
        <v>0</v>
      </c>
      <c r="Y510" s="1">
        <v>1</v>
      </c>
      <c r="Z510" s="3">
        <v>0</v>
      </c>
      <c r="AA510" s="8">
        <v>0</v>
      </c>
    </row>
    <row r="511" spans="1:27" x14ac:dyDescent="0.2">
      <c r="A511" s="1">
        <v>3</v>
      </c>
      <c r="B511" s="1" t="s">
        <v>23</v>
      </c>
      <c r="C511" s="1" t="s">
        <v>22</v>
      </c>
      <c r="D511" s="1">
        <v>1874</v>
      </c>
      <c r="E511" s="8">
        <v>0</v>
      </c>
      <c r="G511" s="1">
        <v>0</v>
      </c>
      <c r="H511" s="1">
        <v>1</v>
      </c>
      <c r="I511" s="1">
        <v>8.6800000000000006E-14</v>
      </c>
      <c r="M511" s="1" t="s">
        <v>677</v>
      </c>
      <c r="N511" s="1" t="s">
        <v>36</v>
      </c>
      <c r="O511" s="1" t="s">
        <v>609</v>
      </c>
      <c r="P511" s="1" t="s">
        <v>37</v>
      </c>
      <c r="Q511" s="1">
        <v>0</v>
      </c>
      <c r="S511" s="1">
        <v>0</v>
      </c>
      <c r="T511" s="1">
        <v>0</v>
      </c>
      <c r="V511" s="1">
        <f t="shared" si="6"/>
        <v>0</v>
      </c>
      <c r="W511" s="1" t="s">
        <v>5</v>
      </c>
      <c r="X511" s="26">
        <v>-2.3489932885906017</v>
      </c>
      <c r="Y511" s="1">
        <v>1</v>
      </c>
      <c r="Z511" s="3">
        <v>0</v>
      </c>
      <c r="AA511" s="8">
        <v>0</v>
      </c>
    </row>
    <row r="512" spans="1:27" x14ac:dyDescent="0.2">
      <c r="A512" s="1">
        <v>3</v>
      </c>
      <c r="B512" s="1" t="s">
        <v>23</v>
      </c>
      <c r="C512" s="1" t="s">
        <v>22</v>
      </c>
      <c r="D512" s="1">
        <v>1875</v>
      </c>
      <c r="E512" s="8">
        <v>0</v>
      </c>
      <c r="G512" s="1">
        <v>0</v>
      </c>
      <c r="H512" s="1">
        <v>1</v>
      </c>
      <c r="I512" s="1">
        <v>8.7100000000000002E-14</v>
      </c>
      <c r="M512" s="1" t="s">
        <v>677</v>
      </c>
      <c r="N512" s="1" t="s">
        <v>36</v>
      </c>
      <c r="O512" s="1" t="s">
        <v>609</v>
      </c>
      <c r="P512" s="1" t="s">
        <v>37</v>
      </c>
      <c r="Q512" s="1">
        <v>0</v>
      </c>
      <c r="S512" s="1">
        <v>0</v>
      </c>
      <c r="T512" s="1">
        <v>0</v>
      </c>
      <c r="V512" s="1">
        <f t="shared" si="6"/>
        <v>0</v>
      </c>
      <c r="W512" s="1" t="s">
        <v>5</v>
      </c>
      <c r="X512" s="26">
        <v>-3.4364261168384878</v>
      </c>
      <c r="Y512" s="1">
        <v>1</v>
      </c>
      <c r="Z512" s="3">
        <v>0</v>
      </c>
      <c r="AA512" s="8">
        <v>0</v>
      </c>
    </row>
    <row r="513" spans="1:27" x14ac:dyDescent="0.2">
      <c r="A513" s="1">
        <v>3</v>
      </c>
      <c r="B513" s="1" t="s">
        <v>23</v>
      </c>
      <c r="C513" s="1" t="s">
        <v>22</v>
      </c>
      <c r="D513" s="1">
        <v>1876</v>
      </c>
      <c r="E513" s="8">
        <v>0</v>
      </c>
      <c r="G513" s="1">
        <v>0</v>
      </c>
      <c r="H513" s="1">
        <v>1</v>
      </c>
      <c r="I513" s="1">
        <v>8.7899999999999997E-14</v>
      </c>
      <c r="M513" s="1" t="s">
        <v>677</v>
      </c>
      <c r="N513" s="1" t="s">
        <v>36</v>
      </c>
      <c r="O513" s="1" t="s">
        <v>609</v>
      </c>
      <c r="P513" s="1" t="s">
        <v>37</v>
      </c>
      <c r="Q513" s="1">
        <v>0</v>
      </c>
      <c r="S513" s="1">
        <v>0</v>
      </c>
      <c r="T513" s="1">
        <v>0</v>
      </c>
      <c r="V513" s="1">
        <f t="shared" si="6"/>
        <v>0</v>
      </c>
      <c r="W513" s="1" t="s">
        <v>5</v>
      </c>
      <c r="X513" s="26">
        <v>2.3131672597864719</v>
      </c>
      <c r="Y513" s="1">
        <v>1</v>
      </c>
      <c r="Z513" s="3">
        <v>0</v>
      </c>
      <c r="AA513" s="8">
        <v>0</v>
      </c>
    </row>
    <row r="514" spans="1:27" x14ac:dyDescent="0.2">
      <c r="A514" s="1">
        <v>3</v>
      </c>
      <c r="B514" s="1" t="s">
        <v>23</v>
      </c>
      <c r="C514" s="1" t="s">
        <v>22</v>
      </c>
      <c r="D514" s="1">
        <v>1877</v>
      </c>
      <c r="E514" s="8">
        <v>0</v>
      </c>
      <c r="G514" s="1">
        <v>0</v>
      </c>
      <c r="H514" s="1">
        <v>0</v>
      </c>
      <c r="I514" s="1">
        <v>9.6899999999999996E-14</v>
      </c>
      <c r="M514" s="1" t="s">
        <v>677</v>
      </c>
      <c r="N514" s="1" t="s">
        <v>36</v>
      </c>
      <c r="O514" s="1" t="s">
        <v>609</v>
      </c>
      <c r="P514" s="1" t="s">
        <v>37</v>
      </c>
      <c r="Q514" s="1">
        <v>0</v>
      </c>
      <c r="S514" s="1">
        <v>0</v>
      </c>
      <c r="T514" s="1">
        <v>0</v>
      </c>
      <c r="V514" s="1">
        <f t="shared" si="6"/>
        <v>0</v>
      </c>
      <c r="W514" s="1" t="s">
        <v>5</v>
      </c>
      <c r="X514" s="26">
        <v>12</v>
      </c>
      <c r="Y514" s="1">
        <v>1</v>
      </c>
      <c r="Z514" s="3">
        <v>0</v>
      </c>
      <c r="AA514" s="8">
        <v>0</v>
      </c>
    </row>
    <row r="515" spans="1:27" x14ac:dyDescent="0.2">
      <c r="A515" s="1">
        <v>3</v>
      </c>
      <c r="B515" s="1" t="s">
        <v>23</v>
      </c>
      <c r="C515" s="1" t="s">
        <v>22</v>
      </c>
      <c r="D515" s="1">
        <v>1878</v>
      </c>
      <c r="E515" s="8">
        <v>0</v>
      </c>
      <c r="G515" s="1">
        <v>0</v>
      </c>
      <c r="H515" s="1">
        <v>0</v>
      </c>
      <c r="I515" s="1">
        <v>9.9899999999999996E-14</v>
      </c>
      <c r="M515" s="1" t="s">
        <v>677</v>
      </c>
      <c r="N515" s="1" t="s">
        <v>36</v>
      </c>
      <c r="O515" s="1" t="s">
        <v>609</v>
      </c>
      <c r="P515" s="1" t="s">
        <v>37</v>
      </c>
      <c r="Q515" s="1">
        <v>0</v>
      </c>
      <c r="S515" s="1">
        <v>0</v>
      </c>
      <c r="T515" s="1">
        <v>0</v>
      </c>
      <c r="V515" s="1">
        <f t="shared" si="6"/>
        <v>0</v>
      </c>
      <c r="W515" s="1" t="s">
        <v>5</v>
      </c>
      <c r="X515" s="26">
        <v>2.1739130434782474</v>
      </c>
      <c r="Y515" s="1">
        <v>1</v>
      </c>
      <c r="Z515" s="3">
        <v>0</v>
      </c>
      <c r="AA515" s="8">
        <v>0</v>
      </c>
    </row>
    <row r="516" spans="1:27" x14ac:dyDescent="0.2">
      <c r="A516" s="1">
        <v>3</v>
      </c>
      <c r="B516" s="1" t="s">
        <v>23</v>
      </c>
      <c r="C516" s="1" t="s">
        <v>22</v>
      </c>
      <c r="D516" s="1">
        <v>1879</v>
      </c>
      <c r="E516" s="8">
        <v>0</v>
      </c>
      <c r="G516" s="1">
        <v>0</v>
      </c>
      <c r="H516" s="1">
        <v>0</v>
      </c>
      <c r="I516" s="1">
        <v>9.9199999999999996E-14</v>
      </c>
      <c r="M516" s="1" t="s">
        <v>677</v>
      </c>
      <c r="N516" s="1" t="s">
        <v>36</v>
      </c>
      <c r="O516" s="1" t="s">
        <v>609</v>
      </c>
      <c r="P516" s="1" t="s">
        <v>37</v>
      </c>
      <c r="Q516" s="1">
        <v>0</v>
      </c>
      <c r="S516" s="1">
        <v>0</v>
      </c>
      <c r="T516" s="1">
        <v>0</v>
      </c>
      <c r="V516" s="1">
        <f t="shared" si="6"/>
        <v>0</v>
      </c>
      <c r="W516" s="1" t="s">
        <v>5</v>
      </c>
      <c r="X516" s="26">
        <v>5.1671732522796443</v>
      </c>
      <c r="Y516" s="1">
        <v>1</v>
      </c>
      <c r="Z516" s="3">
        <v>0</v>
      </c>
      <c r="AA516" s="8">
        <v>0</v>
      </c>
    </row>
    <row r="517" spans="1:27" x14ac:dyDescent="0.2">
      <c r="A517" s="1">
        <v>3</v>
      </c>
      <c r="B517" s="1" t="s">
        <v>23</v>
      </c>
      <c r="C517" s="1" t="s">
        <v>22</v>
      </c>
      <c r="D517" s="1">
        <v>1880</v>
      </c>
      <c r="E517" s="8">
        <v>0</v>
      </c>
      <c r="G517" s="1">
        <v>0</v>
      </c>
      <c r="H517" s="1">
        <v>0</v>
      </c>
      <c r="I517" s="1">
        <v>9.9199999999999996E-14</v>
      </c>
      <c r="M517" s="1" t="s">
        <v>677</v>
      </c>
      <c r="N517" s="1" t="s">
        <v>36</v>
      </c>
      <c r="O517" s="1" t="s">
        <v>609</v>
      </c>
      <c r="P517" s="1" t="s">
        <v>37</v>
      </c>
      <c r="Q517" s="1">
        <v>0</v>
      </c>
      <c r="S517" s="1">
        <v>0</v>
      </c>
      <c r="T517" s="1">
        <v>0</v>
      </c>
      <c r="V517" s="1">
        <f t="shared" si="6"/>
        <v>0</v>
      </c>
      <c r="W517" s="1" t="s">
        <v>5</v>
      </c>
      <c r="X517" s="26">
        <v>1.8786127167630018</v>
      </c>
      <c r="Y517" s="1">
        <v>1</v>
      </c>
      <c r="Z517" s="3">
        <v>0</v>
      </c>
      <c r="AA517" s="8">
        <v>0</v>
      </c>
    </row>
    <row r="518" spans="1:27" x14ac:dyDescent="0.2">
      <c r="A518" s="1">
        <v>3</v>
      </c>
      <c r="B518" s="1" t="s">
        <v>23</v>
      </c>
      <c r="C518" s="1" t="s">
        <v>22</v>
      </c>
      <c r="D518" s="1">
        <v>1881</v>
      </c>
      <c r="E518" s="8">
        <v>0</v>
      </c>
      <c r="G518" s="1">
        <v>0</v>
      </c>
      <c r="H518" s="1">
        <v>0</v>
      </c>
      <c r="I518" s="1">
        <v>9.8999999999999995E-14</v>
      </c>
      <c r="M518" s="1" t="s">
        <v>677</v>
      </c>
      <c r="N518" s="1" t="s">
        <v>36</v>
      </c>
      <c r="O518" s="1" t="s">
        <v>609</v>
      </c>
      <c r="P518" s="1" t="s">
        <v>37</v>
      </c>
      <c r="Q518" s="1">
        <v>0</v>
      </c>
      <c r="S518" s="1">
        <v>0</v>
      </c>
      <c r="T518" s="1">
        <v>0</v>
      </c>
      <c r="V518" s="1">
        <f t="shared" si="6"/>
        <v>0</v>
      </c>
      <c r="W518" s="1" t="s">
        <v>5</v>
      </c>
      <c r="X518" s="26">
        <v>-22.269503546099294</v>
      </c>
      <c r="Y518" s="1">
        <v>1</v>
      </c>
      <c r="Z518" s="3">
        <v>0</v>
      </c>
      <c r="AA518" s="8">
        <v>0</v>
      </c>
    </row>
    <row r="519" spans="1:27" ht="12.75" customHeight="1" x14ac:dyDescent="0.2">
      <c r="A519" s="1">
        <v>3</v>
      </c>
      <c r="B519" s="1" t="s">
        <v>23</v>
      </c>
      <c r="C519" s="1" t="s">
        <v>22</v>
      </c>
      <c r="D519" s="1">
        <v>1882</v>
      </c>
      <c r="E519" s="8">
        <v>0</v>
      </c>
      <c r="G519" s="1">
        <v>0</v>
      </c>
      <c r="H519" s="1">
        <v>0</v>
      </c>
      <c r="I519" s="1">
        <v>9.9100000000000002E-14</v>
      </c>
      <c r="M519" s="1" t="s">
        <v>677</v>
      </c>
      <c r="N519" s="1" t="s">
        <v>36</v>
      </c>
      <c r="O519" s="1" t="s">
        <v>609</v>
      </c>
      <c r="P519" s="1" t="s">
        <v>37</v>
      </c>
      <c r="Q519" s="1">
        <v>0</v>
      </c>
      <c r="S519" s="1">
        <v>0</v>
      </c>
      <c r="T519" s="1">
        <v>0</v>
      </c>
      <c r="V519" s="1">
        <f t="shared" si="6"/>
        <v>0</v>
      </c>
      <c r="W519" s="1" t="s">
        <v>5</v>
      </c>
      <c r="X519" s="26">
        <v>-7.4817518248175077</v>
      </c>
      <c r="Y519" s="1">
        <v>1</v>
      </c>
      <c r="Z519" s="3">
        <v>0</v>
      </c>
      <c r="AA519" s="8">
        <v>0</v>
      </c>
    </row>
    <row r="520" spans="1:27" x14ac:dyDescent="0.2">
      <c r="A520" s="1">
        <v>3</v>
      </c>
      <c r="B520" s="1" t="s">
        <v>23</v>
      </c>
      <c r="C520" s="1" t="s">
        <v>22</v>
      </c>
      <c r="D520" s="1">
        <v>1883</v>
      </c>
      <c r="E520" s="8">
        <v>0</v>
      </c>
      <c r="G520" s="1">
        <v>0</v>
      </c>
      <c r="H520" s="1">
        <v>1</v>
      </c>
      <c r="I520" s="1">
        <v>1.0504E-13</v>
      </c>
      <c r="M520" s="1" t="s">
        <v>677</v>
      </c>
      <c r="N520" s="1" t="s">
        <v>36</v>
      </c>
      <c r="O520" s="1" t="s">
        <v>609</v>
      </c>
      <c r="P520" s="1" t="s">
        <v>37</v>
      </c>
      <c r="Q520" s="1">
        <v>0</v>
      </c>
      <c r="S520" s="1">
        <v>0</v>
      </c>
      <c r="T520" s="1">
        <v>0</v>
      </c>
      <c r="V520" s="1">
        <f t="shared" si="6"/>
        <v>0</v>
      </c>
      <c r="W520" s="1" t="s">
        <v>5</v>
      </c>
      <c r="X520" s="26">
        <v>-6.706114398422101</v>
      </c>
      <c r="Y520" s="1">
        <v>1</v>
      </c>
      <c r="Z520" s="3">
        <v>0</v>
      </c>
      <c r="AA520" s="8">
        <v>0</v>
      </c>
    </row>
    <row r="521" spans="1:27" x14ac:dyDescent="0.2">
      <c r="A521" s="1">
        <v>3</v>
      </c>
      <c r="B521" s="1" t="s">
        <v>23</v>
      </c>
      <c r="C521" s="1" t="s">
        <v>22</v>
      </c>
      <c r="D521" s="1">
        <v>1884</v>
      </c>
      <c r="E521" s="8">
        <v>0</v>
      </c>
      <c r="G521" s="1">
        <v>0</v>
      </c>
      <c r="H521" s="1">
        <v>1</v>
      </c>
      <c r="I521" s="1">
        <v>1.0296E-13</v>
      </c>
      <c r="M521" s="1" t="s">
        <v>677</v>
      </c>
      <c r="N521" s="1" t="s">
        <v>36</v>
      </c>
      <c r="O521" s="1" t="s">
        <v>609</v>
      </c>
      <c r="P521" s="1" t="s">
        <v>37</v>
      </c>
      <c r="Q521" s="1">
        <v>0</v>
      </c>
      <c r="S521" s="1">
        <v>0</v>
      </c>
      <c r="T521" s="1">
        <v>0</v>
      </c>
      <c r="V521" s="1">
        <f t="shared" si="6"/>
        <v>0</v>
      </c>
      <c r="W521" s="1" t="s">
        <v>5</v>
      </c>
      <c r="X521" s="26">
        <v>5.7082452431289701</v>
      </c>
      <c r="Y521" s="1">
        <v>1</v>
      </c>
      <c r="Z521" s="3">
        <v>0</v>
      </c>
      <c r="AA521" s="8">
        <v>0</v>
      </c>
    </row>
    <row r="522" spans="1:27" x14ac:dyDescent="0.2">
      <c r="A522" s="1">
        <v>3</v>
      </c>
      <c r="B522" s="1" t="s">
        <v>23</v>
      </c>
      <c r="C522" s="1" t="s">
        <v>22</v>
      </c>
      <c r="D522" s="1">
        <v>1885</v>
      </c>
      <c r="E522" s="8">
        <v>0</v>
      </c>
      <c r="G522" s="1">
        <v>0</v>
      </c>
      <c r="H522" s="1">
        <v>1</v>
      </c>
      <c r="I522" s="1">
        <v>1.4768000000000001E-13</v>
      </c>
      <c r="M522" s="1" t="s">
        <v>677</v>
      </c>
      <c r="N522" s="1" t="s">
        <v>36</v>
      </c>
      <c r="O522" s="1" t="s">
        <v>609</v>
      </c>
      <c r="P522" s="1" t="s">
        <v>37</v>
      </c>
      <c r="Q522" s="1">
        <v>0</v>
      </c>
      <c r="S522" s="1">
        <v>0</v>
      </c>
      <c r="T522" s="1">
        <v>0</v>
      </c>
      <c r="V522" s="1">
        <f t="shared" si="6"/>
        <v>0</v>
      </c>
      <c r="W522" s="1" t="s">
        <v>5</v>
      </c>
      <c r="X522" s="28">
        <v>26</v>
      </c>
      <c r="Y522" s="1">
        <v>1</v>
      </c>
      <c r="Z522" s="3">
        <v>0</v>
      </c>
      <c r="AA522" s="36">
        <v>1</v>
      </c>
    </row>
    <row r="523" spans="1:27" x14ac:dyDescent="0.2">
      <c r="A523" s="1">
        <v>3</v>
      </c>
      <c r="B523" s="1" t="s">
        <v>23</v>
      </c>
      <c r="C523" s="1" t="s">
        <v>22</v>
      </c>
      <c r="D523" s="1">
        <v>1886</v>
      </c>
      <c r="E523" s="8">
        <v>0</v>
      </c>
      <c r="G523" s="1">
        <v>0</v>
      </c>
      <c r="H523" s="1">
        <v>0</v>
      </c>
      <c r="I523" s="1">
        <v>1.3416000000000001E-13</v>
      </c>
      <c r="M523" s="1" t="s">
        <v>677</v>
      </c>
      <c r="N523" s="1" t="s">
        <v>36</v>
      </c>
      <c r="O523" s="1" t="s">
        <v>609</v>
      </c>
      <c r="P523" s="1" t="s">
        <v>37</v>
      </c>
      <c r="Q523" s="1">
        <v>0</v>
      </c>
      <c r="S523" s="1">
        <v>0</v>
      </c>
      <c r="T523" s="1">
        <v>0</v>
      </c>
      <c r="V523" s="1">
        <f t="shared" si="6"/>
        <v>0</v>
      </c>
      <c r="W523" s="1" t="s">
        <v>5</v>
      </c>
      <c r="X523" s="26">
        <v>-13.015873015873019</v>
      </c>
      <c r="Y523" s="1">
        <v>1</v>
      </c>
      <c r="Z523" s="3">
        <v>0</v>
      </c>
      <c r="AA523" s="8">
        <v>0</v>
      </c>
    </row>
    <row r="524" spans="1:27" ht="12.95" customHeight="1" x14ac:dyDescent="0.2">
      <c r="A524" s="1">
        <v>3</v>
      </c>
      <c r="B524" s="1" t="s">
        <v>23</v>
      </c>
      <c r="C524" s="1" t="s">
        <v>22</v>
      </c>
      <c r="D524" s="1">
        <v>1887</v>
      </c>
      <c r="E524" s="8">
        <v>0</v>
      </c>
      <c r="G524" s="1">
        <v>0</v>
      </c>
      <c r="H524" s="1">
        <v>0</v>
      </c>
      <c r="I524" s="1">
        <v>1.508E-13</v>
      </c>
      <c r="M524" s="1" t="s">
        <v>677</v>
      </c>
      <c r="N524" s="1" t="s">
        <v>36</v>
      </c>
      <c r="O524" s="1" t="s">
        <v>609</v>
      </c>
      <c r="P524" s="1" t="s">
        <v>37</v>
      </c>
      <c r="Q524" s="1">
        <v>0</v>
      </c>
      <c r="S524" s="1">
        <v>0</v>
      </c>
      <c r="T524" s="1">
        <v>0</v>
      </c>
      <c r="V524" s="1">
        <f t="shared" si="6"/>
        <v>0</v>
      </c>
      <c r="W524" s="1" t="s">
        <v>5</v>
      </c>
      <c r="X524" s="26">
        <v>-8.7591240875912355</v>
      </c>
      <c r="Y524" s="1">
        <v>1</v>
      </c>
      <c r="Z524" s="3">
        <v>0</v>
      </c>
      <c r="AA524" s="8">
        <v>0</v>
      </c>
    </row>
    <row r="525" spans="1:27" ht="12.75" customHeight="1" x14ac:dyDescent="0.2">
      <c r="A525" s="1">
        <v>3</v>
      </c>
      <c r="B525" s="1" t="s">
        <v>23</v>
      </c>
      <c r="C525" s="1" t="s">
        <v>22</v>
      </c>
      <c r="D525" s="1">
        <v>1888</v>
      </c>
      <c r="E525" s="8">
        <v>0</v>
      </c>
      <c r="G525" s="1">
        <v>0</v>
      </c>
      <c r="H525" s="1">
        <v>0</v>
      </c>
      <c r="I525" s="1">
        <v>1.4768000000000001E-13</v>
      </c>
      <c r="M525" s="1" t="s">
        <v>677</v>
      </c>
      <c r="N525" s="1" t="s">
        <v>36</v>
      </c>
      <c r="O525" s="1" t="s">
        <v>609</v>
      </c>
      <c r="P525" s="1" t="s">
        <v>37</v>
      </c>
      <c r="Q525" s="1">
        <v>0</v>
      </c>
      <c r="S525" s="1">
        <v>0</v>
      </c>
      <c r="T525" s="1">
        <v>0</v>
      </c>
      <c r="V525" s="1">
        <f t="shared" si="6"/>
        <v>0</v>
      </c>
      <c r="W525" s="1" t="s">
        <v>5</v>
      </c>
      <c r="X525" s="26">
        <v>-15</v>
      </c>
      <c r="Y525" s="1">
        <v>1</v>
      </c>
      <c r="Z525" s="3">
        <v>0</v>
      </c>
      <c r="AA525" s="8">
        <v>0</v>
      </c>
    </row>
    <row r="526" spans="1:27" x14ac:dyDescent="0.2">
      <c r="A526" s="1">
        <v>3</v>
      </c>
      <c r="B526" s="1" t="s">
        <v>23</v>
      </c>
      <c r="C526" s="1" t="s">
        <v>22</v>
      </c>
      <c r="D526" s="1">
        <v>1889</v>
      </c>
      <c r="E526" s="8">
        <v>0</v>
      </c>
      <c r="G526" s="1">
        <v>0</v>
      </c>
      <c r="H526" s="1">
        <v>0</v>
      </c>
      <c r="I526" s="1">
        <v>2.4232000000000002E-13</v>
      </c>
      <c r="M526" s="1" t="s">
        <v>677</v>
      </c>
      <c r="N526" s="1" t="s">
        <v>36</v>
      </c>
      <c r="O526" s="1" t="s">
        <v>609</v>
      </c>
      <c r="P526" s="1" t="s">
        <v>37</v>
      </c>
      <c r="Q526" s="1">
        <v>0</v>
      </c>
      <c r="S526" s="1">
        <v>0</v>
      </c>
      <c r="T526" s="1">
        <v>0</v>
      </c>
      <c r="V526" s="1">
        <f t="shared" si="6"/>
        <v>0</v>
      </c>
      <c r="W526" s="1" t="s">
        <v>5</v>
      </c>
      <c r="X526" s="26">
        <v>14.352941176470591</v>
      </c>
      <c r="Y526" s="1">
        <v>1</v>
      </c>
      <c r="Z526" s="3">
        <v>0</v>
      </c>
      <c r="AA526" s="8">
        <v>0</v>
      </c>
    </row>
    <row r="527" spans="1:27" x14ac:dyDescent="0.2">
      <c r="A527" s="1">
        <v>3</v>
      </c>
      <c r="B527" s="1" t="s">
        <v>23</v>
      </c>
      <c r="C527" s="1" t="s">
        <v>22</v>
      </c>
      <c r="D527" s="1">
        <v>1890</v>
      </c>
      <c r="E527" s="4">
        <v>1</v>
      </c>
      <c r="G527" s="1">
        <v>1</v>
      </c>
      <c r="H527" s="1">
        <v>0</v>
      </c>
      <c r="I527" s="1">
        <v>3.2136000000000001E-13</v>
      </c>
      <c r="M527" s="1" t="s">
        <v>677</v>
      </c>
      <c r="N527" s="1" t="s">
        <v>36</v>
      </c>
      <c r="O527" s="1" t="s">
        <v>609</v>
      </c>
      <c r="P527" s="1" t="s">
        <v>37</v>
      </c>
      <c r="Q527" s="1">
        <v>1</v>
      </c>
      <c r="R527" s="1" t="s">
        <v>485</v>
      </c>
      <c r="S527" s="1">
        <v>1</v>
      </c>
      <c r="T527" s="1">
        <v>1</v>
      </c>
      <c r="U527" s="1" t="s">
        <v>509</v>
      </c>
      <c r="V527" s="1">
        <f t="shared" si="6"/>
        <v>1.06</v>
      </c>
      <c r="W527" s="1" t="s">
        <v>5</v>
      </c>
      <c r="X527" s="33">
        <v>40.946502057613166</v>
      </c>
      <c r="Y527" s="1">
        <v>1</v>
      </c>
      <c r="Z527" s="3">
        <v>0</v>
      </c>
      <c r="AA527" s="36">
        <v>1</v>
      </c>
    </row>
    <row r="528" spans="1:27" x14ac:dyDescent="0.2">
      <c r="A528" s="1">
        <v>3</v>
      </c>
      <c r="B528" s="1" t="s">
        <v>23</v>
      </c>
      <c r="C528" s="1" t="s">
        <v>22</v>
      </c>
      <c r="D528" s="1">
        <v>1891</v>
      </c>
      <c r="E528" s="4">
        <v>1</v>
      </c>
      <c r="G528" s="1">
        <v>1</v>
      </c>
      <c r="H528" s="1">
        <v>0</v>
      </c>
      <c r="I528" s="1">
        <v>3.9E-13</v>
      </c>
      <c r="M528" s="1" t="s">
        <v>677</v>
      </c>
      <c r="N528" s="1" t="s">
        <v>36</v>
      </c>
      <c r="O528" s="1" t="s">
        <v>609</v>
      </c>
      <c r="P528" s="1" t="s">
        <v>37</v>
      </c>
      <c r="Q528" s="1">
        <v>1</v>
      </c>
      <c r="R528" s="1" t="s">
        <v>485</v>
      </c>
      <c r="S528" s="1">
        <v>1</v>
      </c>
      <c r="T528" s="1">
        <v>1</v>
      </c>
      <c r="U528" s="1" t="s">
        <v>509</v>
      </c>
      <c r="V528" s="1">
        <f t="shared" si="6"/>
        <v>1.06</v>
      </c>
      <c r="W528" s="1" t="s">
        <v>5</v>
      </c>
      <c r="X528" s="26">
        <v>10.948905109489052</v>
      </c>
      <c r="Y528" s="1">
        <v>1</v>
      </c>
      <c r="Z528" s="3">
        <v>0</v>
      </c>
      <c r="AA528" s="8">
        <v>0</v>
      </c>
    </row>
    <row r="529" spans="1:27" x14ac:dyDescent="0.2">
      <c r="A529" s="1">
        <v>3</v>
      </c>
      <c r="B529" s="1" t="s">
        <v>23</v>
      </c>
      <c r="C529" s="1" t="s">
        <v>22</v>
      </c>
      <c r="D529" s="1">
        <v>1892</v>
      </c>
      <c r="E529" s="8">
        <v>0</v>
      </c>
      <c r="G529" s="1">
        <v>0</v>
      </c>
      <c r="H529" s="1">
        <v>0</v>
      </c>
      <c r="I529" s="1">
        <v>2.9432E-13</v>
      </c>
      <c r="M529" s="1" t="s">
        <v>677</v>
      </c>
      <c r="N529" s="1" t="s">
        <v>36</v>
      </c>
      <c r="O529" s="1" t="s">
        <v>609</v>
      </c>
      <c r="P529" s="1" t="s">
        <v>37</v>
      </c>
      <c r="Q529" s="1">
        <v>1</v>
      </c>
      <c r="R529" s="1" t="s">
        <v>485</v>
      </c>
      <c r="S529" s="1">
        <v>1</v>
      </c>
      <c r="T529" s="1">
        <v>1</v>
      </c>
      <c r="U529" s="1" t="s">
        <v>509</v>
      </c>
      <c r="V529" s="1">
        <f t="shared" si="6"/>
        <v>1.06</v>
      </c>
      <c r="W529" s="1" t="s">
        <v>5</v>
      </c>
      <c r="X529" s="26">
        <v>-9.8684210526315788</v>
      </c>
      <c r="Y529" s="1">
        <v>1</v>
      </c>
      <c r="Z529" s="3">
        <v>0</v>
      </c>
      <c r="AA529" s="8">
        <v>0</v>
      </c>
    </row>
    <row r="530" spans="1:27" x14ac:dyDescent="0.2">
      <c r="A530" s="1">
        <v>3</v>
      </c>
      <c r="B530" s="1" t="s">
        <v>23</v>
      </c>
      <c r="C530" s="1" t="s">
        <v>22</v>
      </c>
      <c r="D530" s="1">
        <v>1893</v>
      </c>
      <c r="E530" s="8">
        <v>0</v>
      </c>
      <c r="G530" s="1">
        <v>0</v>
      </c>
      <c r="H530" s="1">
        <v>0</v>
      </c>
      <c r="I530" s="1">
        <v>3.3800000000000002E-13</v>
      </c>
      <c r="M530" s="1" t="s">
        <v>677</v>
      </c>
      <c r="N530" s="1" t="s">
        <v>36</v>
      </c>
      <c r="O530" s="1" t="s">
        <v>609</v>
      </c>
      <c r="P530" s="1" t="s">
        <v>37</v>
      </c>
      <c r="Q530" s="1">
        <v>1</v>
      </c>
      <c r="R530" s="1" t="s">
        <v>485</v>
      </c>
      <c r="S530" s="1">
        <v>1</v>
      </c>
      <c r="T530" s="1">
        <v>1</v>
      </c>
      <c r="U530" s="1" t="s">
        <v>509</v>
      </c>
      <c r="V530" s="1">
        <f t="shared" si="6"/>
        <v>1.06</v>
      </c>
      <c r="W530" s="1" t="s">
        <v>5</v>
      </c>
      <c r="X530" s="26">
        <v>-9.051094890510953</v>
      </c>
      <c r="Y530" s="1">
        <v>1</v>
      </c>
      <c r="Z530" s="3">
        <v>0</v>
      </c>
      <c r="AA530" s="8">
        <v>0</v>
      </c>
    </row>
    <row r="531" spans="1:27" x14ac:dyDescent="0.2">
      <c r="A531" s="1">
        <v>3</v>
      </c>
      <c r="B531" s="1" t="s">
        <v>23</v>
      </c>
      <c r="C531" s="1" t="s">
        <v>22</v>
      </c>
      <c r="D531" s="1">
        <v>1894</v>
      </c>
      <c r="E531" s="8">
        <v>0</v>
      </c>
      <c r="G531" s="1">
        <v>0</v>
      </c>
      <c r="H531" s="1">
        <v>0</v>
      </c>
      <c r="I531" s="1">
        <v>3.7647999999999998E-13</v>
      </c>
      <c r="M531" s="1" t="s">
        <v>677</v>
      </c>
      <c r="N531" s="1" t="s">
        <v>36</v>
      </c>
      <c r="O531" s="1" t="s">
        <v>609</v>
      </c>
      <c r="P531" s="1" t="s">
        <v>37</v>
      </c>
      <c r="Q531" s="1">
        <v>0</v>
      </c>
      <c r="S531" s="1">
        <v>0</v>
      </c>
      <c r="T531" s="1">
        <v>0</v>
      </c>
      <c r="V531" s="1">
        <f t="shared" si="6"/>
        <v>0</v>
      </c>
      <c r="W531" s="1" t="s">
        <v>5</v>
      </c>
      <c r="X531" s="26">
        <v>16.532905296950236</v>
      </c>
      <c r="Y531" s="1">
        <v>1</v>
      </c>
      <c r="Z531" s="3">
        <v>0</v>
      </c>
      <c r="AA531" s="8">
        <v>0</v>
      </c>
    </row>
    <row r="532" spans="1:27" x14ac:dyDescent="0.2">
      <c r="A532" s="1">
        <v>3</v>
      </c>
      <c r="B532" s="1" t="s">
        <v>23</v>
      </c>
      <c r="C532" s="1" t="s">
        <v>22</v>
      </c>
      <c r="D532" s="1">
        <v>1895</v>
      </c>
      <c r="E532" s="8">
        <v>0</v>
      </c>
      <c r="G532" s="1">
        <v>0</v>
      </c>
      <c r="H532" s="1">
        <v>0</v>
      </c>
      <c r="I532" s="1">
        <v>3.4424000000000001E-13</v>
      </c>
      <c r="M532" s="1" t="s">
        <v>677</v>
      </c>
      <c r="N532" s="1" t="s">
        <v>36</v>
      </c>
      <c r="O532" s="1" t="s">
        <v>609</v>
      </c>
      <c r="P532" s="1" t="s">
        <v>37</v>
      </c>
      <c r="Q532" s="1">
        <v>0</v>
      </c>
      <c r="S532" s="1">
        <v>0</v>
      </c>
      <c r="T532" s="1">
        <v>0</v>
      </c>
      <c r="V532" s="1">
        <f t="shared" si="6"/>
        <v>0</v>
      </c>
      <c r="W532" s="1" t="s">
        <v>5</v>
      </c>
      <c r="X532" s="26">
        <v>8.5399449035812722</v>
      </c>
      <c r="Y532" s="1">
        <v>1</v>
      </c>
      <c r="Z532" s="3">
        <v>0</v>
      </c>
      <c r="AA532" s="8">
        <v>0</v>
      </c>
    </row>
    <row r="533" spans="1:27" x14ac:dyDescent="0.2">
      <c r="A533" s="1">
        <v>3</v>
      </c>
      <c r="B533" s="1" t="s">
        <v>23</v>
      </c>
      <c r="C533" s="1" t="s">
        <v>22</v>
      </c>
      <c r="D533" s="1">
        <v>1896</v>
      </c>
      <c r="E533" s="8">
        <v>0</v>
      </c>
      <c r="G533" s="1">
        <v>0</v>
      </c>
      <c r="H533" s="1">
        <v>0</v>
      </c>
      <c r="I533" s="1">
        <v>2.9224000000000003E-13</v>
      </c>
      <c r="M533" s="1" t="s">
        <v>677</v>
      </c>
      <c r="N533" s="1" t="s">
        <v>36</v>
      </c>
      <c r="O533" s="1" t="s">
        <v>609</v>
      </c>
      <c r="P533" s="1" t="s">
        <v>37</v>
      </c>
      <c r="Q533" s="1">
        <v>0</v>
      </c>
      <c r="S533" s="1">
        <v>0</v>
      </c>
      <c r="T533" s="1">
        <v>0</v>
      </c>
      <c r="V533" s="1">
        <f t="shared" si="6"/>
        <v>0</v>
      </c>
      <c r="W533" s="1" t="s">
        <v>5</v>
      </c>
      <c r="X533" s="26">
        <v>6.8527918781725967</v>
      </c>
      <c r="Y533" s="1">
        <v>1</v>
      </c>
      <c r="Z533" s="3">
        <v>0</v>
      </c>
      <c r="AA533" s="8">
        <v>0</v>
      </c>
    </row>
    <row r="534" spans="1:27" x14ac:dyDescent="0.2">
      <c r="A534" s="1">
        <v>3</v>
      </c>
      <c r="B534" s="1" t="s">
        <v>23</v>
      </c>
      <c r="C534" s="1" t="s">
        <v>22</v>
      </c>
      <c r="D534" s="1">
        <v>1897</v>
      </c>
      <c r="E534" s="8">
        <v>0</v>
      </c>
      <c r="G534" s="1">
        <v>0</v>
      </c>
      <c r="H534" s="1">
        <v>0</v>
      </c>
      <c r="I534" s="1">
        <v>2.8704000000000001E-13</v>
      </c>
      <c r="M534" s="1" t="s">
        <v>677</v>
      </c>
      <c r="N534" s="1" t="s">
        <v>36</v>
      </c>
      <c r="O534" s="1" t="s">
        <v>609</v>
      </c>
      <c r="P534" s="1" t="s">
        <v>37</v>
      </c>
      <c r="Q534" s="1">
        <v>0</v>
      </c>
      <c r="S534" s="1">
        <v>0</v>
      </c>
      <c r="T534" s="1">
        <v>0</v>
      </c>
      <c r="V534" s="1">
        <f t="shared" si="6"/>
        <v>0</v>
      </c>
      <c r="W534" s="1" t="s">
        <v>5</v>
      </c>
      <c r="X534" s="26">
        <v>-6.4133016627078447</v>
      </c>
      <c r="Y534" s="1">
        <v>1</v>
      </c>
      <c r="Z534" s="3">
        <v>0</v>
      </c>
      <c r="AA534" s="8">
        <v>0</v>
      </c>
    </row>
    <row r="535" spans="1:27" x14ac:dyDescent="0.2">
      <c r="A535" s="1">
        <v>3</v>
      </c>
      <c r="B535" s="1" t="s">
        <v>23</v>
      </c>
      <c r="C535" s="1" t="s">
        <v>22</v>
      </c>
      <c r="D535" s="1">
        <v>1898</v>
      </c>
      <c r="E535" s="8">
        <v>0</v>
      </c>
      <c r="G535" s="1">
        <v>0</v>
      </c>
      <c r="H535" s="1">
        <v>0</v>
      </c>
      <c r="I535" s="1">
        <v>2.2048000000000001E-13</v>
      </c>
      <c r="M535" s="1" t="s">
        <v>677</v>
      </c>
      <c r="N535" s="1" t="s">
        <v>36</v>
      </c>
      <c r="O535" s="1" t="s">
        <v>609</v>
      </c>
      <c r="P535" s="1" t="s">
        <v>37</v>
      </c>
      <c r="Q535" s="1">
        <v>0</v>
      </c>
      <c r="S535" s="1">
        <v>0</v>
      </c>
      <c r="T535" s="1">
        <v>0</v>
      </c>
      <c r="V535" s="1">
        <f t="shared" si="6"/>
        <v>0</v>
      </c>
      <c r="W535" s="1" t="s">
        <v>5</v>
      </c>
      <c r="X535" s="26">
        <v>-10.532994923857865</v>
      </c>
      <c r="Y535" s="1">
        <v>1</v>
      </c>
      <c r="Z535" s="3">
        <v>0</v>
      </c>
      <c r="AA535" s="8">
        <v>0</v>
      </c>
    </row>
    <row r="536" spans="1:27" x14ac:dyDescent="0.2">
      <c r="A536" s="1">
        <v>3</v>
      </c>
      <c r="B536" s="1" t="s">
        <v>23</v>
      </c>
      <c r="C536" s="1" t="s">
        <v>22</v>
      </c>
      <c r="D536" s="1">
        <v>1899</v>
      </c>
      <c r="E536" s="8">
        <v>0</v>
      </c>
      <c r="G536" s="1">
        <v>0</v>
      </c>
      <c r="H536" s="1">
        <v>0</v>
      </c>
      <c r="I536" s="1">
        <v>2.3816000000000002E-13</v>
      </c>
      <c r="M536" s="1" t="s">
        <v>677</v>
      </c>
      <c r="N536" s="1" t="s">
        <v>36</v>
      </c>
      <c r="O536" s="1" t="s">
        <v>609</v>
      </c>
      <c r="P536" s="1" t="s">
        <v>37</v>
      </c>
      <c r="Q536" s="1">
        <v>0</v>
      </c>
      <c r="S536" s="1">
        <v>0</v>
      </c>
      <c r="T536" s="1">
        <v>0</v>
      </c>
      <c r="V536" s="1">
        <f t="shared" si="6"/>
        <v>0</v>
      </c>
      <c r="W536" s="1" t="s">
        <v>5</v>
      </c>
      <c r="X536" s="26">
        <v>-9.645390070921982</v>
      </c>
      <c r="Y536" s="1">
        <v>1</v>
      </c>
      <c r="Z536" s="3">
        <v>0</v>
      </c>
      <c r="AA536" s="8">
        <v>0</v>
      </c>
    </row>
    <row r="537" spans="1:27" x14ac:dyDescent="0.2">
      <c r="A537" s="1">
        <v>3</v>
      </c>
      <c r="B537" s="1" t="s">
        <v>23</v>
      </c>
      <c r="C537" s="1" t="s">
        <v>22</v>
      </c>
      <c r="D537" s="1">
        <v>1900</v>
      </c>
      <c r="E537" s="8">
        <v>0</v>
      </c>
      <c r="G537" s="1">
        <v>0</v>
      </c>
      <c r="H537" s="1">
        <v>1</v>
      </c>
      <c r="I537" s="1">
        <v>2.3919999999999998E-13</v>
      </c>
      <c r="M537" s="1" t="s">
        <v>677</v>
      </c>
      <c r="N537" s="1" t="s">
        <v>36</v>
      </c>
      <c r="O537" s="1" t="s">
        <v>609</v>
      </c>
      <c r="P537" s="1" t="s">
        <v>37</v>
      </c>
      <c r="Q537" s="1">
        <v>0</v>
      </c>
      <c r="S537" s="1">
        <v>0</v>
      </c>
      <c r="T537" s="1">
        <v>0</v>
      </c>
      <c r="V537" s="1">
        <f t="shared" si="6"/>
        <v>0</v>
      </c>
      <c r="W537" s="1" t="s">
        <v>5</v>
      </c>
      <c r="X537" s="26">
        <v>7.5353218210361019</v>
      </c>
      <c r="Y537" s="1">
        <v>1</v>
      </c>
      <c r="Z537" s="3">
        <v>0</v>
      </c>
      <c r="AA537" s="8">
        <v>0</v>
      </c>
    </row>
    <row r="538" spans="1:27" x14ac:dyDescent="0.2">
      <c r="A538" s="1">
        <v>3</v>
      </c>
      <c r="B538" s="1" t="s">
        <v>23</v>
      </c>
      <c r="C538" s="1" t="s">
        <v>22</v>
      </c>
      <c r="D538" s="1">
        <v>1901</v>
      </c>
      <c r="E538" s="8">
        <v>0</v>
      </c>
      <c r="G538" s="1">
        <v>0</v>
      </c>
      <c r="H538" s="1">
        <v>1</v>
      </c>
      <c r="I538" s="1">
        <v>2.4856E-13</v>
      </c>
      <c r="M538" s="1" t="s">
        <v>677</v>
      </c>
      <c r="N538" s="1" t="s">
        <v>36</v>
      </c>
      <c r="O538" s="1" t="s">
        <v>609</v>
      </c>
      <c r="P538" s="1" t="s">
        <v>37</v>
      </c>
      <c r="Q538" s="1">
        <v>0</v>
      </c>
      <c r="S538" s="1">
        <v>0</v>
      </c>
      <c r="T538" s="1">
        <v>0</v>
      </c>
      <c r="V538" s="1">
        <f t="shared" si="6"/>
        <v>0</v>
      </c>
      <c r="W538" s="1" t="s">
        <v>5</v>
      </c>
      <c r="X538" s="26">
        <v>5.985401459854006</v>
      </c>
      <c r="Y538" s="1">
        <v>1</v>
      </c>
      <c r="Z538" s="3">
        <v>0</v>
      </c>
      <c r="AA538" s="8">
        <v>0</v>
      </c>
    </row>
    <row r="539" spans="1:27" x14ac:dyDescent="0.2">
      <c r="A539" s="1">
        <v>3</v>
      </c>
      <c r="B539" s="1" t="s">
        <v>23</v>
      </c>
      <c r="C539" s="1" t="s">
        <v>22</v>
      </c>
      <c r="D539" s="1">
        <v>1902</v>
      </c>
      <c r="E539" s="8">
        <v>0</v>
      </c>
      <c r="G539" s="1">
        <v>0</v>
      </c>
      <c r="H539" s="1">
        <v>1</v>
      </c>
      <c r="I539" s="1">
        <v>2.3607999999999999E-13</v>
      </c>
      <c r="M539" s="1" t="s">
        <v>677</v>
      </c>
      <c r="N539" s="1" t="s">
        <v>36</v>
      </c>
      <c r="O539" s="1" t="s">
        <v>609</v>
      </c>
      <c r="P539" s="1" t="s">
        <v>37</v>
      </c>
      <c r="Q539" s="1">
        <v>0</v>
      </c>
      <c r="S539" s="1">
        <v>0</v>
      </c>
      <c r="T539" s="1">
        <v>0</v>
      </c>
      <c r="V539" s="1">
        <f t="shared" si="6"/>
        <v>0</v>
      </c>
      <c r="W539" s="1" t="s">
        <v>5</v>
      </c>
      <c r="X539" s="26">
        <v>0</v>
      </c>
      <c r="Y539" s="1">
        <v>1</v>
      </c>
      <c r="Z539" s="3">
        <v>0</v>
      </c>
      <c r="AA539" s="8">
        <v>0</v>
      </c>
    </row>
    <row r="540" spans="1:27" x14ac:dyDescent="0.2">
      <c r="A540" s="1">
        <v>3</v>
      </c>
      <c r="B540" s="1" t="s">
        <v>23</v>
      </c>
      <c r="C540" s="1" t="s">
        <v>22</v>
      </c>
      <c r="D540" s="1">
        <v>1903</v>
      </c>
      <c r="E540" s="8">
        <v>0</v>
      </c>
      <c r="G540" s="1">
        <v>0</v>
      </c>
      <c r="H540" s="1">
        <v>1</v>
      </c>
      <c r="I540" s="1">
        <v>2.3636000000000001E-13</v>
      </c>
      <c r="M540" s="1" t="s">
        <v>677</v>
      </c>
      <c r="N540" s="1" t="s">
        <v>36</v>
      </c>
      <c r="O540" s="1" t="s">
        <v>609</v>
      </c>
      <c r="P540" s="1" t="s">
        <v>37</v>
      </c>
      <c r="Q540" s="1">
        <v>0</v>
      </c>
      <c r="S540" s="1">
        <v>0</v>
      </c>
      <c r="T540" s="1">
        <v>0</v>
      </c>
      <c r="V540" s="1">
        <f t="shared" si="6"/>
        <v>0</v>
      </c>
      <c r="W540" s="1" t="s">
        <v>5</v>
      </c>
      <c r="X540" s="26">
        <v>-0.96418732782367589</v>
      </c>
      <c r="Y540" s="1">
        <v>1</v>
      </c>
      <c r="Z540" s="3">
        <v>0</v>
      </c>
      <c r="AA540" s="8">
        <v>0</v>
      </c>
    </row>
    <row r="541" spans="1:27" x14ac:dyDescent="0.2">
      <c r="A541" s="1">
        <v>3</v>
      </c>
      <c r="B541" s="1" t="s">
        <v>23</v>
      </c>
      <c r="C541" s="1" t="s">
        <v>22</v>
      </c>
      <c r="D541" s="1">
        <v>1904</v>
      </c>
      <c r="E541" s="8">
        <v>0</v>
      </c>
      <c r="G541" s="1">
        <v>0</v>
      </c>
      <c r="H541" s="1">
        <v>1</v>
      </c>
      <c r="I541" s="1">
        <v>2.3636000000000001E-13</v>
      </c>
      <c r="M541" s="1" t="s">
        <v>677</v>
      </c>
      <c r="N541" s="1" t="s">
        <v>36</v>
      </c>
      <c r="O541" s="1" t="s">
        <v>609</v>
      </c>
      <c r="P541" s="1" t="s">
        <v>37</v>
      </c>
      <c r="Q541" s="1">
        <v>0</v>
      </c>
      <c r="S541" s="1">
        <v>0</v>
      </c>
      <c r="T541" s="1">
        <v>0</v>
      </c>
      <c r="V541" s="1">
        <f t="shared" si="6"/>
        <v>0</v>
      </c>
      <c r="W541" s="1" t="s">
        <v>5</v>
      </c>
      <c r="X541" s="26">
        <v>-3.7552155771905458</v>
      </c>
      <c r="Y541" s="1">
        <v>1</v>
      </c>
      <c r="Z541" s="3">
        <v>0</v>
      </c>
      <c r="AA541" s="8">
        <v>0</v>
      </c>
    </row>
    <row r="542" spans="1:27" x14ac:dyDescent="0.2">
      <c r="A542" s="1">
        <v>3</v>
      </c>
      <c r="B542" s="1" t="s">
        <v>23</v>
      </c>
      <c r="C542" s="1" t="s">
        <v>22</v>
      </c>
      <c r="D542" s="1">
        <v>1905</v>
      </c>
      <c r="E542" s="8">
        <v>0</v>
      </c>
      <c r="G542" s="1">
        <v>0</v>
      </c>
      <c r="H542" s="1">
        <v>1</v>
      </c>
      <c r="I542" s="1">
        <v>2.3636000000000001E-13</v>
      </c>
      <c r="M542" s="1" t="s">
        <v>677</v>
      </c>
      <c r="N542" s="1" t="s">
        <v>36</v>
      </c>
      <c r="O542" s="1" t="s">
        <v>609</v>
      </c>
      <c r="P542" s="1" t="s">
        <v>37</v>
      </c>
      <c r="Q542" s="1">
        <v>0</v>
      </c>
      <c r="S542" s="1">
        <v>0</v>
      </c>
      <c r="T542" s="1">
        <v>0</v>
      </c>
      <c r="V542" s="1">
        <f t="shared" si="6"/>
        <v>0</v>
      </c>
      <c r="W542" s="1" t="s">
        <v>5</v>
      </c>
      <c r="X542" s="26">
        <v>15.751445086705191</v>
      </c>
      <c r="Y542" s="1">
        <v>1</v>
      </c>
      <c r="Z542" s="3">
        <v>0</v>
      </c>
      <c r="AA542" s="8">
        <v>0</v>
      </c>
    </row>
    <row r="543" spans="1:27" x14ac:dyDescent="0.2">
      <c r="A543" s="1">
        <v>3</v>
      </c>
      <c r="B543" s="1" t="s">
        <v>23</v>
      </c>
      <c r="C543" s="1" t="s">
        <v>22</v>
      </c>
      <c r="D543" s="1">
        <v>1906</v>
      </c>
      <c r="E543" s="8">
        <v>0</v>
      </c>
      <c r="G543" s="1">
        <v>0</v>
      </c>
      <c r="H543" s="1">
        <v>1</v>
      </c>
      <c r="I543" s="1">
        <v>2.3636000000000001E-13</v>
      </c>
      <c r="M543" s="1" t="s">
        <v>677</v>
      </c>
      <c r="N543" s="1" t="s">
        <v>36</v>
      </c>
      <c r="O543" s="1" t="s">
        <v>609</v>
      </c>
      <c r="P543" s="1" t="s">
        <v>37</v>
      </c>
      <c r="Q543" s="1">
        <v>0</v>
      </c>
      <c r="S543" s="1">
        <v>0</v>
      </c>
      <c r="T543" s="1">
        <v>0</v>
      </c>
      <c r="V543" s="1">
        <f t="shared" si="6"/>
        <v>0</v>
      </c>
      <c r="W543" s="1" t="s">
        <v>5</v>
      </c>
      <c r="X543" s="26">
        <v>2.6217228464419584</v>
      </c>
      <c r="Y543" s="1">
        <v>1</v>
      </c>
      <c r="Z543" s="3">
        <v>0</v>
      </c>
      <c r="AA543" s="8">
        <v>0</v>
      </c>
    </row>
    <row r="544" spans="1:27" x14ac:dyDescent="0.2">
      <c r="A544" s="1">
        <v>3</v>
      </c>
      <c r="B544" s="1" t="s">
        <v>23</v>
      </c>
      <c r="C544" s="1" t="s">
        <v>22</v>
      </c>
      <c r="D544" s="1">
        <v>1907</v>
      </c>
      <c r="E544" s="8">
        <v>0</v>
      </c>
      <c r="G544" s="1">
        <v>0</v>
      </c>
      <c r="H544" s="1">
        <v>1</v>
      </c>
      <c r="I544" s="1">
        <v>2.3636000000000001E-13</v>
      </c>
      <c r="M544" s="1" t="s">
        <v>677</v>
      </c>
      <c r="N544" s="1" t="s">
        <v>36</v>
      </c>
      <c r="O544" s="1" t="s">
        <v>609</v>
      </c>
      <c r="P544" s="1" t="s">
        <v>37</v>
      </c>
      <c r="Q544" s="1">
        <v>0</v>
      </c>
      <c r="S544" s="1">
        <v>0</v>
      </c>
      <c r="T544" s="1">
        <v>0</v>
      </c>
      <c r="V544" s="1">
        <f t="shared" si="6"/>
        <v>0</v>
      </c>
      <c r="W544" s="1" t="s">
        <v>5</v>
      </c>
      <c r="X544" s="26">
        <v>6.6909975669099762</v>
      </c>
      <c r="Y544" s="1">
        <v>1</v>
      </c>
      <c r="Z544" s="3">
        <v>0</v>
      </c>
      <c r="AA544" s="8">
        <v>0</v>
      </c>
    </row>
    <row r="545" spans="1:27" x14ac:dyDescent="0.2">
      <c r="A545" s="1">
        <v>3</v>
      </c>
      <c r="B545" s="1" t="s">
        <v>23</v>
      </c>
      <c r="C545" s="1" t="s">
        <v>22</v>
      </c>
      <c r="D545" s="1">
        <v>1908</v>
      </c>
      <c r="E545" s="8">
        <v>0</v>
      </c>
      <c r="G545" s="1">
        <v>0</v>
      </c>
      <c r="H545" s="1">
        <v>1</v>
      </c>
      <c r="I545" s="1">
        <v>2.3636000000000001E-13</v>
      </c>
      <c r="M545" s="1" t="s">
        <v>677</v>
      </c>
      <c r="N545" s="1" t="s">
        <v>36</v>
      </c>
      <c r="O545" s="1" t="s">
        <v>609</v>
      </c>
      <c r="P545" s="1" t="s">
        <v>37</v>
      </c>
      <c r="Q545" s="1">
        <v>0</v>
      </c>
      <c r="S545" s="1">
        <v>0</v>
      </c>
      <c r="T545" s="1">
        <v>0</v>
      </c>
      <c r="V545" s="1">
        <f t="shared" si="6"/>
        <v>0</v>
      </c>
      <c r="W545" s="1" t="s">
        <v>5</v>
      </c>
      <c r="X545" s="26">
        <v>0.79817559863170207</v>
      </c>
      <c r="Y545" s="1">
        <v>1</v>
      </c>
      <c r="Z545" s="3">
        <v>0</v>
      </c>
      <c r="AA545" s="8">
        <v>0</v>
      </c>
    </row>
    <row r="546" spans="1:27" x14ac:dyDescent="0.2">
      <c r="A546" s="1">
        <v>3</v>
      </c>
      <c r="B546" s="1" t="s">
        <v>23</v>
      </c>
      <c r="C546" s="1" t="s">
        <v>22</v>
      </c>
      <c r="D546" s="1">
        <v>1909</v>
      </c>
      <c r="E546" s="8">
        <v>0</v>
      </c>
      <c r="G546" s="1">
        <v>0</v>
      </c>
      <c r="H546" s="1">
        <v>1</v>
      </c>
      <c r="I546" s="1">
        <v>2.3636000000000001E-13</v>
      </c>
      <c r="M546" s="1" t="s">
        <v>677</v>
      </c>
      <c r="N546" s="1" t="s">
        <v>36</v>
      </c>
      <c r="O546" s="1" t="s">
        <v>609</v>
      </c>
      <c r="P546" s="1" t="s">
        <v>37</v>
      </c>
      <c r="Q546" s="1">
        <v>0</v>
      </c>
      <c r="S546" s="1">
        <v>0</v>
      </c>
      <c r="T546" s="1">
        <v>0</v>
      </c>
      <c r="V546" s="1">
        <f t="shared" si="6"/>
        <v>0</v>
      </c>
      <c r="W546" s="1" t="s">
        <v>5</v>
      </c>
      <c r="X546" s="26">
        <v>5.4298642533936619</v>
      </c>
      <c r="Y546" s="1">
        <v>1</v>
      </c>
      <c r="Z546" s="3">
        <v>0</v>
      </c>
      <c r="AA546" s="8">
        <v>0</v>
      </c>
    </row>
    <row r="547" spans="1:27" x14ac:dyDescent="0.2">
      <c r="A547" s="1">
        <v>3</v>
      </c>
      <c r="B547" s="1" t="s">
        <v>23</v>
      </c>
      <c r="C547" s="1" t="s">
        <v>22</v>
      </c>
      <c r="D547" s="1">
        <v>1910</v>
      </c>
      <c r="E547" s="8">
        <v>0</v>
      </c>
      <c r="G547" s="1">
        <v>0</v>
      </c>
      <c r="H547" s="1">
        <v>1</v>
      </c>
      <c r="I547" s="1">
        <v>2.3636000000000001E-13</v>
      </c>
      <c r="M547" s="1" t="s">
        <v>677</v>
      </c>
      <c r="N547" s="1" t="s">
        <v>36</v>
      </c>
      <c r="O547" s="1" t="s">
        <v>609</v>
      </c>
      <c r="P547" s="1" t="s">
        <v>37</v>
      </c>
      <c r="Q547" s="1">
        <v>0</v>
      </c>
      <c r="S547" s="1">
        <v>0</v>
      </c>
      <c r="T547" s="1">
        <v>0</v>
      </c>
      <c r="V547" s="1">
        <f t="shared" si="6"/>
        <v>0</v>
      </c>
      <c r="W547" s="1" t="s">
        <v>5</v>
      </c>
      <c r="X547" s="26">
        <v>-0.75107296137339363</v>
      </c>
      <c r="Y547" s="1">
        <v>1</v>
      </c>
      <c r="Z547" s="3">
        <v>0</v>
      </c>
      <c r="AA547" s="8">
        <v>0</v>
      </c>
    </row>
    <row r="548" spans="1:27" x14ac:dyDescent="0.2">
      <c r="A548" s="1">
        <v>3</v>
      </c>
      <c r="B548" s="1" t="s">
        <v>23</v>
      </c>
      <c r="C548" s="1" t="s">
        <v>22</v>
      </c>
      <c r="D548" s="1">
        <v>1911</v>
      </c>
      <c r="E548" s="8">
        <v>0</v>
      </c>
      <c r="G548" s="1">
        <v>0</v>
      </c>
      <c r="H548" s="1">
        <v>1</v>
      </c>
      <c r="I548" s="1">
        <v>2.3636000000000001E-13</v>
      </c>
      <c r="M548" s="1" t="s">
        <v>677</v>
      </c>
      <c r="N548" s="1" t="s">
        <v>36</v>
      </c>
      <c r="O548" s="1" t="s">
        <v>609</v>
      </c>
      <c r="P548" s="1" t="s">
        <v>37</v>
      </c>
      <c r="Q548" s="1">
        <v>0</v>
      </c>
      <c r="S548" s="1">
        <v>0</v>
      </c>
      <c r="T548" s="1">
        <v>0</v>
      </c>
      <c r="V548" s="1">
        <f t="shared" si="6"/>
        <v>0</v>
      </c>
      <c r="W548" s="1" t="s">
        <v>5</v>
      </c>
      <c r="X548" s="26">
        <v>0.75675675675675991</v>
      </c>
      <c r="Y548" s="1">
        <v>1</v>
      </c>
      <c r="Z548" s="3">
        <v>0</v>
      </c>
      <c r="AA548" s="8">
        <v>0</v>
      </c>
    </row>
    <row r="549" spans="1:27" x14ac:dyDescent="0.2">
      <c r="A549" s="1">
        <v>3</v>
      </c>
      <c r="B549" s="1" t="s">
        <v>23</v>
      </c>
      <c r="C549" s="1" t="s">
        <v>22</v>
      </c>
      <c r="D549" s="1">
        <v>1912</v>
      </c>
      <c r="E549" s="8">
        <v>0</v>
      </c>
      <c r="G549" s="1">
        <v>0</v>
      </c>
      <c r="H549" s="1">
        <v>1</v>
      </c>
      <c r="I549" s="1">
        <v>2.3636000000000001E-13</v>
      </c>
      <c r="M549" s="1" t="s">
        <v>677</v>
      </c>
      <c r="N549" s="1" t="s">
        <v>36</v>
      </c>
      <c r="O549" s="1" t="s">
        <v>609</v>
      </c>
      <c r="P549" s="1" t="s">
        <v>37</v>
      </c>
      <c r="Q549" s="1">
        <v>0</v>
      </c>
      <c r="S549" s="1">
        <v>0</v>
      </c>
      <c r="T549" s="1">
        <v>0</v>
      </c>
      <c r="V549" s="1">
        <f t="shared" si="6"/>
        <v>0</v>
      </c>
      <c r="W549" s="1" t="s">
        <v>5</v>
      </c>
      <c r="X549" s="26">
        <v>3.6480686695278877</v>
      </c>
      <c r="Y549" s="1">
        <v>1</v>
      </c>
      <c r="Z549" s="3">
        <v>0</v>
      </c>
      <c r="AA549" s="8">
        <v>0</v>
      </c>
    </row>
    <row r="550" spans="1:27" x14ac:dyDescent="0.2">
      <c r="A550" s="1">
        <v>3</v>
      </c>
      <c r="B550" s="1" t="s">
        <v>23</v>
      </c>
      <c r="C550" s="1" t="s">
        <v>22</v>
      </c>
      <c r="D550" s="1">
        <v>1913</v>
      </c>
      <c r="E550" s="8">
        <v>0</v>
      </c>
      <c r="G550" s="1">
        <v>0</v>
      </c>
      <c r="H550" s="1">
        <v>1</v>
      </c>
      <c r="I550" s="1">
        <v>2.3718000000000001E-13</v>
      </c>
      <c r="M550" s="1" t="s">
        <v>677</v>
      </c>
      <c r="N550" s="1" t="s">
        <v>36</v>
      </c>
      <c r="O550" s="1" t="s">
        <v>609</v>
      </c>
      <c r="P550" s="1" t="s">
        <v>37</v>
      </c>
      <c r="Q550" s="1">
        <v>0</v>
      </c>
      <c r="S550" s="1">
        <v>0</v>
      </c>
      <c r="T550" s="1">
        <v>0</v>
      </c>
      <c r="V550" s="1">
        <f t="shared" si="6"/>
        <v>0</v>
      </c>
      <c r="W550" s="1" t="s">
        <v>5</v>
      </c>
      <c r="X550" s="26">
        <v>3.5196687370600479</v>
      </c>
      <c r="Y550" s="1">
        <v>1</v>
      </c>
      <c r="Z550" s="3">
        <v>0</v>
      </c>
      <c r="AA550" s="8">
        <v>0</v>
      </c>
    </row>
    <row r="551" spans="1:27" x14ac:dyDescent="0.2">
      <c r="A551" s="1">
        <v>3</v>
      </c>
      <c r="B551" s="1" t="s">
        <v>23</v>
      </c>
      <c r="C551" s="1" t="s">
        <v>22</v>
      </c>
      <c r="D551" s="1">
        <v>1914</v>
      </c>
      <c r="E551" s="4">
        <v>1</v>
      </c>
      <c r="G551" s="1">
        <v>1</v>
      </c>
      <c r="H551" s="1">
        <v>1</v>
      </c>
      <c r="I551" s="1">
        <v>2.3809E-13</v>
      </c>
      <c r="M551" s="1" t="s">
        <v>677</v>
      </c>
      <c r="N551" s="1" t="s">
        <v>36</v>
      </c>
      <c r="O551" s="1" t="s">
        <v>609</v>
      </c>
      <c r="P551" s="1" t="s">
        <v>37</v>
      </c>
      <c r="Q551" s="1">
        <v>0</v>
      </c>
      <c r="S551" s="1">
        <v>0</v>
      </c>
      <c r="T551" s="1">
        <v>0</v>
      </c>
      <c r="V551" s="1">
        <f t="shared" si="6"/>
        <v>0</v>
      </c>
      <c r="W551" s="1" t="s">
        <v>5</v>
      </c>
      <c r="X551" s="26">
        <v>0</v>
      </c>
      <c r="Y551" s="1">
        <v>1</v>
      </c>
      <c r="Z551" s="3">
        <v>0</v>
      </c>
      <c r="AA551" s="8">
        <v>0</v>
      </c>
    </row>
    <row r="552" spans="1:27" ht="12.95" customHeight="1" x14ac:dyDescent="0.2">
      <c r="A552" s="1">
        <v>3</v>
      </c>
      <c r="B552" s="1" t="s">
        <v>23</v>
      </c>
      <c r="C552" s="1" t="s">
        <v>22</v>
      </c>
      <c r="D552" s="1">
        <v>1915</v>
      </c>
      <c r="E552" s="8">
        <v>0</v>
      </c>
      <c r="G552" s="1">
        <v>0</v>
      </c>
      <c r="H552" s="1">
        <v>0</v>
      </c>
      <c r="I552" s="1">
        <v>2.4305000000000001E-13</v>
      </c>
      <c r="M552" s="1" t="s">
        <v>677</v>
      </c>
      <c r="N552" s="1" t="s">
        <v>36</v>
      </c>
      <c r="O552" s="1" t="s">
        <v>609</v>
      </c>
      <c r="P552" s="1" t="s">
        <v>37</v>
      </c>
      <c r="Q552" s="1">
        <v>0</v>
      </c>
      <c r="R552" s="1" t="s">
        <v>486</v>
      </c>
      <c r="S552" s="1">
        <v>0</v>
      </c>
      <c r="T552" s="1">
        <v>0</v>
      </c>
      <c r="V552" s="1">
        <f t="shared" si="6"/>
        <v>0</v>
      </c>
      <c r="W552" s="1" t="s">
        <v>5</v>
      </c>
      <c r="X552" s="26">
        <v>8.0053191489361719</v>
      </c>
      <c r="Y552" s="1">
        <v>1</v>
      </c>
      <c r="Z552" s="3">
        <v>0</v>
      </c>
      <c r="AA552" s="8">
        <v>0</v>
      </c>
    </row>
    <row r="553" spans="1:27" ht="12.75" customHeight="1" x14ac:dyDescent="0.2">
      <c r="A553" s="1">
        <v>3</v>
      </c>
      <c r="B553" s="1" t="s">
        <v>23</v>
      </c>
      <c r="C553" s="1" t="s">
        <v>22</v>
      </c>
      <c r="D553" s="1">
        <v>1916</v>
      </c>
      <c r="E553" s="8">
        <v>0</v>
      </c>
      <c r="G553" s="1">
        <v>0</v>
      </c>
      <c r="H553" s="1">
        <v>0</v>
      </c>
      <c r="I553" s="1">
        <v>1.004965E-13</v>
      </c>
      <c r="M553" s="1" t="s">
        <v>677</v>
      </c>
      <c r="N553" s="1" t="s">
        <v>36</v>
      </c>
      <c r="O553" s="1" t="s">
        <v>609</v>
      </c>
      <c r="P553" s="1" t="s">
        <v>37</v>
      </c>
      <c r="Q553" s="1">
        <v>0</v>
      </c>
      <c r="S553" s="1">
        <v>0</v>
      </c>
      <c r="T553" s="1">
        <v>0</v>
      </c>
      <c r="V553" s="1">
        <f t="shared" si="6"/>
        <v>0</v>
      </c>
      <c r="W553" s="1" t="s">
        <v>5</v>
      </c>
      <c r="X553" s="26">
        <v>6.4760601915184637</v>
      </c>
      <c r="Y553" s="1">
        <v>1</v>
      </c>
      <c r="Z553" s="3">
        <v>0</v>
      </c>
      <c r="AA553" s="8">
        <v>0</v>
      </c>
    </row>
    <row r="554" spans="1:27" x14ac:dyDescent="0.2">
      <c r="A554" s="1">
        <v>3</v>
      </c>
      <c r="B554" s="1" t="s">
        <v>23</v>
      </c>
      <c r="C554" s="1" t="s">
        <v>22</v>
      </c>
      <c r="D554" s="1">
        <v>1917</v>
      </c>
      <c r="E554" s="8">
        <v>0</v>
      </c>
      <c r="G554" s="1">
        <v>0</v>
      </c>
      <c r="H554" s="1">
        <v>0</v>
      </c>
      <c r="I554" s="1">
        <v>9.4156760000000002E-14</v>
      </c>
      <c r="M554" s="1" t="s">
        <v>677</v>
      </c>
      <c r="N554" s="1" t="s">
        <v>36</v>
      </c>
      <c r="O554" s="1" t="s">
        <v>609</v>
      </c>
      <c r="P554" s="1" t="s">
        <v>37</v>
      </c>
      <c r="Q554" s="1">
        <v>0</v>
      </c>
      <c r="S554" s="1">
        <v>0</v>
      </c>
      <c r="T554" s="1">
        <v>0</v>
      </c>
      <c r="V554" s="1">
        <f t="shared" si="6"/>
        <v>0</v>
      </c>
      <c r="W554" s="1" t="s">
        <v>5</v>
      </c>
      <c r="X554" s="26">
        <v>17.860475592882203</v>
      </c>
      <c r="Y554" s="1">
        <v>1</v>
      </c>
      <c r="Z554" s="3">
        <v>0</v>
      </c>
      <c r="AA554" s="8">
        <v>0</v>
      </c>
    </row>
    <row r="555" spans="1:27" x14ac:dyDescent="0.2">
      <c r="A555" s="1">
        <v>3</v>
      </c>
      <c r="B555" s="1" t="s">
        <v>23</v>
      </c>
      <c r="C555" s="1" t="s">
        <v>22</v>
      </c>
      <c r="D555" s="1">
        <v>1918</v>
      </c>
      <c r="E555" s="8">
        <v>0</v>
      </c>
      <c r="G555" s="1">
        <v>0</v>
      </c>
      <c r="H555" s="1">
        <v>0</v>
      </c>
      <c r="I555" s="1">
        <v>9.6615169999999995E-14</v>
      </c>
      <c r="M555" s="1" t="s">
        <v>677</v>
      </c>
      <c r="N555" s="1" t="s">
        <v>36</v>
      </c>
      <c r="O555" s="1" t="s">
        <v>609</v>
      </c>
      <c r="P555" s="1" t="s">
        <v>37</v>
      </c>
      <c r="Q555" s="1">
        <v>0</v>
      </c>
      <c r="S555" s="1">
        <v>0</v>
      </c>
      <c r="T555" s="1">
        <v>0</v>
      </c>
      <c r="V555" s="1">
        <f t="shared" si="6"/>
        <v>0</v>
      </c>
      <c r="W555" s="1" t="s">
        <v>5</v>
      </c>
      <c r="X555" s="28">
        <v>25.694959229058561</v>
      </c>
      <c r="Y555" s="1">
        <v>1</v>
      </c>
      <c r="Z555" s="3">
        <v>0</v>
      </c>
      <c r="AA555" s="36">
        <v>1</v>
      </c>
    </row>
    <row r="556" spans="1:27" x14ac:dyDescent="0.2">
      <c r="A556" s="1">
        <v>3</v>
      </c>
      <c r="B556" s="1" t="s">
        <v>23</v>
      </c>
      <c r="C556" s="1" t="s">
        <v>22</v>
      </c>
      <c r="D556" s="1">
        <v>1919</v>
      </c>
      <c r="E556" s="8">
        <v>0</v>
      </c>
      <c r="G556" s="1">
        <v>0</v>
      </c>
      <c r="H556" s="1">
        <v>0</v>
      </c>
      <c r="I556" s="1">
        <v>1.0219806E-13</v>
      </c>
      <c r="M556" s="1" t="s">
        <v>677</v>
      </c>
      <c r="N556" s="1" t="s">
        <v>36</v>
      </c>
      <c r="O556" s="1" t="s">
        <v>609</v>
      </c>
      <c r="P556" s="1" t="s">
        <v>37</v>
      </c>
      <c r="Q556" s="1">
        <v>0</v>
      </c>
      <c r="S556" s="1">
        <v>0</v>
      </c>
      <c r="T556" s="1">
        <v>0</v>
      </c>
      <c r="V556" s="1">
        <f t="shared" si="6"/>
        <v>0</v>
      </c>
      <c r="W556" s="1" t="s">
        <v>5</v>
      </c>
      <c r="X556" s="26">
        <v>-5.4912023460410531</v>
      </c>
      <c r="Y556" s="1">
        <v>1</v>
      </c>
      <c r="Z556" s="3">
        <v>0</v>
      </c>
      <c r="AA556" s="8">
        <v>0</v>
      </c>
    </row>
    <row r="557" spans="1:27" x14ac:dyDescent="0.2">
      <c r="A557" s="1">
        <v>3</v>
      </c>
      <c r="B557" s="1" t="s">
        <v>23</v>
      </c>
      <c r="C557" s="1" t="s">
        <v>22</v>
      </c>
      <c r="D557" s="1">
        <v>1920</v>
      </c>
      <c r="E557" s="8">
        <v>0</v>
      </c>
      <c r="G557" s="1">
        <v>0</v>
      </c>
      <c r="H557" s="1">
        <v>0</v>
      </c>
      <c r="I557" s="1">
        <v>3.0650000000000001E-13</v>
      </c>
      <c r="M557" s="1" t="s">
        <v>677</v>
      </c>
      <c r="N557" s="1" t="s">
        <v>36</v>
      </c>
      <c r="O557" s="1" t="s">
        <v>609</v>
      </c>
      <c r="P557" s="1" t="s">
        <v>37</v>
      </c>
      <c r="Q557" s="1">
        <v>0</v>
      </c>
      <c r="S557" s="1">
        <v>0</v>
      </c>
      <c r="T557" s="1">
        <v>0</v>
      </c>
      <c r="V557" s="1">
        <f t="shared" si="6"/>
        <v>0</v>
      </c>
      <c r="W557" s="1" t="s">
        <v>5</v>
      </c>
      <c r="X557" s="26">
        <v>16.441212200807691</v>
      </c>
      <c r="Y557" s="1">
        <v>1</v>
      </c>
      <c r="Z557" s="3">
        <v>0</v>
      </c>
      <c r="AA557" s="8">
        <v>0</v>
      </c>
    </row>
    <row r="558" spans="1:27" x14ac:dyDescent="0.2">
      <c r="A558" s="1">
        <v>3</v>
      </c>
      <c r="B558" s="1" t="s">
        <v>23</v>
      </c>
      <c r="C558" s="1" t="s">
        <v>22</v>
      </c>
      <c r="D558" s="1">
        <v>1921</v>
      </c>
      <c r="E558" s="8">
        <v>0</v>
      </c>
      <c r="G558" s="1">
        <v>0</v>
      </c>
      <c r="H558" s="1">
        <v>0</v>
      </c>
      <c r="I558" s="1">
        <v>2.9960000000000001E-13</v>
      </c>
      <c r="M558" s="1" t="s">
        <v>677</v>
      </c>
      <c r="N558" s="1" t="s">
        <v>36</v>
      </c>
      <c r="O558" s="1" t="s">
        <v>609</v>
      </c>
      <c r="P558" s="1" t="s">
        <v>37</v>
      </c>
      <c r="Q558" s="1">
        <v>0</v>
      </c>
      <c r="S558" s="1">
        <v>0</v>
      </c>
      <c r="T558" s="1">
        <v>0</v>
      </c>
      <c r="V558" s="1">
        <f t="shared" si="6"/>
        <v>0</v>
      </c>
      <c r="W558" s="1" t="s">
        <v>5</v>
      </c>
      <c r="X558" s="26">
        <v>-10.787584152661397</v>
      </c>
      <c r="Y558" s="1">
        <v>1</v>
      </c>
      <c r="Z558" s="3">
        <v>0</v>
      </c>
      <c r="AA558" s="8">
        <v>0</v>
      </c>
    </row>
    <row r="559" spans="1:27" ht="12.75" customHeight="1" x14ac:dyDescent="0.2">
      <c r="A559" s="1">
        <v>3</v>
      </c>
      <c r="B559" s="1" t="s">
        <v>23</v>
      </c>
      <c r="C559" s="1" t="s">
        <v>22</v>
      </c>
      <c r="D559" s="1">
        <v>1922</v>
      </c>
      <c r="E559" s="8">
        <v>0</v>
      </c>
      <c r="G559" s="1">
        <v>0</v>
      </c>
      <c r="H559" s="1">
        <v>0</v>
      </c>
      <c r="I559" s="1">
        <v>2.6529999999999999E-13</v>
      </c>
      <c r="M559" s="1" t="s">
        <v>677</v>
      </c>
      <c r="N559" s="1" t="s">
        <v>36</v>
      </c>
      <c r="O559" s="1" t="s">
        <v>609</v>
      </c>
      <c r="P559" s="1" t="s">
        <v>37</v>
      </c>
      <c r="Q559" s="1">
        <v>0</v>
      </c>
      <c r="S559" s="1">
        <v>0</v>
      </c>
      <c r="T559" s="1">
        <v>0</v>
      </c>
      <c r="V559" s="1">
        <f t="shared" si="6"/>
        <v>0</v>
      </c>
      <c r="W559" s="1" t="s">
        <v>5</v>
      </c>
      <c r="X559" s="26">
        <v>-16.040348101265828</v>
      </c>
      <c r="Y559" s="1">
        <v>1</v>
      </c>
      <c r="Z559" s="3">
        <v>0</v>
      </c>
      <c r="AA559" s="8">
        <v>0</v>
      </c>
    </row>
    <row r="560" spans="1:27" x14ac:dyDescent="0.2">
      <c r="A560" s="1">
        <v>3</v>
      </c>
      <c r="B560" s="1" t="s">
        <v>23</v>
      </c>
      <c r="C560" s="1" t="s">
        <v>22</v>
      </c>
      <c r="D560" s="1">
        <v>1923</v>
      </c>
      <c r="E560" s="8">
        <v>0</v>
      </c>
      <c r="G560" s="1">
        <v>0</v>
      </c>
      <c r="H560" s="1">
        <v>0</v>
      </c>
      <c r="I560" s="1">
        <v>3.1370000000000002E-13</v>
      </c>
      <c r="M560" s="1" t="s">
        <v>677</v>
      </c>
      <c r="N560" s="1" t="s">
        <v>36</v>
      </c>
      <c r="O560" s="1" t="s">
        <v>609</v>
      </c>
      <c r="P560" s="1" t="s">
        <v>37</v>
      </c>
      <c r="Q560" s="1">
        <v>0</v>
      </c>
      <c r="S560" s="1">
        <v>0</v>
      </c>
      <c r="T560" s="1">
        <v>0</v>
      </c>
      <c r="V560" s="1">
        <f t="shared" si="6"/>
        <v>0</v>
      </c>
      <c r="W560" s="1" t="s">
        <v>5</v>
      </c>
      <c r="X560" s="26">
        <v>-1.719114219114227</v>
      </c>
      <c r="Y560" s="1">
        <v>1</v>
      </c>
      <c r="Z560" s="3">
        <v>0</v>
      </c>
      <c r="AA560" s="8">
        <v>0</v>
      </c>
    </row>
    <row r="561" spans="1:27" x14ac:dyDescent="0.2">
      <c r="A561" s="1">
        <v>3</v>
      </c>
      <c r="B561" s="1" t="s">
        <v>23</v>
      </c>
      <c r="C561" s="1" t="s">
        <v>22</v>
      </c>
      <c r="D561" s="1">
        <v>1924</v>
      </c>
      <c r="E561" s="8">
        <v>0</v>
      </c>
      <c r="G561" s="1">
        <v>0</v>
      </c>
      <c r="H561" s="1">
        <v>0</v>
      </c>
      <c r="I561" s="1">
        <v>2.4999999999999999E-13</v>
      </c>
      <c r="M561" s="1" t="s">
        <v>677</v>
      </c>
      <c r="N561" s="1" t="s">
        <v>36</v>
      </c>
      <c r="O561" s="1" t="s">
        <v>609</v>
      </c>
      <c r="P561" s="1" t="s">
        <v>37</v>
      </c>
      <c r="Q561" s="1">
        <v>0</v>
      </c>
      <c r="S561" s="1">
        <v>0</v>
      </c>
      <c r="T561" s="1">
        <v>0</v>
      </c>
      <c r="V561" s="1">
        <f t="shared" si="6"/>
        <v>0</v>
      </c>
      <c r="W561" s="1" t="s">
        <v>5</v>
      </c>
      <c r="X561" s="26">
        <v>1.7496229260935228</v>
      </c>
      <c r="Y561" s="1">
        <v>1</v>
      </c>
      <c r="Z561" s="3">
        <v>0</v>
      </c>
      <c r="AA561" s="8">
        <v>0</v>
      </c>
    </row>
    <row r="562" spans="1:27" x14ac:dyDescent="0.2">
      <c r="A562" s="1">
        <v>3</v>
      </c>
      <c r="B562" s="1" t="s">
        <v>23</v>
      </c>
      <c r="C562" s="1" t="s">
        <v>22</v>
      </c>
      <c r="D562" s="1">
        <v>1925</v>
      </c>
      <c r="E562" s="8">
        <v>0</v>
      </c>
      <c r="G562" s="1">
        <v>0</v>
      </c>
      <c r="H562" s="1">
        <v>0</v>
      </c>
      <c r="I562" s="1">
        <v>2.4179999999999999E-13</v>
      </c>
      <c r="M562" s="1" t="s">
        <v>677</v>
      </c>
      <c r="N562" s="1" t="s">
        <v>36</v>
      </c>
      <c r="O562" s="1" t="s">
        <v>609</v>
      </c>
      <c r="P562" s="1" t="s">
        <v>37</v>
      </c>
      <c r="Q562" s="1">
        <v>0</v>
      </c>
      <c r="S562" s="1">
        <v>0</v>
      </c>
      <c r="T562" s="1">
        <v>0</v>
      </c>
      <c r="V562" s="1">
        <f t="shared" si="6"/>
        <v>0</v>
      </c>
      <c r="W562" s="1" t="s">
        <v>5</v>
      </c>
      <c r="X562" s="26">
        <v>-2.9752654752654708</v>
      </c>
      <c r="Y562" s="1">
        <v>1</v>
      </c>
      <c r="Z562" s="3">
        <v>0</v>
      </c>
      <c r="AA562" s="8">
        <v>0</v>
      </c>
    </row>
    <row r="563" spans="1:27" x14ac:dyDescent="0.2">
      <c r="A563" s="1">
        <v>3</v>
      </c>
      <c r="B563" s="1" t="s">
        <v>23</v>
      </c>
      <c r="C563" s="1" t="s">
        <v>22</v>
      </c>
      <c r="D563" s="1">
        <v>1926</v>
      </c>
      <c r="E563" s="8">
        <v>0</v>
      </c>
      <c r="G563" s="1">
        <v>0</v>
      </c>
      <c r="H563" s="1">
        <v>0</v>
      </c>
      <c r="I563" s="1">
        <v>2.4179999999999999E-13</v>
      </c>
      <c r="M563" s="1" t="s">
        <v>677</v>
      </c>
      <c r="N563" s="1" t="s">
        <v>36</v>
      </c>
      <c r="O563" s="1" t="s">
        <v>609</v>
      </c>
      <c r="P563" s="1" t="s">
        <v>37</v>
      </c>
      <c r="Q563" s="1">
        <v>0</v>
      </c>
      <c r="S563" s="1">
        <v>0</v>
      </c>
      <c r="T563" s="1">
        <v>0</v>
      </c>
      <c r="V563" s="1">
        <f t="shared" si="6"/>
        <v>0</v>
      </c>
      <c r="W563" s="1" t="s">
        <v>5</v>
      </c>
      <c r="X563" s="26">
        <v>-3.0665352164343487</v>
      </c>
      <c r="Y563" s="1">
        <v>1</v>
      </c>
      <c r="Z563" s="3">
        <v>0</v>
      </c>
      <c r="AA563" s="8">
        <v>0</v>
      </c>
    </row>
    <row r="564" spans="1:27" ht="12.75" customHeight="1" x14ac:dyDescent="0.2">
      <c r="A564" s="1">
        <v>3</v>
      </c>
      <c r="B564" s="1" t="s">
        <v>23</v>
      </c>
      <c r="C564" s="1" t="s">
        <v>22</v>
      </c>
      <c r="D564" s="1">
        <v>1927</v>
      </c>
      <c r="E564" s="8">
        <v>0</v>
      </c>
      <c r="G564" s="1">
        <v>0</v>
      </c>
      <c r="H564" s="1">
        <v>1</v>
      </c>
      <c r="I564" s="1">
        <v>2.3400000000000001E-13</v>
      </c>
      <c r="M564" s="1" t="s">
        <v>677</v>
      </c>
      <c r="N564" s="1" t="s">
        <v>36</v>
      </c>
      <c r="O564" s="1" t="s">
        <v>609</v>
      </c>
      <c r="P564" s="1" t="s">
        <v>37</v>
      </c>
      <c r="Q564" s="1">
        <v>0</v>
      </c>
      <c r="S564" s="1">
        <v>0</v>
      </c>
      <c r="T564" s="1">
        <v>0</v>
      </c>
      <c r="V564" s="1">
        <f t="shared" si="6"/>
        <v>0</v>
      </c>
      <c r="W564" s="1" t="s">
        <v>5</v>
      </c>
      <c r="X564" s="26">
        <v>-0.52950075642964356</v>
      </c>
      <c r="Y564" s="1">
        <v>1</v>
      </c>
      <c r="Z564" s="3">
        <v>0</v>
      </c>
      <c r="AA564" s="8">
        <v>0</v>
      </c>
    </row>
    <row r="565" spans="1:27" ht="12.95" customHeight="1" x14ac:dyDescent="0.2">
      <c r="A565" s="1">
        <v>3</v>
      </c>
      <c r="B565" s="1" t="s">
        <v>23</v>
      </c>
      <c r="C565" s="1" t="s">
        <v>22</v>
      </c>
      <c r="D565" s="1">
        <v>1928</v>
      </c>
      <c r="E565" s="8">
        <v>0</v>
      </c>
      <c r="G565" s="1">
        <v>0</v>
      </c>
      <c r="H565" s="1">
        <v>1</v>
      </c>
      <c r="I565" s="1">
        <v>2.375E-13</v>
      </c>
      <c r="M565" s="1" t="s">
        <v>677</v>
      </c>
      <c r="N565" s="1" t="s">
        <v>36</v>
      </c>
      <c r="O565" s="1" t="s">
        <v>609</v>
      </c>
      <c r="P565" s="1" t="s">
        <v>37</v>
      </c>
      <c r="Q565" s="1">
        <v>0</v>
      </c>
      <c r="S565" s="1">
        <v>0</v>
      </c>
      <c r="T565" s="1">
        <v>0</v>
      </c>
      <c r="V565" s="1">
        <f t="shared" ref="V565:V628" si="7">1.06*S565</f>
        <v>0</v>
      </c>
      <c r="W565" s="1" t="s">
        <v>5</v>
      </c>
      <c r="X565" s="26">
        <v>-5.9127453881819152</v>
      </c>
      <c r="Y565" s="1">
        <v>1</v>
      </c>
      <c r="Z565" s="3">
        <v>0</v>
      </c>
      <c r="AA565" s="8">
        <v>0</v>
      </c>
    </row>
    <row r="566" spans="1:27" ht="12.75" customHeight="1" x14ac:dyDescent="0.2">
      <c r="A566" s="1">
        <v>3</v>
      </c>
      <c r="B566" s="1" t="s">
        <v>23</v>
      </c>
      <c r="C566" s="1" t="s">
        <v>22</v>
      </c>
      <c r="D566" s="1">
        <v>1929</v>
      </c>
      <c r="E566" s="8">
        <v>0</v>
      </c>
      <c r="G566" s="1">
        <v>0</v>
      </c>
      <c r="H566" s="1">
        <v>1</v>
      </c>
      <c r="I566" s="1">
        <v>2.4279999999999999E-13</v>
      </c>
      <c r="M566" s="1" t="s">
        <v>677</v>
      </c>
      <c r="N566" s="1" t="s">
        <v>36</v>
      </c>
      <c r="O566" s="1" t="s">
        <v>609</v>
      </c>
      <c r="P566" s="1" t="s">
        <v>37</v>
      </c>
      <c r="Q566" s="1">
        <v>0</v>
      </c>
      <c r="S566" s="1">
        <v>0</v>
      </c>
      <c r="T566" s="1">
        <v>0</v>
      </c>
      <c r="V566" s="1">
        <f t="shared" si="7"/>
        <v>0</v>
      </c>
      <c r="W566" s="1" t="s">
        <v>5</v>
      </c>
      <c r="X566" s="26">
        <v>6.6326601914611212</v>
      </c>
      <c r="Y566" s="1">
        <v>1</v>
      </c>
      <c r="Z566" s="3">
        <v>0</v>
      </c>
      <c r="AA566" s="8">
        <v>0</v>
      </c>
    </row>
    <row r="567" spans="1:27" x14ac:dyDescent="0.2">
      <c r="A567" s="1">
        <v>3</v>
      </c>
      <c r="B567" s="1" t="s">
        <v>23</v>
      </c>
      <c r="C567" s="1" t="s">
        <v>22</v>
      </c>
      <c r="D567" s="1">
        <v>1930</v>
      </c>
      <c r="E567" s="8">
        <v>0</v>
      </c>
      <c r="G567" s="1">
        <v>0</v>
      </c>
      <c r="H567" s="1">
        <v>0</v>
      </c>
      <c r="I567" s="1">
        <v>3.182E-13</v>
      </c>
      <c r="M567" s="1" t="s">
        <v>677</v>
      </c>
      <c r="N567" s="1" t="s">
        <v>36</v>
      </c>
      <c r="O567" s="1" t="s">
        <v>609</v>
      </c>
      <c r="P567" s="1" t="s">
        <v>37</v>
      </c>
      <c r="Q567" s="1">
        <v>0</v>
      </c>
      <c r="R567" s="1" t="s">
        <v>487</v>
      </c>
      <c r="S567" s="1">
        <v>0</v>
      </c>
      <c r="T567" s="1">
        <v>0</v>
      </c>
      <c r="V567" s="1">
        <f t="shared" si="7"/>
        <v>0</v>
      </c>
      <c r="W567" s="1" t="s">
        <v>5</v>
      </c>
      <c r="X567" s="26">
        <v>1.3416198086218736</v>
      </c>
      <c r="Y567" s="1">
        <v>1</v>
      </c>
      <c r="Z567" s="3">
        <v>0</v>
      </c>
      <c r="AA567" s="8">
        <v>0</v>
      </c>
    </row>
    <row r="568" spans="1:27" x14ac:dyDescent="0.2">
      <c r="A568" s="1">
        <v>3</v>
      </c>
      <c r="B568" s="1" t="s">
        <v>23</v>
      </c>
      <c r="C568" s="1" t="s">
        <v>22</v>
      </c>
      <c r="D568" s="1">
        <v>1931</v>
      </c>
      <c r="E568" s="4">
        <v>1</v>
      </c>
      <c r="G568" s="1">
        <v>1</v>
      </c>
      <c r="H568" s="1">
        <v>0</v>
      </c>
      <c r="I568" s="1">
        <v>3.8909999999999998E-13</v>
      </c>
      <c r="M568" s="1" t="s">
        <v>677</v>
      </c>
      <c r="N568" s="1" t="s">
        <v>36</v>
      </c>
      <c r="O568" s="1" t="s">
        <v>609</v>
      </c>
      <c r="P568" s="1" t="s">
        <v>37</v>
      </c>
      <c r="Q568" s="1">
        <v>0</v>
      </c>
      <c r="S568" s="1">
        <v>0</v>
      </c>
      <c r="T568" s="1">
        <v>0</v>
      </c>
      <c r="V568" s="1">
        <f t="shared" si="7"/>
        <v>0</v>
      </c>
      <c r="W568" s="1" t="s">
        <v>5</v>
      </c>
      <c r="X568" s="26">
        <v>-13.87508104603414</v>
      </c>
      <c r="Y568" s="1">
        <v>1</v>
      </c>
      <c r="Z568" s="3">
        <v>0</v>
      </c>
      <c r="AA568" s="8">
        <v>0</v>
      </c>
    </row>
    <row r="569" spans="1:27" x14ac:dyDescent="0.2">
      <c r="A569" s="1">
        <v>3</v>
      </c>
      <c r="B569" s="1" t="s">
        <v>23</v>
      </c>
      <c r="C569" s="1" t="s">
        <v>22</v>
      </c>
      <c r="D569" s="1">
        <v>1932</v>
      </c>
      <c r="E569" s="8">
        <v>0</v>
      </c>
      <c r="G569" s="1">
        <v>0</v>
      </c>
      <c r="H569" s="1">
        <v>0</v>
      </c>
      <c r="I569" s="1">
        <v>3.8930000000000002E-13</v>
      </c>
      <c r="M569" s="1" t="s">
        <v>677</v>
      </c>
      <c r="N569" s="1" t="s">
        <v>36</v>
      </c>
      <c r="O569" s="1" t="s">
        <v>609</v>
      </c>
      <c r="P569" s="1" t="s">
        <v>37</v>
      </c>
      <c r="Q569" s="1">
        <v>0</v>
      </c>
      <c r="S569" s="1">
        <v>0</v>
      </c>
      <c r="T569" s="1">
        <v>0</v>
      </c>
      <c r="V569" s="1">
        <f t="shared" si="7"/>
        <v>0</v>
      </c>
      <c r="W569" s="1" t="s">
        <v>5</v>
      </c>
      <c r="X569" s="26">
        <v>-10.931429681429691</v>
      </c>
      <c r="Y569" s="1">
        <v>1</v>
      </c>
      <c r="Z569" s="3">
        <v>0</v>
      </c>
      <c r="AA569" s="8">
        <v>0</v>
      </c>
    </row>
    <row r="570" spans="1:27" x14ac:dyDescent="0.2">
      <c r="A570" s="1">
        <v>3</v>
      </c>
      <c r="B570" s="1" t="s">
        <v>23</v>
      </c>
      <c r="C570" s="1" t="s">
        <v>22</v>
      </c>
      <c r="D570" s="1">
        <v>1933</v>
      </c>
      <c r="E570" s="8">
        <v>0</v>
      </c>
      <c r="G570" s="1">
        <v>0</v>
      </c>
      <c r="H570" s="1">
        <v>0</v>
      </c>
      <c r="I570" s="1">
        <v>2.9899999999999999E-13</v>
      </c>
      <c r="M570" s="1" t="s">
        <v>677</v>
      </c>
      <c r="N570" s="1" t="s">
        <v>36</v>
      </c>
      <c r="O570" s="1" t="s">
        <v>609</v>
      </c>
      <c r="P570" s="1" t="s">
        <v>37</v>
      </c>
      <c r="Q570" s="1">
        <v>0</v>
      </c>
      <c r="S570" s="1">
        <v>0</v>
      </c>
      <c r="T570" s="1">
        <v>0</v>
      </c>
      <c r="V570" s="1">
        <f t="shared" si="7"/>
        <v>0</v>
      </c>
      <c r="W570" s="1" t="s">
        <v>5</v>
      </c>
      <c r="X570" s="26">
        <v>9.491307541625865</v>
      </c>
      <c r="Y570" s="1">
        <v>1</v>
      </c>
      <c r="Z570" s="3">
        <v>0</v>
      </c>
      <c r="AA570" s="8">
        <v>0</v>
      </c>
    </row>
    <row r="571" spans="1:27" x14ac:dyDescent="0.2">
      <c r="A571" s="1">
        <v>3</v>
      </c>
      <c r="B571" s="1" t="s">
        <v>23</v>
      </c>
      <c r="C571" s="1" t="s">
        <v>22</v>
      </c>
      <c r="D571" s="1">
        <v>1934</v>
      </c>
      <c r="E571" s="4">
        <v>1</v>
      </c>
      <c r="G571" s="1">
        <v>1</v>
      </c>
      <c r="H571" s="1">
        <v>0</v>
      </c>
      <c r="I571" s="1">
        <v>3.0409999999999999E-13</v>
      </c>
      <c r="M571" s="1" t="s">
        <v>677</v>
      </c>
      <c r="N571" s="1" t="s">
        <v>36</v>
      </c>
      <c r="O571" s="1" t="s">
        <v>609</v>
      </c>
      <c r="P571" s="1" t="s">
        <v>37</v>
      </c>
      <c r="Q571" s="1">
        <v>0</v>
      </c>
      <c r="S571" s="1">
        <v>0</v>
      </c>
      <c r="T571" s="1">
        <v>0</v>
      </c>
      <c r="V571" s="1">
        <f t="shared" si="7"/>
        <v>0</v>
      </c>
      <c r="W571" s="1" t="s">
        <v>5</v>
      </c>
      <c r="X571" s="26">
        <v>-7.608047563073888</v>
      </c>
      <c r="Y571" s="1">
        <v>1</v>
      </c>
      <c r="Z571" s="3">
        <v>0</v>
      </c>
      <c r="AA571" s="8">
        <v>0</v>
      </c>
    </row>
    <row r="572" spans="1:27" x14ac:dyDescent="0.2">
      <c r="A572" s="1">
        <v>3</v>
      </c>
      <c r="B572" s="1" t="s">
        <v>23</v>
      </c>
      <c r="C572" s="1" t="s">
        <v>22</v>
      </c>
      <c r="D572" s="1">
        <v>1935</v>
      </c>
      <c r="E572" s="8">
        <v>0</v>
      </c>
      <c r="G572" s="1">
        <v>0</v>
      </c>
      <c r="H572" s="1">
        <v>0</v>
      </c>
      <c r="I572" s="1">
        <v>3.0459999999999998E-13</v>
      </c>
      <c r="M572" s="1" t="s">
        <v>677</v>
      </c>
      <c r="N572" s="1" t="s">
        <v>36</v>
      </c>
      <c r="O572" s="1" t="s">
        <v>609</v>
      </c>
      <c r="P572" s="1" t="s">
        <v>37</v>
      </c>
      <c r="Q572" s="1">
        <v>0</v>
      </c>
      <c r="S572" s="1">
        <v>0</v>
      </c>
      <c r="T572" s="1">
        <v>0</v>
      </c>
      <c r="V572" s="1">
        <f t="shared" si="7"/>
        <v>0</v>
      </c>
      <c r="W572" s="1" t="s">
        <v>5</v>
      </c>
      <c r="X572" s="26">
        <v>10.472925703092214</v>
      </c>
      <c r="Y572" s="1">
        <v>1</v>
      </c>
      <c r="Z572" s="3">
        <v>0</v>
      </c>
      <c r="AA572" s="8">
        <v>0</v>
      </c>
    </row>
    <row r="573" spans="1:27" x14ac:dyDescent="0.2">
      <c r="A573" s="1">
        <v>3</v>
      </c>
      <c r="B573" s="1" t="s">
        <v>23</v>
      </c>
      <c r="C573" s="1" t="s">
        <v>22</v>
      </c>
      <c r="D573" s="1">
        <v>1936</v>
      </c>
      <c r="E573" s="8">
        <v>0</v>
      </c>
      <c r="G573" s="1">
        <v>0</v>
      </c>
      <c r="H573" s="1">
        <v>0</v>
      </c>
      <c r="I573" s="1">
        <v>3.0550000000000001E-13</v>
      </c>
      <c r="M573" s="1" t="s">
        <v>677</v>
      </c>
      <c r="N573" s="1" t="s">
        <v>36</v>
      </c>
      <c r="O573" s="1" t="s">
        <v>609</v>
      </c>
      <c r="P573" s="1" t="s">
        <v>37</v>
      </c>
      <c r="Q573" s="1">
        <v>0</v>
      </c>
      <c r="S573" s="1">
        <v>0</v>
      </c>
      <c r="T573" s="1">
        <v>0</v>
      </c>
      <c r="V573" s="1">
        <f t="shared" si="7"/>
        <v>0</v>
      </c>
      <c r="W573" s="1" t="s">
        <v>5</v>
      </c>
      <c r="X573" s="26">
        <v>4.7291092745638181</v>
      </c>
      <c r="Y573" s="1">
        <v>1</v>
      </c>
      <c r="Z573" s="3">
        <v>0</v>
      </c>
      <c r="AA573" s="8">
        <v>0</v>
      </c>
    </row>
    <row r="574" spans="1:27" x14ac:dyDescent="0.2">
      <c r="A574" s="1">
        <v>3</v>
      </c>
      <c r="B574" s="1" t="s">
        <v>23</v>
      </c>
      <c r="C574" s="1" t="s">
        <v>22</v>
      </c>
      <c r="D574" s="1">
        <v>1937</v>
      </c>
      <c r="E574" s="8">
        <v>0</v>
      </c>
      <c r="G574" s="1">
        <v>0</v>
      </c>
      <c r="H574" s="1">
        <v>0</v>
      </c>
      <c r="I574" s="1">
        <v>3.0020000000000002E-13</v>
      </c>
      <c r="M574" s="1" t="s">
        <v>677</v>
      </c>
      <c r="N574" s="1" t="s">
        <v>36</v>
      </c>
      <c r="O574" s="1" t="s">
        <v>609</v>
      </c>
      <c r="P574" s="1" t="s">
        <v>37</v>
      </c>
      <c r="Q574" s="1">
        <v>0</v>
      </c>
      <c r="S574" s="1">
        <v>0</v>
      </c>
      <c r="T574" s="1">
        <v>0</v>
      </c>
      <c r="V574" s="1">
        <f t="shared" si="7"/>
        <v>0</v>
      </c>
      <c r="W574" s="1" t="s">
        <v>5</v>
      </c>
      <c r="X574" s="26">
        <v>2.0254074784276161</v>
      </c>
      <c r="Y574" s="1">
        <v>1</v>
      </c>
      <c r="Z574" s="3">
        <v>0</v>
      </c>
      <c r="AA574" s="8">
        <v>0</v>
      </c>
    </row>
    <row r="575" spans="1:27" x14ac:dyDescent="0.2">
      <c r="A575" s="1">
        <v>3</v>
      </c>
      <c r="B575" s="1" t="s">
        <v>23</v>
      </c>
      <c r="C575" s="1" t="s">
        <v>22</v>
      </c>
      <c r="D575" s="1">
        <v>1938</v>
      </c>
      <c r="E575" s="8">
        <v>0</v>
      </c>
      <c r="G575" s="1">
        <v>0</v>
      </c>
      <c r="H575" s="1">
        <v>0</v>
      </c>
      <c r="I575" s="1">
        <v>3.2310000000000001E-13</v>
      </c>
      <c r="M575" s="1" t="s">
        <v>677</v>
      </c>
      <c r="N575" s="1" t="s">
        <v>36</v>
      </c>
      <c r="O575" s="1" t="s">
        <v>609</v>
      </c>
      <c r="P575" s="1" t="s">
        <v>37</v>
      </c>
      <c r="Q575" s="1">
        <v>0</v>
      </c>
      <c r="S575" s="1">
        <v>0</v>
      </c>
      <c r="T575" s="1">
        <v>0</v>
      </c>
      <c r="V575" s="1">
        <f t="shared" si="7"/>
        <v>0</v>
      </c>
      <c r="W575" s="1" t="s">
        <v>5</v>
      </c>
      <c r="X575" s="26">
        <v>-0.57424118129614665</v>
      </c>
      <c r="Y575" s="1">
        <v>1</v>
      </c>
      <c r="Z575" s="3">
        <v>0</v>
      </c>
      <c r="AA575" s="8">
        <v>0</v>
      </c>
    </row>
    <row r="576" spans="1:27" x14ac:dyDescent="0.2">
      <c r="A576" s="1">
        <v>3</v>
      </c>
      <c r="B576" s="1" t="s">
        <v>23</v>
      </c>
      <c r="C576" s="1" t="s">
        <v>22</v>
      </c>
      <c r="D576" s="1">
        <v>1939</v>
      </c>
      <c r="E576" s="8">
        <v>0</v>
      </c>
      <c r="G576" s="1">
        <v>0</v>
      </c>
      <c r="H576" s="1">
        <v>0</v>
      </c>
      <c r="I576" s="1">
        <v>3.8213000000000001E-13</v>
      </c>
      <c r="M576" s="1" t="s">
        <v>677</v>
      </c>
      <c r="N576" s="1" t="s">
        <v>36</v>
      </c>
      <c r="O576" s="1" t="s">
        <v>609</v>
      </c>
      <c r="P576" s="1" t="s">
        <v>37</v>
      </c>
      <c r="Q576" s="1">
        <v>0</v>
      </c>
      <c r="S576" s="1">
        <v>0</v>
      </c>
      <c r="T576" s="1">
        <v>0</v>
      </c>
      <c r="V576" s="1">
        <f t="shared" si="7"/>
        <v>0</v>
      </c>
      <c r="W576" s="1">
        <v>0</v>
      </c>
      <c r="X576" s="26">
        <v>1.4581058455266769</v>
      </c>
      <c r="Y576" s="1">
        <v>1</v>
      </c>
      <c r="Z576" s="3">
        <v>0</v>
      </c>
      <c r="AA576" s="8">
        <v>0</v>
      </c>
    </row>
    <row r="577" spans="1:27" x14ac:dyDescent="0.2">
      <c r="A577" s="1">
        <v>3</v>
      </c>
      <c r="B577" s="1" t="s">
        <v>23</v>
      </c>
      <c r="C577" s="1" t="s">
        <v>22</v>
      </c>
      <c r="D577" s="1">
        <v>1940</v>
      </c>
      <c r="E577" s="8">
        <v>0</v>
      </c>
      <c r="G577" s="1">
        <v>0</v>
      </c>
      <c r="H577" s="1">
        <v>0</v>
      </c>
      <c r="I577" s="1">
        <v>3.8025000000000002E-13</v>
      </c>
      <c r="M577" s="1" t="s">
        <v>677</v>
      </c>
      <c r="N577" s="1" t="s">
        <v>36</v>
      </c>
      <c r="O577" s="1" t="s">
        <v>609</v>
      </c>
      <c r="P577" s="1" t="s">
        <v>37</v>
      </c>
      <c r="Q577" s="1">
        <v>0</v>
      </c>
      <c r="S577" s="1">
        <v>0</v>
      </c>
      <c r="T577" s="1">
        <v>0</v>
      </c>
      <c r="V577" s="1">
        <f t="shared" si="7"/>
        <v>0</v>
      </c>
      <c r="W577" s="1">
        <v>0</v>
      </c>
      <c r="X577" s="26">
        <v>1.1484823625922875</v>
      </c>
      <c r="Y577" s="1">
        <v>1</v>
      </c>
      <c r="Z577" s="3">
        <v>0</v>
      </c>
      <c r="AA577" s="8">
        <v>0</v>
      </c>
    </row>
    <row r="578" spans="1:27" x14ac:dyDescent="0.2">
      <c r="A578" s="1">
        <v>3</v>
      </c>
      <c r="B578" s="1" t="s">
        <v>23</v>
      </c>
      <c r="C578" s="1" t="s">
        <v>22</v>
      </c>
      <c r="D578" s="1">
        <v>1941</v>
      </c>
      <c r="E578" s="8">
        <v>0</v>
      </c>
      <c r="G578" s="1">
        <v>0</v>
      </c>
      <c r="H578" s="1">
        <v>0</v>
      </c>
      <c r="I578" s="1">
        <v>4.2541E-13</v>
      </c>
      <c r="M578" s="1" t="s">
        <v>677</v>
      </c>
      <c r="N578" s="1" t="s">
        <v>36</v>
      </c>
      <c r="O578" s="1" t="s">
        <v>609</v>
      </c>
      <c r="P578" s="1" t="s">
        <v>37</v>
      </c>
      <c r="Q578" s="1">
        <v>0</v>
      </c>
      <c r="S578" s="1">
        <v>0</v>
      </c>
      <c r="T578" s="1">
        <v>0</v>
      </c>
      <c r="V578" s="1">
        <f t="shared" si="7"/>
        <v>0</v>
      </c>
      <c r="W578" s="1">
        <v>0</v>
      </c>
      <c r="X578" s="26">
        <v>10.344827586206909</v>
      </c>
      <c r="Y578" s="1">
        <v>1</v>
      </c>
      <c r="Z578" s="3">
        <v>0</v>
      </c>
      <c r="AA578" s="8">
        <v>0</v>
      </c>
    </row>
    <row r="579" spans="1:27" x14ac:dyDescent="0.2">
      <c r="A579" s="1">
        <v>3</v>
      </c>
      <c r="B579" s="1" t="s">
        <v>23</v>
      </c>
      <c r="C579" s="1" t="s">
        <v>22</v>
      </c>
      <c r="D579" s="1">
        <v>1942</v>
      </c>
      <c r="E579" s="8">
        <v>0</v>
      </c>
      <c r="G579" s="1">
        <v>0</v>
      </c>
      <c r="H579" s="1">
        <v>0</v>
      </c>
      <c r="I579" s="1">
        <v>4.2318999999999999E-13</v>
      </c>
      <c r="M579" s="1" t="s">
        <v>677</v>
      </c>
      <c r="N579" s="1" t="s">
        <v>36</v>
      </c>
      <c r="O579" s="1" t="s">
        <v>609</v>
      </c>
      <c r="P579" s="1" t="s">
        <v>37</v>
      </c>
      <c r="Q579" s="1">
        <v>0</v>
      </c>
      <c r="S579" s="1">
        <v>0</v>
      </c>
      <c r="T579" s="1">
        <v>0</v>
      </c>
      <c r="V579" s="1">
        <f t="shared" si="7"/>
        <v>0</v>
      </c>
      <c r="W579" s="1">
        <v>0</v>
      </c>
      <c r="X579" s="26">
        <v>1.5624999999999905</v>
      </c>
      <c r="Y579" s="1">
        <v>1</v>
      </c>
      <c r="Z579" s="3">
        <v>0</v>
      </c>
      <c r="AA579" s="8">
        <v>0</v>
      </c>
    </row>
    <row r="580" spans="1:27" x14ac:dyDescent="0.2">
      <c r="A580" s="1">
        <v>3</v>
      </c>
      <c r="B580" s="1" t="s">
        <v>23</v>
      </c>
      <c r="C580" s="1" t="s">
        <v>22</v>
      </c>
      <c r="D580" s="1">
        <v>1943</v>
      </c>
      <c r="E580" s="8">
        <v>0</v>
      </c>
      <c r="G580" s="1">
        <v>0</v>
      </c>
      <c r="H580" s="1">
        <v>0</v>
      </c>
      <c r="I580" s="1">
        <v>3.9776999999999998E-13</v>
      </c>
      <c r="M580" s="1" t="s">
        <v>677</v>
      </c>
      <c r="N580" s="1" t="s">
        <v>36</v>
      </c>
      <c r="O580" s="1" t="s">
        <v>609</v>
      </c>
      <c r="P580" s="1" t="s">
        <v>37</v>
      </c>
      <c r="Q580" s="1">
        <v>0</v>
      </c>
      <c r="S580" s="1">
        <v>0</v>
      </c>
      <c r="T580" s="1">
        <v>0</v>
      </c>
      <c r="V580" s="1">
        <f t="shared" si="7"/>
        <v>0</v>
      </c>
      <c r="W580" s="1">
        <v>0</v>
      </c>
      <c r="X580" s="26">
        <v>-3.0769230769230718</v>
      </c>
      <c r="Y580" s="1">
        <v>1</v>
      </c>
      <c r="Z580" s="3">
        <v>0</v>
      </c>
      <c r="AA580" s="8">
        <v>0</v>
      </c>
    </row>
    <row r="581" spans="1:27" x14ac:dyDescent="0.2">
      <c r="A581" s="1">
        <v>3</v>
      </c>
      <c r="B581" s="1" t="s">
        <v>23</v>
      </c>
      <c r="C581" s="1" t="s">
        <v>22</v>
      </c>
      <c r="D581" s="1">
        <v>1944</v>
      </c>
      <c r="E581" s="8">
        <v>0</v>
      </c>
      <c r="G581" s="1">
        <v>0</v>
      </c>
      <c r="H581" s="1">
        <v>0</v>
      </c>
      <c r="I581" s="1">
        <v>4.0224999999999998E-13</v>
      </c>
      <c r="M581" s="1" t="s">
        <v>677</v>
      </c>
      <c r="N581" s="1" t="s">
        <v>36</v>
      </c>
      <c r="O581" s="1" t="s">
        <v>609</v>
      </c>
      <c r="P581" s="1" t="s">
        <v>37</v>
      </c>
      <c r="Q581" s="1">
        <v>0</v>
      </c>
      <c r="S581" s="1">
        <v>0</v>
      </c>
      <c r="T581" s="1">
        <v>0</v>
      </c>
      <c r="V581" s="1">
        <f t="shared" si="7"/>
        <v>0</v>
      </c>
      <c r="W581" s="1">
        <v>0</v>
      </c>
      <c r="X581" s="26">
        <v>4.7619047619047601</v>
      </c>
      <c r="Y581" s="1">
        <v>1</v>
      </c>
      <c r="Z581" s="3">
        <v>0</v>
      </c>
      <c r="AA581" s="8">
        <v>0</v>
      </c>
    </row>
    <row r="582" spans="1:27" x14ac:dyDescent="0.2">
      <c r="A582" s="1">
        <v>3</v>
      </c>
      <c r="B582" s="1" t="s">
        <v>23</v>
      </c>
      <c r="C582" s="1" t="s">
        <v>22</v>
      </c>
      <c r="D582" s="1">
        <v>1945</v>
      </c>
      <c r="E582" s="8">
        <v>0</v>
      </c>
      <c r="G582" s="1">
        <v>0</v>
      </c>
      <c r="H582" s="1">
        <v>0</v>
      </c>
      <c r="I582" s="1">
        <v>4.0486E-13</v>
      </c>
      <c r="M582" s="1" t="s">
        <v>677</v>
      </c>
      <c r="N582" s="1" t="s">
        <v>36</v>
      </c>
      <c r="O582" s="1" t="s">
        <v>609</v>
      </c>
      <c r="P582" s="1" t="s">
        <v>37</v>
      </c>
      <c r="Q582" s="1">
        <v>0</v>
      </c>
      <c r="S582" s="1">
        <v>0</v>
      </c>
      <c r="T582" s="1">
        <v>0</v>
      </c>
      <c r="V582" s="1">
        <f t="shared" si="7"/>
        <v>0</v>
      </c>
      <c r="W582" s="1">
        <v>0</v>
      </c>
      <c r="X582" s="26">
        <v>19.69696969696971</v>
      </c>
      <c r="Y582" s="1">
        <v>1</v>
      </c>
      <c r="Z582" s="3">
        <v>0</v>
      </c>
      <c r="AA582" s="8">
        <v>0</v>
      </c>
    </row>
    <row r="583" spans="1:27" x14ac:dyDescent="0.2">
      <c r="A583" s="1">
        <v>3</v>
      </c>
      <c r="B583" s="1" t="s">
        <v>23</v>
      </c>
      <c r="C583" s="1" t="s">
        <v>22</v>
      </c>
      <c r="D583" s="1">
        <v>1946</v>
      </c>
      <c r="E583" s="8">
        <v>0</v>
      </c>
      <c r="G583" s="1">
        <v>0</v>
      </c>
      <c r="H583" s="1">
        <v>0</v>
      </c>
      <c r="I583" s="1">
        <v>4.0816E-13</v>
      </c>
      <c r="K583" s="1">
        <v>4.2300000000000007E-13</v>
      </c>
      <c r="L583" s="1">
        <v>4.75E-13</v>
      </c>
      <c r="M583" s="1" t="s">
        <v>677</v>
      </c>
      <c r="N583" s="1" t="s">
        <v>36</v>
      </c>
      <c r="O583" s="1" t="s">
        <v>609</v>
      </c>
      <c r="P583" s="1" t="s">
        <v>37</v>
      </c>
      <c r="Q583" s="1">
        <v>0</v>
      </c>
      <c r="S583" s="1">
        <v>0</v>
      </c>
      <c r="T583" s="1">
        <v>0</v>
      </c>
      <c r="V583" s="1">
        <f t="shared" si="7"/>
        <v>0</v>
      </c>
      <c r="W583" s="1">
        <v>0</v>
      </c>
      <c r="X583" s="26">
        <v>18.987341772151893</v>
      </c>
      <c r="Y583" s="1">
        <v>1</v>
      </c>
      <c r="Z583" s="3">
        <v>0</v>
      </c>
      <c r="AA583" s="8">
        <v>0</v>
      </c>
    </row>
    <row r="584" spans="1:27" x14ac:dyDescent="0.2">
      <c r="A584" s="1">
        <v>3</v>
      </c>
      <c r="B584" s="1" t="s">
        <v>23</v>
      </c>
      <c r="C584" s="1" t="s">
        <v>22</v>
      </c>
      <c r="D584" s="1">
        <v>1947</v>
      </c>
      <c r="E584" s="8">
        <v>0</v>
      </c>
      <c r="G584" s="1">
        <v>0</v>
      </c>
      <c r="H584" s="1">
        <v>0</v>
      </c>
      <c r="I584" s="1">
        <v>4.0000000000000001E-13</v>
      </c>
      <c r="K584" s="1">
        <v>4.2300000000000007E-13</v>
      </c>
      <c r="L584" s="1">
        <v>4.7999999999999997E-13</v>
      </c>
      <c r="M584" s="1" t="s">
        <v>677</v>
      </c>
      <c r="N584" s="1" t="s">
        <v>36</v>
      </c>
      <c r="O584" s="1" t="s">
        <v>609</v>
      </c>
      <c r="P584" s="1" t="s">
        <v>37</v>
      </c>
      <c r="Q584" s="1">
        <v>0</v>
      </c>
      <c r="S584" s="1">
        <v>0</v>
      </c>
      <c r="T584" s="1">
        <v>0</v>
      </c>
      <c r="V584" s="1">
        <f t="shared" si="7"/>
        <v>0</v>
      </c>
      <c r="W584" s="1">
        <v>0</v>
      </c>
      <c r="X584" s="26">
        <v>14.893617021276597</v>
      </c>
      <c r="Y584" s="1">
        <v>1</v>
      </c>
      <c r="Z584" s="3">
        <v>0</v>
      </c>
      <c r="AA584" s="8">
        <v>0</v>
      </c>
    </row>
    <row r="585" spans="1:27" x14ac:dyDescent="0.2">
      <c r="A585" s="1">
        <v>3</v>
      </c>
      <c r="B585" s="1" t="s">
        <v>23</v>
      </c>
      <c r="C585" s="1" t="s">
        <v>22</v>
      </c>
      <c r="D585" s="1">
        <v>1948</v>
      </c>
      <c r="E585" s="8">
        <v>0</v>
      </c>
      <c r="G585" s="1">
        <v>0</v>
      </c>
      <c r="H585" s="1">
        <v>0</v>
      </c>
      <c r="I585" s="1">
        <v>4.9999999999999999E-13</v>
      </c>
      <c r="K585" s="1">
        <v>4.2300000000000007E-13</v>
      </c>
      <c r="L585" s="1">
        <v>9.25E-13</v>
      </c>
      <c r="M585" s="1" t="s">
        <v>677</v>
      </c>
      <c r="N585" s="1" t="s">
        <v>36</v>
      </c>
      <c r="O585" s="1" t="s">
        <v>609</v>
      </c>
      <c r="P585" s="1" t="s">
        <v>37</v>
      </c>
      <c r="Q585" s="1">
        <v>0</v>
      </c>
      <c r="S585" s="1">
        <v>0</v>
      </c>
      <c r="T585" s="1">
        <v>0</v>
      </c>
      <c r="V585" s="1">
        <f t="shared" si="7"/>
        <v>0</v>
      </c>
      <c r="W585" s="1">
        <v>0</v>
      </c>
      <c r="X585" s="26">
        <v>7.4074074074073941</v>
      </c>
      <c r="Y585" s="1">
        <v>1</v>
      </c>
      <c r="Z585" s="3">
        <v>0</v>
      </c>
      <c r="AA585" s="8">
        <v>0</v>
      </c>
    </row>
    <row r="586" spans="1:27" x14ac:dyDescent="0.2">
      <c r="A586" s="1">
        <v>3</v>
      </c>
      <c r="B586" s="1" t="s">
        <v>23</v>
      </c>
      <c r="C586" s="1" t="s">
        <v>22</v>
      </c>
      <c r="D586" s="1">
        <v>1949</v>
      </c>
      <c r="E586" s="8">
        <v>0</v>
      </c>
      <c r="G586" s="1">
        <v>0</v>
      </c>
      <c r="H586" s="1">
        <v>0</v>
      </c>
      <c r="I586" s="1">
        <v>5.7309999999999995E-13</v>
      </c>
      <c r="K586" s="1">
        <v>6.0900000000000003E-13</v>
      </c>
      <c r="L586" s="1">
        <v>1.5800000000000001E-12</v>
      </c>
      <c r="M586" s="1" t="s">
        <v>677</v>
      </c>
      <c r="N586" s="1" t="s">
        <v>36</v>
      </c>
      <c r="O586" s="1" t="s">
        <v>609</v>
      </c>
      <c r="P586" s="1" t="s">
        <v>37</v>
      </c>
      <c r="Q586" s="1">
        <v>0</v>
      </c>
      <c r="S586" s="1">
        <v>0</v>
      </c>
      <c r="T586" s="1">
        <v>0</v>
      </c>
      <c r="V586" s="1">
        <f t="shared" si="7"/>
        <v>0</v>
      </c>
      <c r="W586" s="1">
        <v>1</v>
      </c>
      <c r="X586" s="28">
        <v>31.034482758620697</v>
      </c>
      <c r="Y586" s="1">
        <v>1</v>
      </c>
      <c r="Z586" s="3">
        <v>0</v>
      </c>
      <c r="AA586" s="36">
        <v>1</v>
      </c>
    </row>
    <row r="587" spans="1:27" x14ac:dyDescent="0.2">
      <c r="A587" s="1">
        <v>3</v>
      </c>
      <c r="B587" s="1" t="s">
        <v>23</v>
      </c>
      <c r="C587" s="1" t="s">
        <v>22</v>
      </c>
      <c r="D587" s="1">
        <v>1950</v>
      </c>
      <c r="E587" s="8">
        <v>0</v>
      </c>
      <c r="G587" s="1">
        <v>0</v>
      </c>
      <c r="H587" s="1">
        <v>0</v>
      </c>
      <c r="I587" s="1">
        <v>1.3790000000000001E-12</v>
      </c>
      <c r="K587" s="1">
        <v>1.395E-12</v>
      </c>
      <c r="L587" s="1">
        <v>1.65E-12</v>
      </c>
      <c r="M587" s="1" t="s">
        <v>677</v>
      </c>
      <c r="N587" s="1" t="s">
        <v>36</v>
      </c>
      <c r="O587" s="1" t="s">
        <v>609</v>
      </c>
      <c r="P587" s="1" t="s">
        <v>37</v>
      </c>
      <c r="Q587" s="1">
        <v>0</v>
      </c>
      <c r="S587" s="1">
        <v>0</v>
      </c>
      <c r="T587" s="1">
        <v>0</v>
      </c>
      <c r="V587" s="1">
        <f t="shared" si="7"/>
        <v>0</v>
      </c>
      <c r="W587" s="1">
        <v>0</v>
      </c>
      <c r="X587" s="28">
        <v>39.473684210526315</v>
      </c>
      <c r="Y587" s="1">
        <v>1</v>
      </c>
      <c r="Z587" s="3">
        <v>0</v>
      </c>
      <c r="AA587" s="36">
        <v>1</v>
      </c>
    </row>
    <row r="588" spans="1:27" x14ac:dyDescent="0.2">
      <c r="A588" s="1">
        <v>3</v>
      </c>
      <c r="B588" s="1" t="s">
        <v>23</v>
      </c>
      <c r="C588" s="1" t="s">
        <v>22</v>
      </c>
      <c r="D588" s="1">
        <v>1951</v>
      </c>
      <c r="E588" s="8">
        <v>0</v>
      </c>
      <c r="G588" s="1">
        <v>0</v>
      </c>
      <c r="H588" s="1">
        <v>0</v>
      </c>
      <c r="I588" s="1">
        <v>1.437E-12</v>
      </c>
      <c r="K588" s="1">
        <v>1.395E-12</v>
      </c>
      <c r="L588" s="1">
        <v>2.7000000000000002E-12</v>
      </c>
      <c r="M588" s="1" t="s">
        <v>677</v>
      </c>
      <c r="N588" s="1" t="s">
        <v>36</v>
      </c>
      <c r="O588" s="1" t="s">
        <v>609</v>
      </c>
      <c r="P588" s="1" t="s">
        <v>37</v>
      </c>
      <c r="Q588" s="1">
        <v>0</v>
      </c>
      <c r="S588" s="1">
        <v>1</v>
      </c>
      <c r="T588" s="1">
        <v>1</v>
      </c>
      <c r="V588" s="1">
        <f t="shared" si="7"/>
        <v>1.06</v>
      </c>
      <c r="W588" s="1">
        <v>1</v>
      </c>
      <c r="X588" s="33">
        <v>55.660377358490578</v>
      </c>
      <c r="Y588" s="1">
        <v>1</v>
      </c>
      <c r="Z588" s="3">
        <v>0</v>
      </c>
      <c r="AA588" s="36">
        <v>1</v>
      </c>
    </row>
    <row r="589" spans="1:27" x14ac:dyDescent="0.2">
      <c r="A589" s="1">
        <v>3</v>
      </c>
      <c r="B589" s="1" t="s">
        <v>23</v>
      </c>
      <c r="C589" s="1" t="s">
        <v>22</v>
      </c>
      <c r="D589" s="1">
        <v>1952</v>
      </c>
      <c r="E589" s="8">
        <v>0</v>
      </c>
      <c r="G589" s="1">
        <v>0</v>
      </c>
      <c r="H589" s="1">
        <v>0</v>
      </c>
      <c r="I589" s="1">
        <v>1.395E-12</v>
      </c>
      <c r="K589" s="1">
        <v>1.395E-12</v>
      </c>
      <c r="L589" s="1">
        <v>2.3150000000000001E-12</v>
      </c>
      <c r="M589" s="1" t="s">
        <v>677</v>
      </c>
      <c r="N589" s="1" t="s">
        <v>36</v>
      </c>
      <c r="O589" s="1" t="s">
        <v>609</v>
      </c>
      <c r="P589" s="1" t="s">
        <v>37</v>
      </c>
      <c r="Q589" s="1">
        <v>0</v>
      </c>
      <c r="S589" s="1">
        <v>0</v>
      </c>
      <c r="T589" s="1">
        <v>0</v>
      </c>
      <c r="V589" s="1">
        <f t="shared" si="7"/>
        <v>0</v>
      </c>
      <c r="W589" s="1">
        <v>1</v>
      </c>
      <c r="X589" s="26">
        <v>14.545454545454541</v>
      </c>
      <c r="Y589" s="1">
        <v>1</v>
      </c>
      <c r="Z589" s="3">
        <v>0</v>
      </c>
      <c r="AA589" s="8">
        <v>0</v>
      </c>
    </row>
    <row r="590" spans="1:27" x14ac:dyDescent="0.2">
      <c r="A590" s="1">
        <v>3</v>
      </c>
      <c r="B590" s="1" t="s">
        <v>23</v>
      </c>
      <c r="C590" s="1" t="s">
        <v>22</v>
      </c>
      <c r="D590" s="1">
        <v>1953</v>
      </c>
      <c r="E590" s="8">
        <v>0</v>
      </c>
      <c r="G590" s="1">
        <v>0</v>
      </c>
      <c r="H590" s="1">
        <v>0</v>
      </c>
      <c r="I590" s="1">
        <v>1.395E-12</v>
      </c>
      <c r="K590" s="1">
        <v>1.395E-12</v>
      </c>
      <c r="L590" s="1">
        <v>2.0100000000000001E-12</v>
      </c>
      <c r="M590" s="1" t="s">
        <v>677</v>
      </c>
      <c r="N590" s="1" t="s">
        <v>36</v>
      </c>
      <c r="O590" s="1" t="s">
        <v>609</v>
      </c>
      <c r="P590" s="1" t="s">
        <v>37</v>
      </c>
      <c r="Q590" s="1">
        <v>0</v>
      </c>
      <c r="S590" s="1">
        <v>0</v>
      </c>
      <c r="T590" s="1">
        <v>0</v>
      </c>
      <c r="V590" s="1">
        <f t="shared" si="7"/>
        <v>0</v>
      </c>
      <c r="W590" s="1">
        <v>0</v>
      </c>
      <c r="X590" s="26">
        <v>-0.79365079365079794</v>
      </c>
      <c r="Y590" s="1">
        <v>1</v>
      </c>
      <c r="Z590" s="3">
        <v>0</v>
      </c>
      <c r="AA590" s="8">
        <v>0</v>
      </c>
    </row>
    <row r="591" spans="1:27" x14ac:dyDescent="0.2">
      <c r="A591" s="1">
        <v>3</v>
      </c>
      <c r="B591" s="1" t="s">
        <v>23</v>
      </c>
      <c r="C591" s="1" t="s">
        <v>22</v>
      </c>
      <c r="D591" s="1">
        <v>1954</v>
      </c>
      <c r="E591" s="8">
        <v>0</v>
      </c>
      <c r="G591" s="1">
        <v>0</v>
      </c>
      <c r="H591" s="1">
        <v>0</v>
      </c>
      <c r="I591" s="1">
        <v>1.395E-12</v>
      </c>
      <c r="K591" s="1">
        <v>1.395E-12</v>
      </c>
      <c r="L591" s="1">
        <v>2.6700000000000001E-12</v>
      </c>
      <c r="M591" s="1" t="s">
        <v>677</v>
      </c>
      <c r="N591" s="1" t="s">
        <v>36</v>
      </c>
      <c r="O591" s="1" t="s">
        <v>609</v>
      </c>
      <c r="P591" s="1" t="s">
        <v>37</v>
      </c>
      <c r="Q591" s="1">
        <v>0</v>
      </c>
      <c r="S591" s="1">
        <v>0</v>
      </c>
      <c r="T591" s="1">
        <v>0</v>
      </c>
      <c r="V591" s="1">
        <f t="shared" si="7"/>
        <v>0</v>
      </c>
      <c r="W591" s="1">
        <v>0</v>
      </c>
      <c r="X591" s="26">
        <v>16.266666666666669</v>
      </c>
      <c r="Y591" s="1">
        <v>1</v>
      </c>
      <c r="Z591" s="3">
        <v>0</v>
      </c>
      <c r="AA591" s="8">
        <v>0</v>
      </c>
    </row>
    <row r="592" spans="1:27" x14ac:dyDescent="0.2">
      <c r="A592" s="1">
        <v>3</v>
      </c>
      <c r="B592" s="1" t="s">
        <v>23</v>
      </c>
      <c r="C592" s="1" t="s">
        <v>22</v>
      </c>
      <c r="D592" s="1">
        <v>1955</v>
      </c>
      <c r="E592" s="8">
        <v>0</v>
      </c>
      <c r="G592" s="1">
        <v>0</v>
      </c>
      <c r="H592" s="1">
        <v>0</v>
      </c>
      <c r="I592" s="1">
        <v>3.333E-12</v>
      </c>
      <c r="K592" s="1">
        <v>3.6E-12</v>
      </c>
      <c r="L592" s="1">
        <v>3.6E-12</v>
      </c>
      <c r="M592" s="1" t="s">
        <v>677</v>
      </c>
      <c r="N592" s="1" t="s">
        <v>36</v>
      </c>
      <c r="O592" s="1" t="s">
        <v>609</v>
      </c>
      <c r="P592" s="1" t="s">
        <v>37</v>
      </c>
      <c r="Q592" s="1">
        <v>0</v>
      </c>
      <c r="S592" s="1">
        <v>0</v>
      </c>
      <c r="T592" s="1">
        <v>0</v>
      </c>
      <c r="V592" s="1">
        <f t="shared" si="7"/>
        <v>0</v>
      </c>
      <c r="W592" s="1">
        <v>0</v>
      </c>
      <c r="X592" s="26">
        <v>7.5688073394495348</v>
      </c>
      <c r="Y592" s="1">
        <v>1</v>
      </c>
      <c r="Z592" s="3">
        <v>0</v>
      </c>
      <c r="AA592" s="8">
        <v>0</v>
      </c>
    </row>
    <row r="593" spans="1:27" x14ac:dyDescent="0.2">
      <c r="A593" s="1">
        <v>3</v>
      </c>
      <c r="B593" s="1" t="s">
        <v>23</v>
      </c>
      <c r="C593" s="1" t="s">
        <v>22</v>
      </c>
      <c r="D593" s="1">
        <v>1956</v>
      </c>
      <c r="E593" s="8">
        <v>0</v>
      </c>
      <c r="G593" s="1">
        <v>0</v>
      </c>
      <c r="H593" s="1">
        <v>0</v>
      </c>
      <c r="I593" s="1">
        <v>3.7169999999999996E-12</v>
      </c>
      <c r="K593" s="1">
        <v>3.6550000000000001E-12</v>
      </c>
      <c r="L593" s="1">
        <v>3.6550000000000001E-12</v>
      </c>
      <c r="M593" s="1" t="s">
        <v>677</v>
      </c>
      <c r="N593" s="1" t="s">
        <v>36</v>
      </c>
      <c r="O593" s="1" t="s">
        <v>609</v>
      </c>
      <c r="P593" s="1" t="s">
        <v>37</v>
      </c>
      <c r="Q593" s="1">
        <v>0</v>
      </c>
      <c r="S593" s="1">
        <v>1</v>
      </c>
      <c r="T593" s="1">
        <v>1</v>
      </c>
      <c r="U593" s="1" t="s">
        <v>510</v>
      </c>
      <c r="V593" s="1">
        <f t="shared" si="7"/>
        <v>1.06</v>
      </c>
      <c r="W593" s="1">
        <v>0</v>
      </c>
      <c r="X593" s="26">
        <v>15.991471215351813</v>
      </c>
      <c r="Y593" s="1">
        <v>1</v>
      </c>
      <c r="Z593" s="3">
        <v>0</v>
      </c>
      <c r="AA593" s="8">
        <v>0</v>
      </c>
    </row>
    <row r="594" spans="1:27" ht="12.95" customHeight="1" x14ac:dyDescent="0.2">
      <c r="A594" s="1">
        <v>3</v>
      </c>
      <c r="B594" s="1" t="s">
        <v>23</v>
      </c>
      <c r="C594" s="1" t="s">
        <v>22</v>
      </c>
      <c r="D594" s="1">
        <v>1957</v>
      </c>
      <c r="E594" s="8">
        <v>0</v>
      </c>
      <c r="G594" s="1">
        <v>0</v>
      </c>
      <c r="H594" s="1">
        <v>0</v>
      </c>
      <c r="I594" s="1">
        <v>3.6899999999999998E-12</v>
      </c>
      <c r="K594" s="1">
        <v>3.7200000000000003E-12</v>
      </c>
      <c r="L594" s="1">
        <v>3.7200000000000003E-12</v>
      </c>
      <c r="M594" s="1" t="s">
        <v>677</v>
      </c>
      <c r="N594" s="1" t="s">
        <v>36</v>
      </c>
      <c r="O594" s="1" t="s">
        <v>609</v>
      </c>
      <c r="P594" s="1" t="s">
        <v>37</v>
      </c>
      <c r="Q594" s="1">
        <v>0</v>
      </c>
      <c r="S594" s="1">
        <v>1</v>
      </c>
      <c r="T594" s="1">
        <v>1</v>
      </c>
      <c r="U594" s="1" t="s">
        <v>510</v>
      </c>
      <c r="V594" s="1">
        <f t="shared" si="7"/>
        <v>1.06</v>
      </c>
      <c r="W594" s="1">
        <v>1</v>
      </c>
      <c r="X594" s="28">
        <v>21.691176470588232</v>
      </c>
      <c r="Y594" s="1">
        <v>1</v>
      </c>
      <c r="Z594" s="3">
        <v>0</v>
      </c>
      <c r="AA594" s="36">
        <v>1</v>
      </c>
    </row>
    <row r="595" spans="1:27" ht="12.75" customHeight="1" x14ac:dyDescent="0.2">
      <c r="A595" s="1">
        <v>3</v>
      </c>
      <c r="B595" s="1" t="s">
        <v>23</v>
      </c>
      <c r="C595" s="1" t="s">
        <v>22</v>
      </c>
      <c r="D595" s="1">
        <v>1958</v>
      </c>
      <c r="E595" s="8">
        <v>0</v>
      </c>
      <c r="G595" s="1">
        <v>0</v>
      </c>
      <c r="H595" s="1">
        <v>0</v>
      </c>
      <c r="I595" s="1">
        <v>6.8970000000000002E-12</v>
      </c>
      <c r="K595" s="1">
        <v>7.0500000000000001E-12</v>
      </c>
      <c r="L595" s="1">
        <v>7.0500000000000001E-12</v>
      </c>
      <c r="M595" s="1" t="s">
        <v>677</v>
      </c>
      <c r="N595" s="1" t="s">
        <v>36</v>
      </c>
      <c r="O595" s="1" t="s">
        <v>609</v>
      </c>
      <c r="P595" s="1" t="s">
        <v>37</v>
      </c>
      <c r="Q595" s="1">
        <v>0</v>
      </c>
      <c r="S595" s="1">
        <v>1</v>
      </c>
      <c r="T595" s="1">
        <v>1</v>
      </c>
      <c r="U595" s="1" t="s">
        <v>510</v>
      </c>
      <c r="V595" s="1">
        <f t="shared" si="7"/>
        <v>1.06</v>
      </c>
      <c r="W595" s="1">
        <v>0</v>
      </c>
      <c r="X595" s="33">
        <v>33.383685800604248</v>
      </c>
      <c r="Y595" s="1">
        <v>1</v>
      </c>
      <c r="Z595" s="3">
        <v>0</v>
      </c>
      <c r="AA595" s="36">
        <v>1</v>
      </c>
    </row>
    <row r="596" spans="1:27" x14ac:dyDescent="0.2">
      <c r="A596" s="1">
        <v>3</v>
      </c>
      <c r="B596" s="1" t="s">
        <v>23</v>
      </c>
      <c r="C596" s="1" t="s">
        <v>22</v>
      </c>
      <c r="D596" s="1">
        <v>1959</v>
      </c>
      <c r="E596" s="8">
        <v>0</v>
      </c>
      <c r="G596" s="1">
        <v>0</v>
      </c>
      <c r="H596" s="1">
        <v>0</v>
      </c>
      <c r="I596" s="1">
        <v>8.3330000000000001E-12</v>
      </c>
      <c r="K596" s="1">
        <v>8.3349999998999979E-12</v>
      </c>
      <c r="L596" s="1">
        <v>8.3200000000000017E-12</v>
      </c>
      <c r="M596" s="1" t="s">
        <v>677</v>
      </c>
      <c r="N596" s="1" t="s">
        <v>36</v>
      </c>
      <c r="O596" s="1" t="s">
        <v>609</v>
      </c>
      <c r="P596" s="1" t="s">
        <v>37</v>
      </c>
      <c r="Q596" s="1">
        <v>0</v>
      </c>
      <c r="S596" s="1">
        <v>1</v>
      </c>
      <c r="T596" s="1">
        <v>1</v>
      </c>
      <c r="U596" s="1" t="s">
        <v>510</v>
      </c>
      <c r="V596" s="1">
        <f t="shared" si="7"/>
        <v>1.06</v>
      </c>
      <c r="W596" s="1" t="s">
        <v>5</v>
      </c>
      <c r="X596" s="33">
        <v>123.5560588901472</v>
      </c>
      <c r="Y596" s="1">
        <v>1</v>
      </c>
      <c r="Z596" s="92">
        <v>1</v>
      </c>
      <c r="AA596" s="36">
        <v>1</v>
      </c>
    </row>
    <row r="597" spans="1:27" x14ac:dyDescent="0.2">
      <c r="A597" s="1">
        <v>3</v>
      </c>
      <c r="B597" s="1" t="s">
        <v>23</v>
      </c>
      <c r="C597" s="1" t="s">
        <v>22</v>
      </c>
      <c r="D597" s="1">
        <v>1960</v>
      </c>
      <c r="E597" s="8">
        <v>0</v>
      </c>
      <c r="G597" s="1">
        <v>0</v>
      </c>
      <c r="H597" s="1">
        <v>0</v>
      </c>
      <c r="I597" s="1">
        <v>8.2699999999999993E-12</v>
      </c>
      <c r="K597" s="1">
        <v>8.2699999999999977E-12</v>
      </c>
      <c r="L597" s="1">
        <v>8.265E-12</v>
      </c>
      <c r="M597" s="1" t="s">
        <v>677</v>
      </c>
      <c r="N597" s="1" t="s">
        <v>36</v>
      </c>
      <c r="O597" s="1" t="s">
        <v>609</v>
      </c>
      <c r="P597" s="1" t="s">
        <v>37</v>
      </c>
      <c r="Q597" s="1">
        <v>0</v>
      </c>
      <c r="S597" s="1">
        <v>1</v>
      </c>
      <c r="T597" s="1">
        <v>1</v>
      </c>
      <c r="U597" s="1" t="s">
        <v>510</v>
      </c>
      <c r="V597" s="1">
        <f t="shared" si="7"/>
        <v>1.06</v>
      </c>
      <c r="W597" s="1" t="s">
        <v>5</v>
      </c>
      <c r="X597" s="26">
        <v>12.25937183383992</v>
      </c>
      <c r="Y597" s="1">
        <v>1</v>
      </c>
      <c r="Z597" s="3">
        <v>0</v>
      </c>
      <c r="AA597" s="8">
        <v>0</v>
      </c>
    </row>
    <row r="598" spans="1:27" x14ac:dyDescent="0.2">
      <c r="A598" s="1">
        <v>3</v>
      </c>
      <c r="B598" s="1" t="s">
        <v>23</v>
      </c>
      <c r="C598" s="1" t="s">
        <v>22</v>
      </c>
      <c r="D598" s="1">
        <v>1961</v>
      </c>
      <c r="E598" s="8">
        <v>0</v>
      </c>
      <c r="G598" s="1">
        <v>0</v>
      </c>
      <c r="H598" s="1">
        <v>0</v>
      </c>
      <c r="I598" s="1">
        <v>8.3020000000000008E-12</v>
      </c>
      <c r="K598" s="1">
        <v>8.3019999998999992E-12</v>
      </c>
      <c r="L598" s="1">
        <v>8.252500000000001E-12</v>
      </c>
      <c r="M598" s="1" t="s">
        <v>677</v>
      </c>
      <c r="N598" s="1" t="s">
        <v>36</v>
      </c>
      <c r="O598" s="1" t="s">
        <v>609</v>
      </c>
      <c r="P598" s="1" t="s">
        <v>37</v>
      </c>
      <c r="Q598" s="1">
        <v>0</v>
      </c>
      <c r="S598" s="1">
        <v>1</v>
      </c>
      <c r="T598" s="1">
        <v>1</v>
      </c>
      <c r="U598" s="1" t="s">
        <v>510</v>
      </c>
      <c r="V598" s="1">
        <f t="shared" si="7"/>
        <v>1.06</v>
      </c>
      <c r="W598" s="1" t="s">
        <v>5</v>
      </c>
      <c r="X598" s="26">
        <v>18.005415162454881</v>
      </c>
      <c r="Y598" s="1">
        <v>1</v>
      </c>
      <c r="Z598" s="3">
        <v>0</v>
      </c>
      <c r="AA598" s="8">
        <v>0</v>
      </c>
    </row>
    <row r="599" spans="1:27" x14ac:dyDescent="0.2">
      <c r="A599" s="1">
        <v>3</v>
      </c>
      <c r="B599" s="1" t="s">
        <v>23</v>
      </c>
      <c r="C599" s="1" t="s">
        <v>22</v>
      </c>
      <c r="D599" s="1">
        <v>1962</v>
      </c>
      <c r="E599" s="8">
        <v>0</v>
      </c>
      <c r="G599" s="1">
        <v>0</v>
      </c>
      <c r="H599" s="1">
        <v>0</v>
      </c>
      <c r="I599" s="1">
        <v>1.341E-11</v>
      </c>
      <c r="J599" s="1">
        <v>8.7166666666333322E-12</v>
      </c>
      <c r="K599" s="1">
        <v>1.3409999999899997E-11</v>
      </c>
      <c r="L599" s="1">
        <v>1.3399999999999999E-11</v>
      </c>
      <c r="M599" s="1" t="s">
        <v>677</v>
      </c>
      <c r="N599" s="1" t="s">
        <v>36</v>
      </c>
      <c r="O599" s="1" t="s">
        <v>609</v>
      </c>
      <c r="P599" s="1" t="s">
        <v>37</v>
      </c>
      <c r="Q599" s="1">
        <v>0</v>
      </c>
      <c r="S599" s="1">
        <v>1</v>
      </c>
      <c r="T599" s="1">
        <v>1</v>
      </c>
      <c r="U599" s="1" t="s">
        <v>510</v>
      </c>
      <c r="V599" s="1">
        <f t="shared" si="7"/>
        <v>1.06</v>
      </c>
      <c r="W599" s="1" t="s">
        <v>5</v>
      </c>
      <c r="X599" s="28">
        <v>34.722753346080303</v>
      </c>
      <c r="Y599" s="1">
        <v>1</v>
      </c>
      <c r="Z599" s="3">
        <v>0</v>
      </c>
      <c r="AA599" s="36">
        <v>1</v>
      </c>
    </row>
    <row r="600" spans="1:27" x14ac:dyDescent="0.2">
      <c r="A600" s="1">
        <v>3</v>
      </c>
      <c r="B600" s="1" t="s">
        <v>23</v>
      </c>
      <c r="C600" s="1" t="s">
        <v>22</v>
      </c>
      <c r="D600" s="1">
        <v>1963</v>
      </c>
      <c r="E600" s="8">
        <v>0</v>
      </c>
      <c r="G600" s="1">
        <v>0</v>
      </c>
      <c r="H600" s="1">
        <v>0</v>
      </c>
      <c r="I600" s="1">
        <v>1.3249999999999999E-11</v>
      </c>
      <c r="J600" s="1">
        <v>1.3871666666625E-11</v>
      </c>
      <c r="K600" s="1">
        <v>1.3249999999999998E-11</v>
      </c>
      <c r="L600" s="1">
        <v>1.3249999999999999E-11</v>
      </c>
      <c r="M600" s="1" t="s">
        <v>677</v>
      </c>
      <c r="N600" s="1" t="s">
        <v>36</v>
      </c>
      <c r="O600" s="1" t="s">
        <v>609</v>
      </c>
      <c r="P600" s="1" t="s">
        <v>37</v>
      </c>
      <c r="Q600" s="1">
        <v>0</v>
      </c>
      <c r="S600" s="1">
        <v>1</v>
      </c>
      <c r="T600" s="1">
        <v>1</v>
      </c>
      <c r="U600" s="1" t="s">
        <v>510</v>
      </c>
      <c r="V600" s="1">
        <f t="shared" si="7"/>
        <v>1.06</v>
      </c>
      <c r="W600" s="1" t="s">
        <v>5</v>
      </c>
      <c r="X600" s="26">
        <v>15.725234175418679</v>
      </c>
      <c r="Y600" s="1">
        <v>1</v>
      </c>
      <c r="Z600" s="92">
        <v>1</v>
      </c>
      <c r="AA600" s="8">
        <v>0</v>
      </c>
    </row>
    <row r="601" spans="1:27" x14ac:dyDescent="0.2">
      <c r="A601" s="1">
        <v>3</v>
      </c>
      <c r="B601" s="1" t="s">
        <v>23</v>
      </c>
      <c r="C601" s="1" t="s">
        <v>22</v>
      </c>
      <c r="D601" s="1">
        <v>1964</v>
      </c>
      <c r="E601" s="8">
        <v>0</v>
      </c>
      <c r="G601" s="1">
        <v>0</v>
      </c>
      <c r="H601" s="1">
        <v>0</v>
      </c>
      <c r="I601" s="1">
        <v>1.509E-11</v>
      </c>
      <c r="J601" s="1">
        <v>1.4039166666616665E-11</v>
      </c>
      <c r="K601" s="1">
        <v>1.5089999999899998E-11</v>
      </c>
      <c r="L601" s="1">
        <v>1.9199999999999999E-11</v>
      </c>
      <c r="M601" s="1" t="s">
        <v>677</v>
      </c>
      <c r="N601" s="1" t="s">
        <v>36</v>
      </c>
      <c r="O601" s="1" t="s">
        <v>609</v>
      </c>
      <c r="P601" s="1" t="s">
        <v>37</v>
      </c>
      <c r="Q601" s="1">
        <v>0</v>
      </c>
      <c r="S601" s="1">
        <v>1</v>
      </c>
      <c r="T601" s="1">
        <v>1</v>
      </c>
      <c r="U601" s="1" t="s">
        <v>510</v>
      </c>
      <c r="V601" s="1">
        <f t="shared" si="7"/>
        <v>1.06</v>
      </c>
      <c r="W601" s="1" t="s">
        <v>5</v>
      </c>
      <c r="X601" s="28">
        <v>21.095366918921933</v>
      </c>
      <c r="Y601" s="1">
        <v>1</v>
      </c>
      <c r="Z601" s="3">
        <v>0</v>
      </c>
      <c r="AA601" s="36">
        <v>1</v>
      </c>
    </row>
    <row r="602" spans="1:27" x14ac:dyDescent="0.2">
      <c r="A602" s="1">
        <v>3</v>
      </c>
      <c r="B602" s="1" t="s">
        <v>23</v>
      </c>
      <c r="C602" s="1" t="s">
        <v>22</v>
      </c>
      <c r="D602" s="1">
        <v>1965</v>
      </c>
      <c r="E602" s="8">
        <v>0</v>
      </c>
      <c r="G602" s="1">
        <v>0</v>
      </c>
      <c r="H602" s="1">
        <v>0</v>
      </c>
      <c r="I602" s="1">
        <v>1.8850000000000001E-11</v>
      </c>
      <c r="J602" s="1">
        <v>1.6956666666641667E-11</v>
      </c>
      <c r="K602" s="1">
        <v>1.8849999999999998E-11</v>
      </c>
      <c r="L602" s="1">
        <v>2.4800000000000001E-11</v>
      </c>
      <c r="M602" s="1" t="s">
        <v>677</v>
      </c>
      <c r="N602" s="1" t="s">
        <v>36</v>
      </c>
      <c r="O602" s="1" t="s">
        <v>609</v>
      </c>
      <c r="P602" s="1" t="s">
        <v>37</v>
      </c>
      <c r="Q602" s="1">
        <v>0</v>
      </c>
      <c r="S602" s="1">
        <v>1</v>
      </c>
      <c r="T602" s="1">
        <v>1</v>
      </c>
      <c r="U602" s="1" t="s">
        <v>510</v>
      </c>
      <c r="V602" s="1">
        <f t="shared" si="7"/>
        <v>1.06</v>
      </c>
      <c r="W602" s="1" t="s">
        <v>5</v>
      </c>
      <c r="X602" s="28">
        <v>32.120279904810403</v>
      </c>
      <c r="Y602" s="1">
        <v>1</v>
      </c>
      <c r="Z602" s="3">
        <v>0</v>
      </c>
      <c r="AA602" s="36">
        <v>1</v>
      </c>
    </row>
    <row r="603" spans="1:27" x14ac:dyDescent="0.2">
      <c r="A603" s="1">
        <v>3</v>
      </c>
      <c r="B603" s="1" t="s">
        <v>23</v>
      </c>
      <c r="C603" s="1" t="s">
        <v>22</v>
      </c>
      <c r="D603" s="1">
        <v>1966</v>
      </c>
      <c r="E603" s="8">
        <v>0</v>
      </c>
      <c r="G603" s="1">
        <v>0</v>
      </c>
      <c r="H603" s="1">
        <v>0</v>
      </c>
      <c r="I603" s="1">
        <v>2.4730000000000001E-11</v>
      </c>
      <c r="J603" s="1">
        <v>2.091499999996667E-11</v>
      </c>
      <c r="K603" s="1">
        <v>2.4729999999899997E-11</v>
      </c>
      <c r="L603" s="1">
        <v>2.6899999999999999E-11</v>
      </c>
      <c r="M603" s="1" t="s">
        <v>677</v>
      </c>
      <c r="N603" s="1" t="s">
        <v>36</v>
      </c>
      <c r="O603" s="1" t="s">
        <v>609</v>
      </c>
      <c r="P603" s="1" t="s">
        <v>37</v>
      </c>
      <c r="Q603" s="1">
        <v>0</v>
      </c>
      <c r="S603" s="1">
        <v>0</v>
      </c>
      <c r="T603" s="1">
        <v>0</v>
      </c>
      <c r="V603" s="1">
        <f t="shared" si="7"/>
        <v>0</v>
      </c>
      <c r="W603" s="1" t="s">
        <v>5</v>
      </c>
      <c r="X603" s="28">
        <v>29.335420037547951</v>
      </c>
      <c r="Y603" s="1">
        <v>1</v>
      </c>
      <c r="Z603" s="92">
        <v>1</v>
      </c>
      <c r="AA603" s="36">
        <v>1</v>
      </c>
    </row>
    <row r="604" spans="1:27" x14ac:dyDescent="0.2">
      <c r="A604" s="1">
        <v>3</v>
      </c>
      <c r="B604" s="1" t="s">
        <v>23</v>
      </c>
      <c r="C604" s="1" t="s">
        <v>22</v>
      </c>
      <c r="D604" s="1">
        <v>1967</v>
      </c>
      <c r="E604" s="8">
        <v>0</v>
      </c>
      <c r="G604" s="1">
        <v>0</v>
      </c>
      <c r="H604" s="1">
        <v>0</v>
      </c>
      <c r="I604" s="1">
        <v>3.5000000000000002E-11</v>
      </c>
      <c r="J604" s="1">
        <v>3.334249999999167E-11</v>
      </c>
      <c r="K604" s="1">
        <v>3.4999999999999995E-11</v>
      </c>
      <c r="L604" s="1">
        <v>3.5000000000000002E-11</v>
      </c>
      <c r="M604" s="1" t="s">
        <v>677</v>
      </c>
      <c r="N604" s="1" t="s">
        <v>36</v>
      </c>
      <c r="O604" s="1" t="s">
        <v>609</v>
      </c>
      <c r="P604" s="1" t="s">
        <v>37</v>
      </c>
      <c r="Q604" s="1">
        <v>0</v>
      </c>
      <c r="S604" s="1">
        <v>0</v>
      </c>
      <c r="T604" s="1">
        <v>0</v>
      </c>
      <c r="V604" s="1">
        <f t="shared" si="7"/>
        <v>0</v>
      </c>
      <c r="W604" s="1">
        <v>0</v>
      </c>
      <c r="X604" s="28">
        <v>30.576006680443879</v>
      </c>
      <c r="Y604" s="1">
        <v>1</v>
      </c>
      <c r="Z604" s="3">
        <v>0</v>
      </c>
      <c r="AA604" s="36">
        <v>1</v>
      </c>
    </row>
    <row r="605" spans="1:27" x14ac:dyDescent="0.2">
      <c r="A605" s="1">
        <v>3</v>
      </c>
      <c r="B605" s="1" t="s">
        <v>23</v>
      </c>
      <c r="C605" s="1" t="s">
        <v>22</v>
      </c>
      <c r="D605" s="1">
        <v>1968</v>
      </c>
      <c r="E605" s="8">
        <v>0</v>
      </c>
      <c r="G605" s="1">
        <v>0</v>
      </c>
      <c r="H605" s="1">
        <v>0</v>
      </c>
      <c r="I605" s="1">
        <v>3.5000000000000002E-11</v>
      </c>
      <c r="J605" s="1">
        <v>3.5000000000000002E-11</v>
      </c>
      <c r="K605" s="1">
        <v>3.4999999999999995E-11</v>
      </c>
      <c r="L605" s="1">
        <v>3.5000000000000002E-11</v>
      </c>
      <c r="M605" s="1" t="s">
        <v>677</v>
      </c>
      <c r="N605" s="1" t="s">
        <v>36</v>
      </c>
      <c r="O605" s="1" t="s">
        <v>609</v>
      </c>
      <c r="P605" s="1" t="s">
        <v>37</v>
      </c>
      <c r="Q605" s="1">
        <v>0</v>
      </c>
      <c r="S605" s="1">
        <v>0</v>
      </c>
      <c r="T605" s="1">
        <v>0</v>
      </c>
      <c r="V605" s="1">
        <f t="shared" si="7"/>
        <v>0</v>
      </c>
      <c r="W605" s="1">
        <v>0</v>
      </c>
      <c r="X605" s="26">
        <v>13.934070866444188</v>
      </c>
      <c r="Y605" s="1">
        <v>1</v>
      </c>
      <c r="Z605" s="92">
        <v>1</v>
      </c>
      <c r="AA605" s="8">
        <v>0</v>
      </c>
    </row>
    <row r="606" spans="1:27" x14ac:dyDescent="0.2">
      <c r="A606" s="1">
        <v>3</v>
      </c>
      <c r="B606" s="1" t="s">
        <v>23</v>
      </c>
      <c r="C606" s="1" t="s">
        <v>22</v>
      </c>
      <c r="D606" s="1">
        <v>1969</v>
      </c>
      <c r="E606" s="8">
        <v>0</v>
      </c>
      <c r="G606" s="1">
        <v>0</v>
      </c>
      <c r="H606" s="1">
        <v>0</v>
      </c>
      <c r="I606" s="1">
        <v>3.5000000000000002E-11</v>
      </c>
      <c r="J606" s="1">
        <v>3.5000000000000002E-11</v>
      </c>
      <c r="K606" s="1">
        <v>3.4999999999999995E-11</v>
      </c>
      <c r="L606" s="1">
        <v>3.5199999999999999E-11</v>
      </c>
      <c r="M606" s="1" t="s">
        <v>677</v>
      </c>
      <c r="N606" s="1" t="s">
        <v>36</v>
      </c>
      <c r="O606" s="1" t="s">
        <v>609</v>
      </c>
      <c r="P606" s="1" t="s">
        <v>37</v>
      </c>
      <c r="Q606" s="1">
        <v>0</v>
      </c>
      <c r="S606" s="1">
        <v>0</v>
      </c>
      <c r="T606" s="1">
        <v>0</v>
      </c>
      <c r="V606" s="1">
        <f t="shared" si="7"/>
        <v>0</v>
      </c>
      <c r="W606" s="1">
        <v>0</v>
      </c>
      <c r="X606" s="26">
        <v>7.9227097900375156</v>
      </c>
      <c r="Y606" s="1">
        <v>1</v>
      </c>
      <c r="Z606" s="3">
        <v>0</v>
      </c>
      <c r="AA606" s="8">
        <v>0</v>
      </c>
    </row>
    <row r="607" spans="1:27" x14ac:dyDescent="0.2">
      <c r="A607" s="1">
        <v>3</v>
      </c>
      <c r="B607" s="1" t="s">
        <v>23</v>
      </c>
      <c r="C607" s="1" t="s">
        <v>22</v>
      </c>
      <c r="D607" s="1">
        <v>1970</v>
      </c>
      <c r="E607" s="8">
        <v>0</v>
      </c>
      <c r="G607" s="1">
        <v>0</v>
      </c>
      <c r="H607" s="1">
        <v>0</v>
      </c>
      <c r="I607" s="1">
        <v>4.0299999999999999E-11</v>
      </c>
      <c r="J607" s="1">
        <v>3.7916666656666665E-11</v>
      </c>
      <c r="K607" s="1">
        <v>3.9999999989999998E-11</v>
      </c>
      <c r="L607" s="1">
        <v>4.38E-11</v>
      </c>
      <c r="M607" s="1" t="s">
        <v>677</v>
      </c>
      <c r="N607" s="1" t="s">
        <v>36</v>
      </c>
      <c r="O607" s="1" t="s">
        <v>609</v>
      </c>
      <c r="P607" s="1" t="s">
        <v>37</v>
      </c>
      <c r="Q607" s="1">
        <v>0</v>
      </c>
      <c r="S607" s="1">
        <v>0</v>
      </c>
      <c r="T607" s="1">
        <v>0</v>
      </c>
      <c r="V607" s="1">
        <f t="shared" si="7"/>
        <v>0</v>
      </c>
      <c r="W607" s="1">
        <v>1</v>
      </c>
      <c r="X607" s="26">
        <v>14.108849570639242</v>
      </c>
      <c r="Y607" s="1">
        <v>1</v>
      </c>
      <c r="Z607" s="92">
        <v>1</v>
      </c>
      <c r="AA607" s="8">
        <v>0</v>
      </c>
    </row>
    <row r="608" spans="1:27" x14ac:dyDescent="0.2">
      <c r="A608" s="1">
        <v>3</v>
      </c>
      <c r="B608" s="1" t="s">
        <v>23</v>
      </c>
      <c r="C608" s="1" t="s">
        <v>22</v>
      </c>
      <c r="D608" s="1">
        <v>1971</v>
      </c>
      <c r="E608" s="8">
        <v>0</v>
      </c>
      <c r="G608" s="1">
        <v>0</v>
      </c>
      <c r="H608" s="1">
        <v>0</v>
      </c>
      <c r="I608" s="1">
        <v>5.0199999999999999E-11</v>
      </c>
      <c r="J608" s="1">
        <v>4.5216666656666669E-11</v>
      </c>
      <c r="K608" s="1">
        <v>4.9999999989999996E-11</v>
      </c>
      <c r="L608" s="1">
        <v>1.0099999999999999E-10</v>
      </c>
      <c r="M608" s="1" t="s">
        <v>677</v>
      </c>
      <c r="N608" s="1" t="s">
        <v>36</v>
      </c>
      <c r="O608" s="1" t="s">
        <v>609</v>
      </c>
      <c r="P608" s="1" t="s">
        <v>37</v>
      </c>
      <c r="Q608" s="1">
        <v>0</v>
      </c>
      <c r="S608" s="1">
        <v>0</v>
      </c>
      <c r="T608" s="1">
        <v>0</v>
      </c>
      <c r="V608" s="1">
        <f t="shared" si="7"/>
        <v>0</v>
      </c>
      <c r="W608" s="1">
        <v>0</v>
      </c>
      <c r="X608" s="33">
        <v>37.216249036281567</v>
      </c>
      <c r="Y608" s="1">
        <v>1</v>
      </c>
      <c r="Z608" s="3">
        <v>0</v>
      </c>
      <c r="AA608" s="36">
        <v>1</v>
      </c>
    </row>
    <row r="609" spans="1:27" x14ac:dyDescent="0.2">
      <c r="A609" s="1">
        <v>3</v>
      </c>
      <c r="B609" s="1" t="s">
        <v>23</v>
      </c>
      <c r="C609" s="1" t="s">
        <v>22</v>
      </c>
      <c r="D609" s="1">
        <v>1972</v>
      </c>
      <c r="E609" s="8">
        <v>0</v>
      </c>
      <c r="G609" s="1">
        <v>0</v>
      </c>
      <c r="H609" s="1">
        <v>0</v>
      </c>
      <c r="I609" s="1">
        <v>5.01E-11</v>
      </c>
      <c r="J609" s="1">
        <v>4.9999999990000009E-11</v>
      </c>
      <c r="K609" s="1">
        <v>4.9999999989999996E-11</v>
      </c>
      <c r="L609" s="1">
        <v>1.1599999999999999E-10</v>
      </c>
      <c r="M609" s="1" t="s">
        <v>677</v>
      </c>
      <c r="N609" s="1" t="s">
        <v>36</v>
      </c>
      <c r="O609" s="1" t="s">
        <v>609</v>
      </c>
      <c r="P609" s="1" t="s">
        <v>37</v>
      </c>
      <c r="Q609" s="1">
        <v>0</v>
      </c>
      <c r="S609" s="1">
        <v>0</v>
      </c>
      <c r="T609" s="1">
        <v>0</v>
      </c>
      <c r="V609" s="1">
        <f t="shared" si="7"/>
        <v>0</v>
      </c>
      <c r="W609" s="1">
        <v>1</v>
      </c>
      <c r="X609" s="33">
        <v>58.834661974615727</v>
      </c>
      <c r="Y609" s="1">
        <v>1</v>
      </c>
      <c r="Z609" s="92">
        <v>1</v>
      </c>
      <c r="AA609" s="36">
        <v>1</v>
      </c>
    </row>
    <row r="610" spans="1:27" x14ac:dyDescent="0.2">
      <c r="A610" s="1">
        <v>3</v>
      </c>
      <c r="B610" s="1" t="s">
        <v>23</v>
      </c>
      <c r="C610" s="1" t="s">
        <v>22</v>
      </c>
      <c r="D610" s="1">
        <v>1973</v>
      </c>
      <c r="E610" s="8">
        <v>0</v>
      </c>
      <c r="G610" s="1">
        <v>0</v>
      </c>
      <c r="H610" s="1">
        <v>0</v>
      </c>
      <c r="I610" s="1">
        <v>9.9799999999999994E-11</v>
      </c>
      <c r="J610" s="1">
        <v>4.9999999990000009E-11</v>
      </c>
      <c r="K610" s="1">
        <v>4.9999999989999996E-11</v>
      </c>
      <c r="L610" s="1">
        <v>1.1000000000000001E-10</v>
      </c>
      <c r="M610" s="1" t="s">
        <v>677</v>
      </c>
      <c r="N610" s="1" t="s">
        <v>36</v>
      </c>
      <c r="O610" s="1" t="s">
        <v>609</v>
      </c>
      <c r="P610" s="1" t="s">
        <v>37</v>
      </c>
      <c r="Q610" s="1">
        <v>0</v>
      </c>
      <c r="S610" s="1">
        <v>0</v>
      </c>
      <c r="T610" s="1">
        <v>0</v>
      </c>
      <c r="V610" s="1">
        <f t="shared" si="7"/>
        <v>0</v>
      </c>
      <c r="W610" s="1">
        <v>1</v>
      </c>
      <c r="X610" s="33">
        <v>59.964047704543106</v>
      </c>
      <c r="Y610" s="1">
        <v>1</v>
      </c>
      <c r="Z610" s="92">
        <v>1</v>
      </c>
      <c r="AA610" s="36">
        <v>1</v>
      </c>
    </row>
    <row r="611" spans="1:27" x14ac:dyDescent="0.2">
      <c r="A611" s="1">
        <v>3</v>
      </c>
      <c r="B611" s="1" t="s">
        <v>23</v>
      </c>
      <c r="C611" s="1" t="s">
        <v>22</v>
      </c>
      <c r="D611" s="1">
        <v>1974</v>
      </c>
      <c r="E611" s="8">
        <v>0</v>
      </c>
      <c r="G611" s="1">
        <v>0</v>
      </c>
      <c r="H611" s="1">
        <v>0</v>
      </c>
      <c r="I611" s="1">
        <v>9.9799999999999994E-11</v>
      </c>
      <c r="J611" s="1">
        <v>4.9999999990000009E-11</v>
      </c>
      <c r="K611" s="1">
        <v>4.9999999989999996E-11</v>
      </c>
      <c r="L611" s="1">
        <v>2.3149999999999998E-10</v>
      </c>
      <c r="M611" s="1" t="s">
        <v>677</v>
      </c>
      <c r="N611" s="1" t="s">
        <v>36</v>
      </c>
      <c r="O611" s="1" t="s">
        <v>609</v>
      </c>
      <c r="P611" s="1" t="s">
        <v>37</v>
      </c>
      <c r="Q611" s="1">
        <v>0</v>
      </c>
      <c r="S611" s="1">
        <v>0</v>
      </c>
      <c r="T611" s="1">
        <v>0</v>
      </c>
      <c r="V611" s="1">
        <f t="shared" si="7"/>
        <v>0</v>
      </c>
      <c r="W611" s="1">
        <v>0</v>
      </c>
      <c r="X611" s="33">
        <v>23.838741418285608</v>
      </c>
      <c r="Y611" s="1">
        <v>1</v>
      </c>
      <c r="Z611" s="3">
        <v>0</v>
      </c>
      <c r="AA611" s="36">
        <v>1</v>
      </c>
    </row>
    <row r="612" spans="1:27" x14ac:dyDescent="0.2">
      <c r="A612" s="1">
        <v>3</v>
      </c>
      <c r="B612" s="1" t="s">
        <v>23</v>
      </c>
      <c r="C612" s="1" t="s">
        <v>22</v>
      </c>
      <c r="D612" s="1">
        <v>1975</v>
      </c>
      <c r="E612" s="8">
        <v>0</v>
      </c>
      <c r="G612" s="1">
        <v>0</v>
      </c>
      <c r="H612" s="1">
        <v>0</v>
      </c>
      <c r="I612" s="1">
        <v>8.6400000000000001E-10</v>
      </c>
      <c r="J612" s="1">
        <v>3.6574999999500001E-10</v>
      </c>
      <c r="K612" s="1">
        <v>7.9199999999999995E-10</v>
      </c>
      <c r="L612" s="1">
        <v>1.3599999999999999E-9</v>
      </c>
      <c r="M612" s="1" t="s">
        <v>677</v>
      </c>
      <c r="N612" s="1" t="s">
        <v>36</v>
      </c>
      <c r="O612" s="1" t="s">
        <v>609</v>
      </c>
      <c r="P612" s="1" t="s">
        <v>37</v>
      </c>
      <c r="Q612" s="1">
        <v>0</v>
      </c>
      <c r="S612" s="1">
        <v>0</v>
      </c>
      <c r="T612" s="1">
        <v>0</v>
      </c>
      <c r="V612" s="1">
        <f t="shared" si="7"/>
        <v>0</v>
      </c>
      <c r="W612" s="1">
        <v>1</v>
      </c>
      <c r="X612" s="33">
        <v>220.95059526144877</v>
      </c>
      <c r="Y612" s="1">
        <v>1</v>
      </c>
      <c r="Z612" s="3">
        <v>0</v>
      </c>
      <c r="AA612" s="36">
        <v>1</v>
      </c>
    </row>
    <row r="613" spans="1:27" x14ac:dyDescent="0.2">
      <c r="A613" s="1">
        <v>3</v>
      </c>
      <c r="B613" s="1" t="s">
        <v>23</v>
      </c>
      <c r="C613" s="1" t="s">
        <v>22</v>
      </c>
      <c r="D613" s="1">
        <v>1976</v>
      </c>
      <c r="E613" s="8">
        <v>0</v>
      </c>
      <c r="G613" s="1">
        <v>0</v>
      </c>
      <c r="H613" s="1">
        <v>0</v>
      </c>
      <c r="I613" s="1">
        <v>2.6500000000000002E-9</v>
      </c>
      <c r="J613" s="1">
        <v>1.3998333333316666E-9</v>
      </c>
      <c r="K613" s="1">
        <v>2.6909999999899997E-9</v>
      </c>
      <c r="L613" s="1">
        <v>2.7999999999999998E-9</v>
      </c>
      <c r="M613" s="1" t="s">
        <v>677</v>
      </c>
      <c r="N613" s="1" t="s">
        <v>36</v>
      </c>
      <c r="O613" s="1" t="s">
        <v>609</v>
      </c>
      <c r="P613" s="1" t="s">
        <v>37</v>
      </c>
      <c r="Q613" s="1">
        <v>0</v>
      </c>
      <c r="S613" s="1">
        <v>0</v>
      </c>
      <c r="T613" s="1">
        <v>0</v>
      </c>
      <c r="V613" s="1">
        <f t="shared" si="7"/>
        <v>0</v>
      </c>
      <c r="W613" s="1">
        <v>0</v>
      </c>
      <c r="X613" s="33">
        <v>419.49253589588841</v>
      </c>
      <c r="Y613" s="1">
        <v>1</v>
      </c>
      <c r="Z613" s="3">
        <v>0</v>
      </c>
      <c r="AA613" s="36">
        <v>1</v>
      </c>
    </row>
    <row r="614" spans="1:27" x14ac:dyDescent="0.2">
      <c r="A614" s="1">
        <v>3</v>
      </c>
      <c r="B614" s="1" t="s">
        <v>23</v>
      </c>
      <c r="C614" s="1" t="s">
        <v>22</v>
      </c>
      <c r="D614" s="1">
        <v>1977</v>
      </c>
      <c r="E614" s="8">
        <v>0</v>
      </c>
      <c r="G614" s="1">
        <v>0</v>
      </c>
      <c r="H614" s="1">
        <v>0</v>
      </c>
      <c r="I614" s="1">
        <v>4.5500000000000002E-9</v>
      </c>
      <c r="J614" s="1">
        <v>4.0763333333283327E-9</v>
      </c>
      <c r="K614" s="1">
        <v>5.7679999999699997E-9</v>
      </c>
      <c r="L614" s="1">
        <v>6.0499999999999996E-9</v>
      </c>
      <c r="M614" s="1" t="s">
        <v>677</v>
      </c>
      <c r="N614" s="1" t="s">
        <v>36</v>
      </c>
      <c r="O614" s="1" t="s">
        <v>609</v>
      </c>
      <c r="P614" s="1" t="s">
        <v>37</v>
      </c>
      <c r="Q614" s="1">
        <v>0</v>
      </c>
      <c r="S614" s="1">
        <v>0</v>
      </c>
      <c r="T614" s="1">
        <v>0</v>
      </c>
      <c r="V614" s="1">
        <f t="shared" si="7"/>
        <v>0</v>
      </c>
      <c r="W614" s="1">
        <v>1</v>
      </c>
      <c r="X614" s="33">
        <v>170.47050865066274</v>
      </c>
      <c r="Y614" s="1">
        <v>1</v>
      </c>
      <c r="Z614" s="3">
        <v>0</v>
      </c>
      <c r="AA614" s="36">
        <v>1</v>
      </c>
    </row>
    <row r="615" spans="1:27" x14ac:dyDescent="0.2">
      <c r="A615" s="1">
        <v>3</v>
      </c>
      <c r="B615" s="1" t="s">
        <v>23</v>
      </c>
      <c r="C615" s="1" t="s">
        <v>22</v>
      </c>
      <c r="D615" s="1">
        <v>1978</v>
      </c>
      <c r="E615" s="8">
        <v>0</v>
      </c>
      <c r="G615" s="1">
        <v>0</v>
      </c>
      <c r="H615" s="1">
        <v>0</v>
      </c>
      <c r="I615" s="1">
        <v>9.5000000000000007E-9</v>
      </c>
      <c r="J615" s="1">
        <v>7.9574999999958329E-9</v>
      </c>
      <c r="K615" s="1">
        <v>9.786000000009998E-9</v>
      </c>
      <c r="L615" s="1">
        <v>1.0109999999999999E-8</v>
      </c>
      <c r="M615" s="1" t="s">
        <v>677</v>
      </c>
      <c r="N615" s="1" t="s">
        <v>36</v>
      </c>
      <c r="O615" s="1" t="s">
        <v>609</v>
      </c>
      <c r="P615" s="1" t="s">
        <v>37</v>
      </c>
      <c r="Q615" s="1">
        <v>0</v>
      </c>
      <c r="S615" s="1">
        <v>0</v>
      </c>
      <c r="T615" s="1">
        <v>0</v>
      </c>
      <c r="V615" s="1">
        <f t="shared" si="7"/>
        <v>0</v>
      </c>
      <c r="W615" s="1">
        <v>0</v>
      </c>
      <c r="X615" s="33">
        <v>174.13489077082744</v>
      </c>
      <c r="Y615" s="1">
        <v>1</v>
      </c>
      <c r="Z615" s="3">
        <v>0</v>
      </c>
      <c r="AA615" s="36">
        <v>1</v>
      </c>
    </row>
    <row r="616" spans="1:27" x14ac:dyDescent="0.2">
      <c r="A616" s="1">
        <v>3</v>
      </c>
      <c r="B616" s="1" t="s">
        <v>23</v>
      </c>
      <c r="C616" s="1" t="s">
        <v>22</v>
      </c>
      <c r="D616" s="1">
        <v>1979</v>
      </c>
      <c r="E616" s="8">
        <v>0</v>
      </c>
      <c r="G616" s="1">
        <v>0</v>
      </c>
      <c r="H616" s="1">
        <v>0</v>
      </c>
      <c r="I616" s="1">
        <v>1.6184999999999999E-8</v>
      </c>
      <c r="J616" s="1">
        <v>1.3169666666640833E-8</v>
      </c>
      <c r="K616" s="1">
        <v>1.5968999999979998E-8</v>
      </c>
      <c r="L616" s="1">
        <v>1.6199999999999999E-8</v>
      </c>
      <c r="M616" s="1" t="s">
        <v>677</v>
      </c>
      <c r="N616" s="1" t="s">
        <v>36</v>
      </c>
      <c r="O616" s="1" t="s">
        <v>609</v>
      </c>
      <c r="P616" s="1" t="s">
        <v>37</v>
      </c>
      <c r="Q616" s="1">
        <v>0</v>
      </c>
      <c r="S616" s="1">
        <v>0</v>
      </c>
      <c r="T616" s="1">
        <v>0</v>
      </c>
      <c r="V616" s="1">
        <f t="shared" si="7"/>
        <v>0</v>
      </c>
      <c r="W616" s="1">
        <v>0</v>
      </c>
      <c r="X616" s="33">
        <v>165.87475016347906</v>
      </c>
      <c r="Y616" s="1">
        <v>1</v>
      </c>
      <c r="Z616" s="3">
        <v>0</v>
      </c>
      <c r="AA616" s="36">
        <v>1</v>
      </c>
    </row>
    <row r="617" spans="1:27" x14ac:dyDescent="0.2">
      <c r="A617" s="1">
        <v>3</v>
      </c>
      <c r="B617" s="1" t="s">
        <v>23</v>
      </c>
      <c r="C617" s="1" t="s">
        <v>22</v>
      </c>
      <c r="D617" s="1">
        <v>1980</v>
      </c>
      <c r="E617" s="4">
        <v>1</v>
      </c>
      <c r="F617" s="1" t="s">
        <v>28</v>
      </c>
      <c r="G617" s="1">
        <v>1</v>
      </c>
      <c r="H617" s="1">
        <v>0</v>
      </c>
      <c r="I617" s="1">
        <v>1.9907500000000001E-8</v>
      </c>
      <c r="J617" s="1">
        <v>1.83715833333225E-8</v>
      </c>
      <c r="K617" s="1">
        <v>1.983E-8</v>
      </c>
      <c r="L617" s="1">
        <v>1.9989999999999999E-8</v>
      </c>
      <c r="M617" s="1" t="s">
        <v>677</v>
      </c>
      <c r="N617" s="1" t="s">
        <v>36</v>
      </c>
      <c r="O617" s="1" t="s">
        <v>609</v>
      </c>
      <c r="P617" s="1" t="s">
        <v>37</v>
      </c>
      <c r="Q617" s="1">
        <v>0</v>
      </c>
      <c r="S617" s="1">
        <v>0</v>
      </c>
      <c r="T617" s="1">
        <v>0</v>
      </c>
      <c r="V617" s="1">
        <f t="shared" si="7"/>
        <v>0</v>
      </c>
      <c r="W617" s="1">
        <v>1</v>
      </c>
      <c r="X617" s="33">
        <v>100.764</v>
      </c>
      <c r="Y617" s="1">
        <v>1</v>
      </c>
      <c r="Z617" s="3">
        <v>0</v>
      </c>
      <c r="AA617" s="36">
        <v>1</v>
      </c>
    </row>
    <row r="618" spans="1:27" x14ac:dyDescent="0.2">
      <c r="A618" s="1">
        <v>3</v>
      </c>
      <c r="B618" s="1" t="s">
        <v>23</v>
      </c>
      <c r="C618" s="1" t="s">
        <v>22</v>
      </c>
      <c r="D618" s="1">
        <v>1981</v>
      </c>
      <c r="E618" s="4">
        <v>1</v>
      </c>
      <c r="F618" s="1" t="s">
        <v>28</v>
      </c>
      <c r="G618" s="1">
        <v>1</v>
      </c>
      <c r="H618" s="1">
        <v>0</v>
      </c>
      <c r="I618" s="1">
        <v>1.0562499999999999E-7</v>
      </c>
      <c r="J618" s="1">
        <v>4.4026916666672502E-8</v>
      </c>
      <c r="K618" s="1">
        <v>7.0168999999759983E-8</v>
      </c>
      <c r="L618" s="1">
        <v>1.0700000000000001E-7</v>
      </c>
      <c r="M618" s="1" t="s">
        <v>677</v>
      </c>
      <c r="N618" s="1" t="s">
        <v>36</v>
      </c>
      <c r="O618" s="1" t="s">
        <v>609</v>
      </c>
      <c r="P618" s="1" t="s">
        <v>37</v>
      </c>
      <c r="Q618" s="1">
        <v>0</v>
      </c>
      <c r="S618" s="1">
        <v>0</v>
      </c>
      <c r="T618" s="1">
        <v>0</v>
      </c>
      <c r="V618" s="1">
        <f t="shared" si="7"/>
        <v>0</v>
      </c>
      <c r="W618" s="1">
        <v>0</v>
      </c>
      <c r="X618" s="33">
        <v>104.477</v>
      </c>
      <c r="Y618" s="1">
        <v>1</v>
      </c>
      <c r="Z618" s="3">
        <v>0</v>
      </c>
      <c r="AA618" s="36">
        <v>1</v>
      </c>
    </row>
    <row r="619" spans="1:27" x14ac:dyDescent="0.2">
      <c r="A619" s="1">
        <v>3</v>
      </c>
      <c r="B619" s="1" t="s">
        <v>23</v>
      </c>
      <c r="C619" s="1" t="s">
        <v>22</v>
      </c>
      <c r="D619" s="1">
        <v>1982</v>
      </c>
      <c r="E619" s="4">
        <v>1</v>
      </c>
      <c r="F619" s="1" t="s">
        <v>28</v>
      </c>
      <c r="G619" s="1">
        <v>1</v>
      </c>
      <c r="H619" s="1">
        <v>0</v>
      </c>
      <c r="I619" s="1">
        <v>4.8532499999999999E-7</v>
      </c>
      <c r="J619" s="1">
        <v>2.592253333332633E-7</v>
      </c>
      <c r="K619" s="1">
        <v>4.5995999999999994E-7</v>
      </c>
      <c r="L619" s="1">
        <v>6.3500000000000006E-7</v>
      </c>
      <c r="M619" s="1" t="s">
        <v>677</v>
      </c>
      <c r="N619" s="1" t="s">
        <v>36</v>
      </c>
      <c r="O619" s="1" t="s">
        <v>609</v>
      </c>
      <c r="P619" s="1" t="s">
        <v>37</v>
      </c>
      <c r="Q619" s="1">
        <v>1</v>
      </c>
      <c r="R619" s="1" t="s">
        <v>488</v>
      </c>
      <c r="S619" s="1">
        <v>1</v>
      </c>
      <c r="T619" s="1">
        <v>1</v>
      </c>
      <c r="U619" s="1" t="s">
        <v>511</v>
      </c>
      <c r="V619" s="1">
        <f t="shared" si="7"/>
        <v>1.06</v>
      </c>
      <c r="W619" s="1">
        <v>0</v>
      </c>
      <c r="X619" s="33">
        <v>164.779</v>
      </c>
      <c r="Y619" s="1">
        <v>1</v>
      </c>
      <c r="Z619" s="3">
        <v>0</v>
      </c>
      <c r="AA619" s="36">
        <v>1</v>
      </c>
    </row>
    <row r="620" spans="1:27" x14ac:dyDescent="0.2">
      <c r="A620" s="1">
        <v>3</v>
      </c>
      <c r="B620" s="1" t="s">
        <v>23</v>
      </c>
      <c r="C620" s="1" t="s">
        <v>22</v>
      </c>
      <c r="D620" s="1">
        <v>1983</v>
      </c>
      <c r="E620" s="8">
        <v>0</v>
      </c>
      <c r="G620" s="1">
        <v>0</v>
      </c>
      <c r="H620" s="1">
        <v>0</v>
      </c>
      <c r="I620" s="1">
        <v>2.3255999999999998E-6</v>
      </c>
      <c r="J620" s="1">
        <v>1.0529957499584125E-6</v>
      </c>
      <c r="K620" s="1">
        <v>2.1370099998999996E-6</v>
      </c>
      <c r="L620" s="1">
        <v>2.5899999999999998E-6</v>
      </c>
      <c r="M620" s="1" t="s">
        <v>677</v>
      </c>
      <c r="N620" s="1" t="s">
        <v>36</v>
      </c>
      <c r="O620" s="1" t="s">
        <v>609</v>
      </c>
      <c r="P620" s="1" t="s">
        <v>37</v>
      </c>
      <c r="Q620" s="1">
        <v>0</v>
      </c>
      <c r="S620" s="1">
        <v>1</v>
      </c>
      <c r="T620" s="1">
        <v>1</v>
      </c>
      <c r="U620" s="1" t="s">
        <v>511</v>
      </c>
      <c r="V620" s="1">
        <f t="shared" si="7"/>
        <v>1.06</v>
      </c>
      <c r="W620" s="1">
        <v>0</v>
      </c>
      <c r="X620" s="33">
        <v>343.8</v>
      </c>
      <c r="Y620" s="1">
        <v>1</v>
      </c>
      <c r="Z620" s="3">
        <v>0</v>
      </c>
      <c r="AA620" s="36">
        <v>1</v>
      </c>
    </row>
    <row r="621" spans="1:27" x14ac:dyDescent="0.2">
      <c r="A621" s="1">
        <v>3</v>
      </c>
      <c r="B621" s="1" t="s">
        <v>23</v>
      </c>
      <c r="C621" s="1" t="s">
        <v>22</v>
      </c>
      <c r="D621" s="1">
        <v>1984</v>
      </c>
      <c r="E621" s="8">
        <v>0</v>
      </c>
      <c r="G621" s="1">
        <v>0</v>
      </c>
      <c r="H621" s="1">
        <v>0</v>
      </c>
      <c r="I621" s="1">
        <v>1.78698E-5</v>
      </c>
      <c r="J621" s="1">
        <v>6.7649116666E-6</v>
      </c>
      <c r="K621" s="1">
        <v>1.6063699999999997E-5</v>
      </c>
      <c r="L621" s="1">
        <v>1.7899999999999998E-5</v>
      </c>
      <c r="M621" s="1" t="s">
        <v>677</v>
      </c>
      <c r="N621" s="1" t="s">
        <v>36</v>
      </c>
      <c r="O621" s="1" t="s">
        <v>609</v>
      </c>
      <c r="P621" s="1" t="s">
        <v>37</v>
      </c>
      <c r="Q621" s="1">
        <v>0</v>
      </c>
      <c r="S621" s="1">
        <v>1</v>
      </c>
      <c r="T621" s="1">
        <v>1</v>
      </c>
      <c r="U621" s="1" t="s">
        <v>511</v>
      </c>
      <c r="V621" s="1">
        <f t="shared" si="7"/>
        <v>1.06</v>
      </c>
      <c r="W621" s="1">
        <v>1</v>
      </c>
      <c r="X621" s="33">
        <v>626.73400000000004</v>
      </c>
      <c r="Y621" s="1">
        <v>1</v>
      </c>
      <c r="Z621" s="3">
        <v>0</v>
      </c>
      <c r="AA621" s="36">
        <v>1</v>
      </c>
    </row>
    <row r="622" spans="1:27" ht="12.95" customHeight="1" x14ac:dyDescent="0.2">
      <c r="A622" s="1">
        <v>3</v>
      </c>
      <c r="B622" s="1" t="s">
        <v>23</v>
      </c>
      <c r="C622" s="1" t="s">
        <v>22</v>
      </c>
      <c r="D622" s="1">
        <v>1985</v>
      </c>
      <c r="E622" s="8">
        <v>0</v>
      </c>
      <c r="F622" s="1" t="s">
        <v>29</v>
      </c>
      <c r="G622" s="1">
        <v>0</v>
      </c>
      <c r="H622" s="1">
        <v>0</v>
      </c>
      <c r="I622" s="1">
        <v>8.0000000000000007E-5</v>
      </c>
      <c r="J622" s="1">
        <v>6.0180899999999998E-5</v>
      </c>
      <c r="K622" s="1">
        <v>8.0049999999999994E-5</v>
      </c>
      <c r="L622" s="1">
        <v>1.1200000000000001E-4</v>
      </c>
      <c r="M622" s="1" t="s">
        <v>677</v>
      </c>
      <c r="N622" s="1" t="s">
        <v>36</v>
      </c>
      <c r="O622" s="1" t="s">
        <v>609</v>
      </c>
      <c r="P622" s="1" t="s">
        <v>37</v>
      </c>
      <c r="Q622" s="1">
        <v>0</v>
      </c>
      <c r="S622" s="1">
        <v>1</v>
      </c>
      <c r="T622" s="1">
        <v>1</v>
      </c>
      <c r="U622" s="1" t="s">
        <v>511</v>
      </c>
      <c r="V622" s="1">
        <f t="shared" si="7"/>
        <v>1.06</v>
      </c>
      <c r="W622" s="1">
        <v>0</v>
      </c>
      <c r="X622" s="33">
        <v>672.18200000000002</v>
      </c>
      <c r="Y622" s="1">
        <v>1</v>
      </c>
      <c r="Z622" s="3">
        <v>0</v>
      </c>
      <c r="AA622" s="36">
        <v>1</v>
      </c>
    </row>
    <row r="623" spans="1:27" ht="12.75" customHeight="1" x14ac:dyDescent="0.2">
      <c r="A623" s="1">
        <v>3</v>
      </c>
      <c r="B623" s="1" t="s">
        <v>23</v>
      </c>
      <c r="C623" s="1" t="s">
        <v>22</v>
      </c>
      <c r="D623" s="1">
        <v>1986</v>
      </c>
      <c r="E623" s="8">
        <v>0</v>
      </c>
      <c r="G623" s="1">
        <v>0</v>
      </c>
      <c r="H623" s="1">
        <v>0</v>
      </c>
      <c r="I623" s="1">
        <v>1.2559999999999999E-4</v>
      </c>
      <c r="J623" s="1">
        <v>9.4303166666666669E-5</v>
      </c>
      <c r="K623" s="1">
        <v>1.2108999999999998E-4</v>
      </c>
      <c r="L623" s="1">
        <v>2.1000000000000001E-4</v>
      </c>
      <c r="M623" s="1" t="s">
        <v>677</v>
      </c>
      <c r="N623" s="1" t="s">
        <v>36</v>
      </c>
      <c r="O623" s="1" t="s">
        <v>609</v>
      </c>
      <c r="P623" s="1" t="s">
        <v>37</v>
      </c>
      <c r="Q623" s="1">
        <v>0</v>
      </c>
      <c r="S623" s="1">
        <v>1</v>
      </c>
      <c r="T623" s="1">
        <v>1</v>
      </c>
      <c r="U623" s="1" t="s">
        <v>511</v>
      </c>
      <c r="V623" s="1">
        <f t="shared" si="7"/>
        <v>1.06</v>
      </c>
      <c r="W623" s="1">
        <v>1</v>
      </c>
      <c r="X623" s="33">
        <v>90.09</v>
      </c>
      <c r="Y623" s="1">
        <v>1</v>
      </c>
      <c r="Z623" s="3">
        <v>0</v>
      </c>
      <c r="AA623" s="36">
        <v>1</v>
      </c>
    </row>
    <row r="624" spans="1:27" x14ac:dyDescent="0.2">
      <c r="A624" s="1">
        <v>3</v>
      </c>
      <c r="B624" s="1" t="s">
        <v>23</v>
      </c>
      <c r="C624" s="1" t="s">
        <v>22</v>
      </c>
      <c r="D624" s="1">
        <v>1987</v>
      </c>
      <c r="E624" s="8">
        <v>0</v>
      </c>
      <c r="F624" s="1" t="s">
        <v>31</v>
      </c>
      <c r="G624" s="1">
        <v>1</v>
      </c>
      <c r="H624" s="1">
        <v>0</v>
      </c>
      <c r="I624" s="1">
        <v>4.4099999999999999E-4</v>
      </c>
      <c r="J624" s="1">
        <v>2.1442983333333333E-4</v>
      </c>
      <c r="K624" s="1">
        <v>3.5131599999999995E-4</v>
      </c>
      <c r="L624" s="1">
        <v>5.5000000000000003E-4</v>
      </c>
      <c r="M624" s="1" t="s">
        <v>677</v>
      </c>
      <c r="N624" s="1" t="s">
        <v>36</v>
      </c>
      <c r="O624" s="1" t="s">
        <v>609</v>
      </c>
      <c r="P624" s="1" t="s">
        <v>37</v>
      </c>
      <c r="Q624" s="1">
        <v>0</v>
      </c>
      <c r="S624" s="1">
        <v>1</v>
      </c>
      <c r="T624" s="1">
        <v>1</v>
      </c>
      <c r="U624" s="1" t="s">
        <v>511</v>
      </c>
      <c r="V624" s="1">
        <f t="shared" si="7"/>
        <v>1.06</v>
      </c>
      <c r="W624" s="1">
        <v>0</v>
      </c>
      <c r="X624" s="33">
        <v>131.33500000000001</v>
      </c>
      <c r="Y624" s="1">
        <v>1</v>
      </c>
      <c r="Z624" s="3">
        <v>0</v>
      </c>
      <c r="AA624" s="36">
        <v>1</v>
      </c>
    </row>
    <row r="625" spans="1:27" x14ac:dyDescent="0.2">
      <c r="A625" s="1">
        <v>3</v>
      </c>
      <c r="B625" s="1" t="s">
        <v>23</v>
      </c>
      <c r="C625" s="1" t="s">
        <v>22</v>
      </c>
      <c r="D625" s="1">
        <v>1988</v>
      </c>
      <c r="E625" s="8">
        <v>0</v>
      </c>
      <c r="F625" s="1" t="s">
        <v>31</v>
      </c>
      <c r="G625" s="1">
        <v>1</v>
      </c>
      <c r="H625" s="1">
        <v>0</v>
      </c>
      <c r="I625" s="1">
        <v>1.4893E-3</v>
      </c>
      <c r="J625" s="1">
        <v>8.7526041666666666E-4</v>
      </c>
      <c r="K625" s="1">
        <v>1.3127E-3</v>
      </c>
      <c r="L625" s="1">
        <v>2E-3</v>
      </c>
      <c r="M625" s="1" t="s">
        <v>677</v>
      </c>
      <c r="N625" s="1" t="s">
        <v>36</v>
      </c>
      <c r="O625" s="1" t="s">
        <v>609</v>
      </c>
      <c r="P625" s="1" t="s">
        <v>37</v>
      </c>
      <c r="Q625" s="1">
        <v>0</v>
      </c>
      <c r="S625" s="1">
        <v>1</v>
      </c>
      <c r="T625" s="1">
        <v>1</v>
      </c>
      <c r="U625" s="1" t="s">
        <v>511</v>
      </c>
      <c r="V625" s="1">
        <f t="shared" si="7"/>
        <v>1.06</v>
      </c>
      <c r="W625" s="1">
        <v>0</v>
      </c>
      <c r="X625" s="33">
        <v>342.95400000000001</v>
      </c>
      <c r="Y625" s="1">
        <v>1</v>
      </c>
      <c r="Z625" s="3">
        <v>0</v>
      </c>
      <c r="AA625" s="36">
        <v>1</v>
      </c>
    </row>
    <row r="626" spans="1:27" x14ac:dyDescent="0.2">
      <c r="A626" s="1">
        <v>3</v>
      </c>
      <c r="B626" s="1" t="s">
        <v>23</v>
      </c>
      <c r="C626" s="1" t="s">
        <v>22</v>
      </c>
      <c r="D626" s="1">
        <v>1989</v>
      </c>
      <c r="E626" s="4">
        <v>1</v>
      </c>
      <c r="G626" s="1">
        <v>1</v>
      </c>
      <c r="H626" s="1">
        <v>0</v>
      </c>
      <c r="I626" s="1">
        <v>0.13975000000000001</v>
      </c>
      <c r="J626" s="1">
        <v>4.2333960833333337E-2</v>
      </c>
      <c r="K626" s="1">
        <v>0.14630599999999999</v>
      </c>
      <c r="L626" s="1">
        <v>0.36499999999999999</v>
      </c>
      <c r="M626" s="1" t="s">
        <v>677</v>
      </c>
      <c r="N626" s="1" t="s">
        <v>36</v>
      </c>
      <c r="O626" s="1" t="s">
        <v>609</v>
      </c>
      <c r="P626" s="1" t="s">
        <v>37</v>
      </c>
      <c r="Q626" s="1">
        <v>1</v>
      </c>
      <c r="R626" s="1" t="s">
        <v>489</v>
      </c>
      <c r="S626" s="1">
        <v>1</v>
      </c>
      <c r="T626" s="1">
        <v>1</v>
      </c>
      <c r="U626" s="1" t="s">
        <v>511</v>
      </c>
      <c r="V626" s="1">
        <f t="shared" si="7"/>
        <v>1.06</v>
      </c>
      <c r="W626" s="1">
        <v>0</v>
      </c>
      <c r="X626" s="33">
        <v>3079.4549999999999</v>
      </c>
      <c r="Y626" s="1">
        <v>1</v>
      </c>
      <c r="Z626" s="3">
        <v>0</v>
      </c>
      <c r="AA626" s="36">
        <v>1</v>
      </c>
    </row>
    <row r="627" spans="1:27" x14ac:dyDescent="0.2">
      <c r="A627" s="1">
        <v>3</v>
      </c>
      <c r="B627" s="1" t="s">
        <v>23</v>
      </c>
      <c r="C627" s="1" t="s">
        <v>22</v>
      </c>
      <c r="D627" s="1">
        <v>1990</v>
      </c>
      <c r="E627" s="4">
        <v>1</v>
      </c>
      <c r="G627" s="1">
        <v>1</v>
      </c>
      <c r="H627" s="1">
        <v>0</v>
      </c>
      <c r="I627" s="1">
        <v>0.55825000000000002</v>
      </c>
      <c r="J627" s="1">
        <v>0.4875890833333334</v>
      </c>
      <c r="K627" s="1">
        <v>0.51142599999999983</v>
      </c>
      <c r="L627" s="1">
        <v>0.79500000000000004</v>
      </c>
      <c r="M627" s="1" t="s">
        <v>677</v>
      </c>
      <c r="N627" s="1" t="s">
        <v>36</v>
      </c>
      <c r="O627" s="1" t="s">
        <v>609</v>
      </c>
      <c r="P627" s="1" t="s">
        <v>37</v>
      </c>
      <c r="Q627" s="1">
        <v>1</v>
      </c>
      <c r="R627" s="1" t="s">
        <v>489</v>
      </c>
      <c r="S627" s="1">
        <v>1</v>
      </c>
      <c r="T627" s="1">
        <v>1</v>
      </c>
      <c r="U627" s="1" t="s">
        <v>511</v>
      </c>
      <c r="V627" s="1">
        <f t="shared" si="7"/>
        <v>1.06</v>
      </c>
      <c r="W627" s="1">
        <v>1</v>
      </c>
      <c r="X627" s="33">
        <v>2313.9630000000002</v>
      </c>
      <c r="Y627" s="1">
        <v>1</v>
      </c>
      <c r="Z627" s="3">
        <v>0</v>
      </c>
      <c r="AA627" s="36">
        <v>1</v>
      </c>
    </row>
    <row r="628" spans="1:27" x14ac:dyDescent="0.2">
      <c r="A628" s="1">
        <v>3</v>
      </c>
      <c r="B628" s="1" t="s">
        <v>23</v>
      </c>
      <c r="C628" s="1" t="s">
        <v>22</v>
      </c>
      <c r="D628" s="1">
        <v>1991</v>
      </c>
      <c r="E628" s="8">
        <v>0</v>
      </c>
      <c r="G628" s="1">
        <v>0</v>
      </c>
      <c r="H628" s="1">
        <v>0</v>
      </c>
      <c r="I628" s="1">
        <v>0.99824999999999997</v>
      </c>
      <c r="J628" s="1">
        <v>0.95355441666666663</v>
      </c>
      <c r="K628" s="1">
        <v>0.99129999999999996</v>
      </c>
      <c r="L628" s="1">
        <v>1.1100000000000001</v>
      </c>
      <c r="M628" s="1" t="s">
        <v>677</v>
      </c>
      <c r="N628" s="1" t="s">
        <v>36</v>
      </c>
      <c r="O628" s="1" t="s">
        <v>609</v>
      </c>
      <c r="P628" s="1" t="s">
        <v>37</v>
      </c>
      <c r="Q628" s="1">
        <v>0</v>
      </c>
      <c r="S628" s="1">
        <v>1</v>
      </c>
      <c r="T628" s="1">
        <v>1</v>
      </c>
      <c r="U628" s="1" t="s">
        <v>511</v>
      </c>
      <c r="V628" s="1">
        <f t="shared" si="7"/>
        <v>1.06</v>
      </c>
      <c r="W628" s="1">
        <v>0</v>
      </c>
      <c r="X628" s="33">
        <v>171.672</v>
      </c>
      <c r="Y628" s="1">
        <v>1</v>
      </c>
      <c r="Z628" s="92">
        <v>1</v>
      </c>
      <c r="AA628" s="36">
        <v>1</v>
      </c>
    </row>
    <row r="629" spans="1:27" ht="12.75" customHeight="1" x14ac:dyDescent="0.2">
      <c r="A629" s="1">
        <v>3</v>
      </c>
      <c r="B629" s="1" t="s">
        <v>23</v>
      </c>
      <c r="C629" s="1" t="s">
        <v>22</v>
      </c>
      <c r="D629" s="1">
        <v>1992</v>
      </c>
      <c r="E629" s="8">
        <v>0</v>
      </c>
      <c r="G629" s="1">
        <v>0</v>
      </c>
      <c r="H629" s="1">
        <v>0</v>
      </c>
      <c r="I629" s="1">
        <v>0.998</v>
      </c>
      <c r="J629" s="1">
        <v>0.99064166666666664</v>
      </c>
      <c r="K629" s="1">
        <v>0.99049999999999994</v>
      </c>
      <c r="L629" s="1">
        <v>1.1000000000000001</v>
      </c>
      <c r="M629" s="1" t="s">
        <v>677</v>
      </c>
      <c r="N629" s="1" t="s">
        <v>36</v>
      </c>
      <c r="O629" s="1" t="s">
        <v>609</v>
      </c>
      <c r="P629" s="1" t="s">
        <v>37</v>
      </c>
      <c r="Q629" s="1">
        <v>0</v>
      </c>
      <c r="S629" s="1">
        <v>1</v>
      </c>
      <c r="T629" s="1">
        <v>1</v>
      </c>
      <c r="U629" s="1" t="s">
        <v>511</v>
      </c>
      <c r="V629" s="1">
        <f t="shared" ref="V629:V653" si="8">1.06*S629</f>
        <v>1.06</v>
      </c>
      <c r="W629" s="1">
        <v>1</v>
      </c>
      <c r="X629" s="33">
        <v>24.9</v>
      </c>
      <c r="Y629" s="1">
        <v>1</v>
      </c>
      <c r="Z629" s="92">
        <v>1</v>
      </c>
      <c r="AA629" s="36">
        <v>1</v>
      </c>
    </row>
    <row r="630" spans="1:27" x14ac:dyDescent="0.2">
      <c r="A630" s="1">
        <v>3</v>
      </c>
      <c r="B630" s="1" t="s">
        <v>23</v>
      </c>
      <c r="C630" s="1" t="s">
        <v>22</v>
      </c>
      <c r="D630" s="1">
        <v>1993</v>
      </c>
      <c r="E630" s="8">
        <v>0</v>
      </c>
      <c r="G630" s="1">
        <v>0</v>
      </c>
      <c r="H630" s="1">
        <v>0</v>
      </c>
      <c r="I630" s="1">
        <v>0.998</v>
      </c>
      <c r="J630" s="1">
        <v>0.99894583333333342</v>
      </c>
      <c r="K630" s="1">
        <v>0.99849999999999994</v>
      </c>
      <c r="L630" s="1">
        <v>1.1000000000000001</v>
      </c>
      <c r="M630" s="1" t="s">
        <v>677</v>
      </c>
      <c r="N630" s="1" t="s">
        <v>36</v>
      </c>
      <c r="O630" s="1" t="s">
        <v>609</v>
      </c>
      <c r="P630" s="1" t="s">
        <v>37</v>
      </c>
      <c r="Q630" s="1">
        <v>0</v>
      </c>
      <c r="S630" s="1">
        <v>1</v>
      </c>
      <c r="T630" s="1">
        <v>1</v>
      </c>
      <c r="U630" s="1" t="s">
        <v>511</v>
      </c>
      <c r="V630" s="1">
        <f t="shared" si="8"/>
        <v>1.06</v>
      </c>
      <c r="W630" s="1">
        <v>0</v>
      </c>
      <c r="X630" s="26">
        <v>18.512</v>
      </c>
      <c r="Y630" s="1">
        <v>1</v>
      </c>
      <c r="Z630" s="92">
        <v>1</v>
      </c>
      <c r="AA630" s="8">
        <v>0</v>
      </c>
    </row>
    <row r="631" spans="1:27" x14ac:dyDescent="0.2">
      <c r="A631" s="1">
        <v>3</v>
      </c>
      <c r="B631" s="1" t="s">
        <v>23</v>
      </c>
      <c r="C631" s="1" t="s">
        <v>22</v>
      </c>
      <c r="D631" s="1">
        <v>1994</v>
      </c>
      <c r="E631" s="8">
        <v>0</v>
      </c>
      <c r="G631" s="1">
        <v>0</v>
      </c>
      <c r="H631" s="1">
        <v>0</v>
      </c>
      <c r="I631" s="1">
        <v>1</v>
      </c>
      <c r="J631" s="1">
        <v>0.99900833333333339</v>
      </c>
      <c r="K631" s="1">
        <v>0.99869999999999992</v>
      </c>
      <c r="L631" s="1">
        <v>1.01</v>
      </c>
      <c r="M631" s="1" t="s">
        <v>677</v>
      </c>
      <c r="N631" s="1" t="s">
        <v>36</v>
      </c>
      <c r="O631" s="1" t="s">
        <v>609</v>
      </c>
      <c r="P631" s="1" t="s">
        <v>37</v>
      </c>
      <c r="Q631" s="1">
        <v>0</v>
      </c>
      <c r="S631" s="1">
        <v>0</v>
      </c>
      <c r="T631" s="1">
        <v>0</v>
      </c>
      <c r="V631" s="1">
        <f t="shared" si="8"/>
        <v>0</v>
      </c>
      <c r="W631" s="1">
        <v>1</v>
      </c>
      <c r="X631" s="26">
        <v>4.1769999999999996</v>
      </c>
      <c r="Y631" s="1">
        <v>1</v>
      </c>
      <c r="Z631" s="92">
        <v>1</v>
      </c>
      <c r="AA631" s="8">
        <v>0</v>
      </c>
    </row>
    <row r="632" spans="1:27" x14ac:dyDescent="0.2">
      <c r="A632" s="1">
        <v>3</v>
      </c>
      <c r="B632" s="1" t="s">
        <v>23</v>
      </c>
      <c r="C632" s="1" t="s">
        <v>22</v>
      </c>
      <c r="D632" s="1">
        <v>1995</v>
      </c>
      <c r="E632" s="4">
        <v>1</v>
      </c>
      <c r="F632" s="1" t="s">
        <v>30</v>
      </c>
      <c r="G632" s="1">
        <v>1</v>
      </c>
      <c r="H632" s="1">
        <v>0</v>
      </c>
      <c r="I632" s="1">
        <v>0.99980000000000002</v>
      </c>
      <c r="J632" s="1">
        <v>0.99975000000000003</v>
      </c>
      <c r="K632" s="1">
        <v>1</v>
      </c>
      <c r="L632" s="1">
        <v>1</v>
      </c>
      <c r="M632" s="1" t="s">
        <v>677</v>
      </c>
      <c r="N632" s="1" t="s">
        <v>36</v>
      </c>
      <c r="O632" s="1" t="s">
        <v>609</v>
      </c>
      <c r="P632" s="1" t="s">
        <v>37</v>
      </c>
      <c r="Q632" s="1">
        <v>0</v>
      </c>
      <c r="S632" s="1">
        <v>0</v>
      </c>
      <c r="T632" s="1">
        <v>0</v>
      </c>
      <c r="V632" s="1">
        <f t="shared" si="8"/>
        <v>0</v>
      </c>
      <c r="W632" s="1">
        <v>0</v>
      </c>
      <c r="X632" s="26">
        <v>3.3759999999999999</v>
      </c>
      <c r="Y632" s="1">
        <v>1</v>
      </c>
      <c r="Z632" s="92">
        <v>2</v>
      </c>
      <c r="AA632" s="8">
        <v>0</v>
      </c>
    </row>
    <row r="633" spans="1:27" x14ac:dyDescent="0.2">
      <c r="A633" s="1">
        <v>3</v>
      </c>
      <c r="B633" s="1" t="s">
        <v>23</v>
      </c>
      <c r="C633" s="1" t="s">
        <v>22</v>
      </c>
      <c r="D633" s="1">
        <v>1996</v>
      </c>
      <c r="E633" s="4">
        <v>1</v>
      </c>
      <c r="F633" s="1" t="s">
        <v>30</v>
      </c>
      <c r="G633" s="1">
        <v>1</v>
      </c>
      <c r="H633" s="1">
        <v>0</v>
      </c>
      <c r="I633" s="1">
        <v>0.99980000000000002</v>
      </c>
      <c r="J633" s="1">
        <v>0.9996624999999999</v>
      </c>
      <c r="K633" s="1">
        <v>0.99949999999999994</v>
      </c>
      <c r="L633" s="1">
        <v>1.01</v>
      </c>
      <c r="M633" s="1" t="s">
        <v>677</v>
      </c>
      <c r="N633" s="1" t="s">
        <v>36</v>
      </c>
      <c r="O633" s="1" t="s">
        <v>609</v>
      </c>
      <c r="P633" s="1" t="s">
        <v>37</v>
      </c>
      <c r="Q633" s="1">
        <v>0</v>
      </c>
      <c r="S633" s="1">
        <v>0</v>
      </c>
      <c r="T633" s="1">
        <v>0</v>
      </c>
      <c r="V633" s="1">
        <f t="shared" si="8"/>
        <v>0</v>
      </c>
      <c r="W633" s="1">
        <v>0</v>
      </c>
      <c r="X633" s="26">
        <v>0.156</v>
      </c>
      <c r="Y633" s="1">
        <v>1</v>
      </c>
      <c r="Z633" s="92">
        <v>1</v>
      </c>
      <c r="AA633" s="8">
        <v>0</v>
      </c>
    </row>
    <row r="634" spans="1:27" ht="12.75" customHeight="1" x14ac:dyDescent="0.2">
      <c r="A634" s="1">
        <v>3</v>
      </c>
      <c r="B634" s="1" t="s">
        <v>23</v>
      </c>
      <c r="C634" s="1" t="s">
        <v>22</v>
      </c>
      <c r="D634" s="1">
        <v>1997</v>
      </c>
      <c r="E634" s="8">
        <v>0</v>
      </c>
      <c r="G634" s="1">
        <v>0</v>
      </c>
      <c r="H634" s="1">
        <v>0</v>
      </c>
      <c r="I634" s="1">
        <v>0.99980000000000002</v>
      </c>
      <c r="J634" s="1">
        <v>0.99949999999999994</v>
      </c>
      <c r="K634" s="1">
        <v>0.99949999999999994</v>
      </c>
      <c r="L634" s="1">
        <v>1.01</v>
      </c>
      <c r="M634" s="1" t="s">
        <v>677</v>
      </c>
      <c r="N634" s="1" t="s">
        <v>36</v>
      </c>
      <c r="O634" s="1" t="s">
        <v>609</v>
      </c>
      <c r="P634" s="1" t="s">
        <v>37</v>
      </c>
      <c r="Q634" s="1">
        <v>0</v>
      </c>
      <c r="S634" s="1">
        <v>0</v>
      </c>
      <c r="T634" s="1">
        <v>0</v>
      </c>
      <c r="V634" s="1">
        <f t="shared" si="8"/>
        <v>0</v>
      </c>
      <c r="W634" s="1">
        <v>0</v>
      </c>
      <c r="X634" s="26">
        <v>0.52900000000000003</v>
      </c>
      <c r="Y634" s="1">
        <v>1</v>
      </c>
      <c r="Z634" s="92">
        <v>1</v>
      </c>
      <c r="AA634" s="8">
        <v>0</v>
      </c>
    </row>
    <row r="635" spans="1:27" x14ac:dyDescent="0.2">
      <c r="A635" s="1">
        <v>3</v>
      </c>
      <c r="B635" s="1" t="s">
        <v>23</v>
      </c>
      <c r="C635" s="1" t="s">
        <v>22</v>
      </c>
      <c r="D635" s="1">
        <v>1998</v>
      </c>
      <c r="E635" s="8">
        <v>0</v>
      </c>
      <c r="G635" s="1">
        <v>0</v>
      </c>
      <c r="H635" s="1">
        <v>0</v>
      </c>
      <c r="I635" s="1">
        <v>0.999</v>
      </c>
      <c r="J635" s="1">
        <v>0.99949999999999994</v>
      </c>
      <c r="K635" s="1">
        <v>0.99949999999999994</v>
      </c>
      <c r="L635" s="1">
        <v>1</v>
      </c>
      <c r="M635" s="1" t="s">
        <v>677</v>
      </c>
      <c r="N635" s="1" t="s">
        <v>36</v>
      </c>
      <c r="O635" s="1" t="s">
        <v>609</v>
      </c>
      <c r="P635" s="1" t="s">
        <v>37</v>
      </c>
      <c r="Q635" s="1">
        <v>0</v>
      </c>
      <c r="S635" s="1">
        <v>0</v>
      </c>
      <c r="T635" s="1">
        <v>0</v>
      </c>
      <c r="V635" s="1">
        <f t="shared" si="8"/>
        <v>0</v>
      </c>
      <c r="W635" s="1">
        <v>1</v>
      </c>
      <c r="X635" s="26">
        <v>0.92500000000000004</v>
      </c>
      <c r="Y635" s="1">
        <v>1</v>
      </c>
      <c r="Z635" s="92">
        <v>1</v>
      </c>
      <c r="AA635" s="8">
        <v>0</v>
      </c>
    </row>
    <row r="636" spans="1:27" x14ac:dyDescent="0.2">
      <c r="A636" s="1">
        <v>3</v>
      </c>
      <c r="B636" s="1" t="s">
        <v>23</v>
      </c>
      <c r="C636" s="1" t="s">
        <v>22</v>
      </c>
      <c r="D636" s="1">
        <v>1999</v>
      </c>
      <c r="E636" s="8">
        <v>0</v>
      </c>
      <c r="G636" s="1">
        <v>0</v>
      </c>
      <c r="H636" s="1">
        <v>0</v>
      </c>
      <c r="I636" s="1">
        <v>0.99980000000000002</v>
      </c>
      <c r="J636" s="1">
        <v>0.99949999999999994</v>
      </c>
      <c r="L636" s="1">
        <v>1</v>
      </c>
      <c r="M636" s="1" t="s">
        <v>677</v>
      </c>
      <c r="N636" s="1" t="s">
        <v>36</v>
      </c>
      <c r="O636" s="1" t="s">
        <v>609</v>
      </c>
      <c r="P636" s="1" t="s">
        <v>37</v>
      </c>
      <c r="Q636" s="1">
        <v>0</v>
      </c>
      <c r="S636" s="1">
        <v>0</v>
      </c>
      <c r="T636" s="1">
        <v>0</v>
      </c>
      <c r="V636" s="1">
        <f t="shared" si="8"/>
        <v>0</v>
      </c>
      <c r="W636" s="1">
        <v>0</v>
      </c>
      <c r="X636" s="26">
        <v>-1.167</v>
      </c>
      <c r="Y636" s="1">
        <v>1</v>
      </c>
      <c r="Z636" s="92">
        <v>2</v>
      </c>
      <c r="AA636" s="8">
        <v>0</v>
      </c>
    </row>
    <row r="637" spans="1:27" x14ac:dyDescent="0.2">
      <c r="A637" s="1">
        <v>3</v>
      </c>
      <c r="B637" s="1" t="s">
        <v>23</v>
      </c>
      <c r="C637" s="1" t="s">
        <v>22</v>
      </c>
      <c r="D637" s="1">
        <v>2000</v>
      </c>
      <c r="E637" s="8">
        <v>0</v>
      </c>
      <c r="G637" s="1">
        <v>0</v>
      </c>
      <c r="H637" s="1">
        <v>0</v>
      </c>
      <c r="I637" s="1">
        <v>0.99839999999999995</v>
      </c>
      <c r="J637" s="1">
        <v>0.99949999999999994</v>
      </c>
      <c r="L637" s="1">
        <v>1</v>
      </c>
      <c r="M637" s="1" t="s">
        <v>677</v>
      </c>
      <c r="N637" s="1" t="s">
        <v>36</v>
      </c>
      <c r="O637" s="1" t="s">
        <v>609</v>
      </c>
      <c r="P637" s="1" t="s">
        <v>37</v>
      </c>
      <c r="Q637" s="1">
        <v>0</v>
      </c>
      <c r="S637" s="1">
        <v>0</v>
      </c>
      <c r="T637" s="1">
        <v>0</v>
      </c>
      <c r="V637" s="1">
        <f t="shared" si="8"/>
        <v>0</v>
      </c>
      <c r="W637" s="1">
        <v>1</v>
      </c>
      <c r="X637" s="26">
        <v>-0.93899999999999995</v>
      </c>
      <c r="Y637" s="1">
        <v>1</v>
      </c>
      <c r="Z637" s="92">
        <v>1</v>
      </c>
      <c r="AA637" s="8">
        <v>0</v>
      </c>
    </row>
    <row r="638" spans="1:27" x14ac:dyDescent="0.2">
      <c r="A638" s="1">
        <v>3</v>
      </c>
      <c r="B638" s="1" t="s">
        <v>23</v>
      </c>
      <c r="C638" s="1" t="s">
        <v>22</v>
      </c>
      <c r="D638" s="1">
        <v>2001</v>
      </c>
      <c r="E638" s="4">
        <v>1</v>
      </c>
      <c r="G638" s="1">
        <v>1</v>
      </c>
      <c r="H638" s="1">
        <v>0</v>
      </c>
      <c r="I638" s="1">
        <v>0.999</v>
      </c>
      <c r="J638" s="1">
        <v>0.99949999999999994</v>
      </c>
      <c r="L638" s="1">
        <v>1</v>
      </c>
      <c r="M638" s="1" t="s">
        <v>677</v>
      </c>
      <c r="N638" s="1" t="s">
        <v>36</v>
      </c>
      <c r="O638" s="1" t="s">
        <v>609</v>
      </c>
      <c r="P638" s="1" t="s">
        <v>37</v>
      </c>
      <c r="Q638" s="1">
        <v>1</v>
      </c>
      <c r="R638" s="1" t="s">
        <v>490</v>
      </c>
      <c r="S638" s="1">
        <v>1</v>
      </c>
      <c r="T638" s="1">
        <v>1</v>
      </c>
      <c r="V638" s="1">
        <f t="shared" si="8"/>
        <v>1.06</v>
      </c>
      <c r="W638" s="1">
        <v>0</v>
      </c>
      <c r="X638" s="26">
        <v>-1.0649999999999999</v>
      </c>
      <c r="Y638" s="1">
        <v>1</v>
      </c>
      <c r="Z638" s="92">
        <v>1</v>
      </c>
      <c r="AA638" s="8">
        <v>0</v>
      </c>
    </row>
    <row r="639" spans="1:27" x14ac:dyDescent="0.2">
      <c r="A639" s="1">
        <v>3</v>
      </c>
      <c r="B639" s="1" t="s">
        <v>23</v>
      </c>
      <c r="C639" s="1" t="s">
        <v>22</v>
      </c>
      <c r="D639" s="1">
        <v>2002</v>
      </c>
      <c r="E639" s="4">
        <v>1</v>
      </c>
      <c r="G639" s="1">
        <v>1</v>
      </c>
      <c r="H639" s="1">
        <v>0</v>
      </c>
      <c r="I639" s="1">
        <v>3.36</v>
      </c>
      <c r="J639" s="1">
        <v>3.0632566666666667</v>
      </c>
      <c r="L639" s="1">
        <v>3.36</v>
      </c>
      <c r="M639" s="1" t="s">
        <v>677</v>
      </c>
      <c r="N639" s="1" t="s">
        <v>36</v>
      </c>
      <c r="O639" s="1" t="s">
        <v>609</v>
      </c>
      <c r="P639" s="1" t="s">
        <v>37</v>
      </c>
      <c r="Q639" s="1">
        <v>1</v>
      </c>
      <c r="R639" s="1" t="s">
        <v>490</v>
      </c>
      <c r="S639" s="1">
        <v>1</v>
      </c>
      <c r="T639" s="1">
        <v>1</v>
      </c>
      <c r="V639" s="1">
        <f t="shared" si="8"/>
        <v>1.06</v>
      </c>
      <c r="W639" s="1">
        <v>0</v>
      </c>
      <c r="X639" s="28">
        <v>25.869</v>
      </c>
      <c r="Y639" s="1">
        <v>1</v>
      </c>
      <c r="Z639" s="92">
        <v>1</v>
      </c>
      <c r="AA639" s="37">
        <v>1</v>
      </c>
    </row>
    <row r="640" spans="1:27" x14ac:dyDescent="0.2">
      <c r="A640" s="1">
        <v>3</v>
      </c>
      <c r="B640" s="1" t="s">
        <v>23</v>
      </c>
      <c r="C640" s="1" t="s">
        <v>22</v>
      </c>
      <c r="D640" s="1">
        <v>2003</v>
      </c>
      <c r="E640" s="4">
        <v>1</v>
      </c>
      <c r="G640" s="1">
        <v>1</v>
      </c>
      <c r="H640" s="1">
        <v>0</v>
      </c>
      <c r="I640" s="1">
        <v>2.9220000000000002</v>
      </c>
      <c r="J640" s="1">
        <v>2.9006291666666666</v>
      </c>
      <c r="L640" s="1">
        <v>2.9220000000000002</v>
      </c>
      <c r="M640" s="1" t="s">
        <v>677</v>
      </c>
      <c r="N640" s="1" t="s">
        <v>36</v>
      </c>
      <c r="O640" s="1" t="s">
        <v>609</v>
      </c>
      <c r="P640" s="1" t="s">
        <v>37</v>
      </c>
      <c r="Q640" s="1">
        <v>1</v>
      </c>
      <c r="R640" s="1" t="s">
        <v>490</v>
      </c>
      <c r="S640" s="1">
        <v>1</v>
      </c>
      <c r="T640" s="1">
        <v>1</v>
      </c>
      <c r="V640" s="1">
        <f t="shared" si="8"/>
        <v>1.06</v>
      </c>
      <c r="W640" s="1">
        <v>0</v>
      </c>
      <c r="X640" s="26">
        <v>13.443</v>
      </c>
      <c r="Y640" s="1">
        <v>1</v>
      </c>
      <c r="Z640" s="92">
        <v>1</v>
      </c>
      <c r="AA640" s="8">
        <v>0</v>
      </c>
    </row>
    <row r="641" spans="1:27" x14ac:dyDescent="0.2">
      <c r="A641" s="1">
        <v>3</v>
      </c>
      <c r="B641" s="1" t="s">
        <v>23</v>
      </c>
      <c r="C641" s="1" t="s">
        <v>22</v>
      </c>
      <c r="D641" s="1">
        <v>2004</v>
      </c>
      <c r="E641" s="9">
        <v>0</v>
      </c>
      <c r="G641" s="1">
        <v>0</v>
      </c>
      <c r="H641" s="1">
        <v>0</v>
      </c>
      <c r="I641" s="1">
        <v>2.9689999999999999</v>
      </c>
      <c r="J641" s="1">
        <v>2.9233008189033192</v>
      </c>
      <c r="L641" s="1">
        <v>2.9689999999999999</v>
      </c>
      <c r="M641" s="1" t="s">
        <v>677</v>
      </c>
      <c r="N641" s="1" t="s">
        <v>36</v>
      </c>
      <c r="O641" s="1" t="s">
        <v>609</v>
      </c>
      <c r="P641" s="1" t="s">
        <v>37</v>
      </c>
      <c r="Q641" s="1">
        <v>1</v>
      </c>
      <c r="R641" s="1" t="s">
        <v>490</v>
      </c>
      <c r="S641" s="1">
        <v>1</v>
      </c>
      <c r="T641" s="1">
        <v>1</v>
      </c>
      <c r="V641" s="1">
        <f t="shared" si="8"/>
        <v>1.06</v>
      </c>
      <c r="W641" s="1">
        <v>0</v>
      </c>
      <c r="X641" s="26">
        <v>4.4160000000000004</v>
      </c>
      <c r="Y641" s="1">
        <v>1</v>
      </c>
      <c r="Z641" s="92">
        <v>1</v>
      </c>
      <c r="AA641" s="8">
        <v>0</v>
      </c>
    </row>
    <row r="642" spans="1:27" x14ac:dyDescent="0.2">
      <c r="A642" s="1">
        <v>3</v>
      </c>
      <c r="B642" s="1" t="s">
        <v>23</v>
      </c>
      <c r="C642" s="1" t="s">
        <v>22</v>
      </c>
      <c r="D642" s="1">
        <v>2005</v>
      </c>
      <c r="E642" s="9">
        <v>0</v>
      </c>
      <c r="G642" s="1">
        <v>0</v>
      </c>
      <c r="H642" s="1">
        <v>0</v>
      </c>
      <c r="I642" s="1">
        <v>3.03</v>
      </c>
      <c r="J642" s="1">
        <v>2.9036575</v>
      </c>
      <c r="L642" s="1">
        <v>3.03</v>
      </c>
      <c r="M642" s="1" t="s">
        <v>677</v>
      </c>
      <c r="N642" s="1" t="s">
        <v>36</v>
      </c>
      <c r="O642" s="1" t="s">
        <v>609</v>
      </c>
      <c r="P642" s="1" t="s">
        <v>37</v>
      </c>
      <c r="Q642" s="1">
        <v>1</v>
      </c>
      <c r="R642" s="1" t="s">
        <v>490</v>
      </c>
      <c r="S642" s="1">
        <v>1</v>
      </c>
      <c r="T642" s="1">
        <v>1</v>
      </c>
      <c r="V642" s="1">
        <f t="shared" si="8"/>
        <v>1.06</v>
      </c>
      <c r="W642" s="1">
        <v>0</v>
      </c>
      <c r="X642" s="26">
        <v>9.6419999999999995</v>
      </c>
      <c r="Y642" s="1">
        <v>1</v>
      </c>
      <c r="Z642" s="92">
        <v>1</v>
      </c>
      <c r="AA642" s="8">
        <v>0</v>
      </c>
    </row>
    <row r="643" spans="1:27" x14ac:dyDescent="0.2">
      <c r="A643" s="1">
        <v>3</v>
      </c>
      <c r="B643" s="1" t="s">
        <v>23</v>
      </c>
      <c r="C643" s="1" t="s">
        <v>22</v>
      </c>
      <c r="D643" s="1">
        <v>2006</v>
      </c>
      <c r="E643" s="9">
        <v>0</v>
      </c>
      <c r="G643" s="1">
        <v>0</v>
      </c>
      <c r="H643" s="1">
        <v>0</v>
      </c>
      <c r="I643" s="1">
        <v>3.0573000000000001</v>
      </c>
      <c r="J643" s="1">
        <v>3.054313333333333</v>
      </c>
      <c r="L643" s="1">
        <v>3.0573000000000001</v>
      </c>
      <c r="M643" s="1" t="s">
        <v>677</v>
      </c>
      <c r="N643" s="1" t="s">
        <v>36</v>
      </c>
      <c r="O643" s="1" t="s">
        <v>609</v>
      </c>
      <c r="P643" s="1" t="s">
        <v>37</v>
      </c>
      <c r="Q643" s="1">
        <v>0</v>
      </c>
      <c r="S643" s="1">
        <v>0</v>
      </c>
      <c r="T643" s="1">
        <v>1</v>
      </c>
      <c r="V643" s="1">
        <f t="shared" si="8"/>
        <v>0</v>
      </c>
      <c r="W643" s="1">
        <v>0</v>
      </c>
      <c r="X643" s="35">
        <v>10.898</v>
      </c>
      <c r="Y643" s="1">
        <v>1</v>
      </c>
      <c r="Z643" s="3">
        <v>0</v>
      </c>
      <c r="AA643" s="8">
        <v>0</v>
      </c>
    </row>
    <row r="644" spans="1:27" x14ac:dyDescent="0.2">
      <c r="A644" s="1">
        <v>3</v>
      </c>
      <c r="B644" s="1" t="s">
        <v>23</v>
      </c>
      <c r="C644" s="1" t="s">
        <v>22</v>
      </c>
      <c r="D644" s="1">
        <v>2007</v>
      </c>
      <c r="E644" s="9">
        <v>0</v>
      </c>
      <c r="G644" s="1">
        <v>0</v>
      </c>
      <c r="H644" s="1">
        <v>0</v>
      </c>
      <c r="I644" s="1">
        <v>3.149</v>
      </c>
      <c r="J644" s="1">
        <v>3.095648849206349</v>
      </c>
      <c r="L644" s="1">
        <v>3.149</v>
      </c>
      <c r="M644" s="1" t="s">
        <v>677</v>
      </c>
      <c r="N644" s="1" t="s">
        <v>36</v>
      </c>
      <c r="O644" s="1" t="s">
        <v>609</v>
      </c>
      <c r="P644" s="1" t="s">
        <v>37</v>
      </c>
      <c r="Q644" s="1">
        <v>0</v>
      </c>
      <c r="S644" s="1">
        <v>0</v>
      </c>
      <c r="T644" s="1">
        <v>1</v>
      </c>
      <c r="V644" s="1">
        <f t="shared" si="8"/>
        <v>0</v>
      </c>
      <c r="W644" s="1">
        <v>0</v>
      </c>
      <c r="X644" s="35">
        <v>8.83</v>
      </c>
      <c r="Y644" s="1">
        <v>1</v>
      </c>
      <c r="Z644" s="3">
        <v>0</v>
      </c>
      <c r="AA644" s="8">
        <v>0</v>
      </c>
    </row>
    <row r="645" spans="1:27" ht="12.95" customHeight="1" x14ac:dyDescent="0.25">
      <c r="A645" s="1">
        <v>3</v>
      </c>
      <c r="B645" s="1" t="s">
        <v>23</v>
      </c>
      <c r="C645" s="1" t="s">
        <v>22</v>
      </c>
      <c r="D645" s="1">
        <v>2008</v>
      </c>
      <c r="E645" s="9">
        <v>0</v>
      </c>
      <c r="G645" s="1">
        <v>0</v>
      </c>
      <c r="H645" s="1">
        <v>0</v>
      </c>
      <c r="I645" s="1">
        <v>3.4525000000000001</v>
      </c>
      <c r="J645" s="1">
        <v>3.1441645598845596</v>
      </c>
      <c r="L645" s="1">
        <v>3.4525000000000001</v>
      </c>
      <c r="M645" s="1" t="s">
        <v>677</v>
      </c>
      <c r="N645" s="1" t="s">
        <v>36</v>
      </c>
      <c r="O645" s="1" t="s">
        <v>609</v>
      </c>
      <c r="P645" s="1" t="s">
        <v>37</v>
      </c>
      <c r="Q645" s="1">
        <v>0</v>
      </c>
      <c r="S645" s="1">
        <v>0</v>
      </c>
      <c r="T645" s="1">
        <v>1</v>
      </c>
      <c r="V645" s="1">
        <f t="shared" si="8"/>
        <v>0</v>
      </c>
      <c r="W645" s="1">
        <v>1</v>
      </c>
      <c r="X645">
        <v>8.5850000000000009</v>
      </c>
      <c r="Y645" s="1">
        <v>1</v>
      </c>
      <c r="Z645" s="3">
        <v>0</v>
      </c>
      <c r="AA645" s="8">
        <v>0</v>
      </c>
    </row>
    <row r="646" spans="1:27" ht="15" customHeight="1" x14ac:dyDescent="0.25">
      <c r="A646" s="1">
        <v>3</v>
      </c>
      <c r="B646" s="1" t="s">
        <v>23</v>
      </c>
      <c r="C646" s="1" t="s">
        <v>22</v>
      </c>
      <c r="D646" s="1">
        <v>2009</v>
      </c>
      <c r="E646" s="6">
        <v>0</v>
      </c>
      <c r="G646" s="1">
        <v>0</v>
      </c>
      <c r="H646" s="1">
        <v>0</v>
      </c>
      <c r="I646" s="1">
        <v>3.798</v>
      </c>
      <c r="J646" s="1">
        <v>3.7101068305232801</v>
      </c>
      <c r="L646" s="1">
        <v>3.798</v>
      </c>
      <c r="M646" s="1" t="s">
        <v>677</v>
      </c>
      <c r="N646" s="1" t="s">
        <v>36</v>
      </c>
      <c r="O646" s="1" t="s">
        <v>609</v>
      </c>
      <c r="P646" s="1" t="s">
        <v>37</v>
      </c>
      <c r="Q646" s="1">
        <v>0</v>
      </c>
      <c r="S646" s="1">
        <v>0</v>
      </c>
      <c r="T646" s="1">
        <v>1</v>
      </c>
      <c r="V646" s="1">
        <f t="shared" si="8"/>
        <v>0</v>
      </c>
      <c r="W646" s="1">
        <v>0</v>
      </c>
      <c r="X646">
        <v>6.27</v>
      </c>
      <c r="Y646" s="1">
        <v>1</v>
      </c>
      <c r="Z646" s="52">
        <v>1</v>
      </c>
      <c r="AA646" s="8">
        <v>0</v>
      </c>
    </row>
    <row r="647" spans="1:27" ht="15" customHeight="1" x14ac:dyDescent="0.25">
      <c r="A647" s="1">
        <v>3</v>
      </c>
      <c r="B647" s="1" t="s">
        <v>23</v>
      </c>
      <c r="C647" s="1" t="s">
        <v>22</v>
      </c>
      <c r="D647" s="1">
        <v>2010</v>
      </c>
      <c r="E647" s="6">
        <v>0</v>
      </c>
      <c r="G647" s="1">
        <v>0</v>
      </c>
      <c r="H647" s="1">
        <v>0</v>
      </c>
      <c r="I647" s="1">
        <v>3.9689999999999999</v>
      </c>
      <c r="J647" s="1">
        <v>3.8962951544704998</v>
      </c>
      <c r="L647" s="1">
        <v>4.07</v>
      </c>
      <c r="M647" s="1" t="s">
        <v>677</v>
      </c>
      <c r="N647" s="1" t="s">
        <v>36</v>
      </c>
      <c r="O647" s="1" t="s">
        <v>609</v>
      </c>
      <c r="P647" s="1" t="s">
        <v>37</v>
      </c>
      <c r="Q647" s="1">
        <v>0</v>
      </c>
      <c r="S647" s="1">
        <v>0</v>
      </c>
      <c r="T647" s="1">
        <v>1</v>
      </c>
      <c r="V647" s="1">
        <f t="shared" si="8"/>
        <v>0</v>
      </c>
      <c r="W647" s="1">
        <v>0</v>
      </c>
      <c r="X647">
        <v>10.461</v>
      </c>
      <c r="Y647" s="1">
        <v>1</v>
      </c>
      <c r="Z647" s="3">
        <v>0</v>
      </c>
      <c r="AA647" s="8">
        <v>0</v>
      </c>
    </row>
    <row r="648" spans="1:27" ht="15" customHeight="1" x14ac:dyDescent="0.25">
      <c r="A648" s="1">
        <v>3</v>
      </c>
      <c r="B648" s="1" t="s">
        <v>23</v>
      </c>
      <c r="C648" s="1" t="s">
        <v>22</v>
      </c>
      <c r="D648" s="1">
        <v>2011</v>
      </c>
      <c r="E648" s="6">
        <v>0</v>
      </c>
      <c r="G648" s="1">
        <v>0</v>
      </c>
      <c r="H648" s="1">
        <v>0</v>
      </c>
      <c r="I648" s="1">
        <v>4.3019999999999996</v>
      </c>
      <c r="J648" s="1">
        <v>4.1101395762132604</v>
      </c>
      <c r="L648" s="1">
        <v>4.7300000000000004</v>
      </c>
      <c r="M648" s="1" t="s">
        <v>677</v>
      </c>
      <c r="N648" s="1" t="s">
        <v>36</v>
      </c>
      <c r="O648" s="1" t="s">
        <v>609</v>
      </c>
      <c r="P648" s="1" t="s">
        <v>37</v>
      </c>
      <c r="Q648" s="1">
        <v>0</v>
      </c>
      <c r="S648" s="1">
        <v>0</v>
      </c>
      <c r="T648" s="1">
        <v>1</v>
      </c>
      <c r="V648" s="1">
        <f t="shared" si="8"/>
        <v>0</v>
      </c>
      <c r="W648" s="1">
        <v>1</v>
      </c>
      <c r="X648">
        <v>9.7750000000000004</v>
      </c>
      <c r="Y648" s="1">
        <v>1</v>
      </c>
      <c r="Z648" s="3">
        <v>0</v>
      </c>
      <c r="AA648" s="8">
        <v>0</v>
      </c>
    </row>
    <row r="649" spans="1:27" ht="15" customHeight="1" x14ac:dyDescent="0.25">
      <c r="A649" s="1">
        <v>3</v>
      </c>
      <c r="B649" s="1" t="s">
        <v>23</v>
      </c>
      <c r="C649" s="1" t="s">
        <v>22</v>
      </c>
      <c r="D649" s="1">
        <v>2012</v>
      </c>
      <c r="E649" s="6">
        <v>0</v>
      </c>
      <c r="G649" s="1">
        <v>0</v>
      </c>
      <c r="H649" s="1">
        <v>0</v>
      </c>
      <c r="I649" s="1">
        <v>4.915</v>
      </c>
      <c r="J649" s="1">
        <v>4.5369343601874599</v>
      </c>
      <c r="L649" s="1">
        <v>6.76</v>
      </c>
      <c r="M649" s="1" t="s">
        <v>677</v>
      </c>
      <c r="N649" s="1" t="s">
        <v>36</v>
      </c>
      <c r="O649" s="1" t="s">
        <v>609</v>
      </c>
      <c r="P649" s="1" t="s">
        <v>37</v>
      </c>
      <c r="Q649" s="1">
        <v>0</v>
      </c>
      <c r="S649" s="1">
        <v>0</v>
      </c>
      <c r="T649" s="1">
        <v>1</v>
      </c>
      <c r="V649" s="1">
        <f t="shared" si="8"/>
        <v>0</v>
      </c>
      <c r="W649" s="1">
        <v>0</v>
      </c>
      <c r="X649">
        <v>10.042999999999999</v>
      </c>
      <c r="Y649" s="1">
        <v>1</v>
      </c>
      <c r="Z649" s="3">
        <v>0</v>
      </c>
      <c r="AA649" s="8">
        <v>0</v>
      </c>
    </row>
    <row r="650" spans="1:27" ht="15" customHeight="1" x14ac:dyDescent="0.25">
      <c r="A650" s="1">
        <v>3</v>
      </c>
      <c r="B650" s="1" t="s">
        <v>23</v>
      </c>
      <c r="C650" s="1" t="s">
        <v>22</v>
      </c>
      <c r="D650" s="1">
        <v>2013</v>
      </c>
      <c r="E650" s="6">
        <v>0</v>
      </c>
      <c r="G650" s="1">
        <v>0</v>
      </c>
      <c r="H650" s="1">
        <v>0</v>
      </c>
      <c r="I650" s="1">
        <v>6.5170000000000003</v>
      </c>
      <c r="J650" s="1">
        <v>5.4593526646570396</v>
      </c>
      <c r="L650" s="1">
        <v>10.039999999999999</v>
      </c>
      <c r="M650" s="1" t="s">
        <v>677</v>
      </c>
      <c r="N650" s="1" t="s">
        <v>36</v>
      </c>
      <c r="O650" s="1" t="s">
        <v>609</v>
      </c>
      <c r="P650" s="1" t="s">
        <v>37</v>
      </c>
      <c r="Q650" s="1">
        <v>0</v>
      </c>
      <c r="S650" s="1">
        <v>0</v>
      </c>
      <c r="T650" s="1">
        <v>1</v>
      </c>
      <c r="V650" s="1">
        <f t="shared" si="8"/>
        <v>0</v>
      </c>
      <c r="W650" s="1">
        <v>0</v>
      </c>
      <c r="X650">
        <v>10.619</v>
      </c>
      <c r="Y650" s="1">
        <v>1</v>
      </c>
      <c r="Z650" s="3">
        <v>0</v>
      </c>
      <c r="AA650" s="8">
        <v>0</v>
      </c>
    </row>
    <row r="651" spans="1:27" ht="15" customHeight="1" x14ac:dyDescent="0.25">
      <c r="A651" s="1">
        <v>3</v>
      </c>
      <c r="B651" s="1" t="s">
        <v>23</v>
      </c>
      <c r="C651" s="1" t="s">
        <v>22</v>
      </c>
      <c r="D651" s="1">
        <v>2014</v>
      </c>
      <c r="E651" s="6">
        <v>0</v>
      </c>
      <c r="G651" s="1">
        <v>0</v>
      </c>
      <c r="H651" s="1">
        <v>0</v>
      </c>
      <c r="I651" s="1">
        <v>8.5402000000000005</v>
      </c>
      <c r="J651" s="1">
        <v>8.0752759928133404</v>
      </c>
      <c r="L651" s="1">
        <v>12.78</v>
      </c>
      <c r="M651" s="1" t="s">
        <v>677</v>
      </c>
      <c r="N651" s="1" t="s">
        <v>36</v>
      </c>
      <c r="O651" s="1" t="s">
        <v>609</v>
      </c>
      <c r="P651" s="1" t="s">
        <v>37</v>
      </c>
      <c r="Q651" s="1">
        <v>0</v>
      </c>
      <c r="S651" s="1">
        <v>1</v>
      </c>
      <c r="T651" s="1">
        <v>1</v>
      </c>
      <c r="V651" s="1">
        <f t="shared" si="8"/>
        <v>1.06</v>
      </c>
      <c r="W651" s="1">
        <v>0</v>
      </c>
      <c r="X651" t="s">
        <v>5</v>
      </c>
      <c r="Y651" s="1">
        <v>1</v>
      </c>
      <c r="Z651" s="3">
        <v>1</v>
      </c>
      <c r="AA651" t="s">
        <v>5</v>
      </c>
    </row>
    <row r="652" spans="1:27" ht="15" customHeight="1" x14ac:dyDescent="0.25">
      <c r="A652" s="1">
        <v>3</v>
      </c>
      <c r="B652" s="1" t="s">
        <v>23</v>
      </c>
      <c r="C652" s="1" t="s">
        <v>22</v>
      </c>
      <c r="D652" s="1">
        <v>2015</v>
      </c>
      <c r="E652" s="1" t="s">
        <v>5</v>
      </c>
      <c r="G652" s="1" t="s">
        <v>5</v>
      </c>
      <c r="H652" s="1">
        <v>0</v>
      </c>
      <c r="I652" s="1">
        <v>13.040000000000001</v>
      </c>
      <c r="M652" s="1" t="s">
        <v>677</v>
      </c>
      <c r="N652" s="1" t="s">
        <v>36</v>
      </c>
      <c r="O652" s="1" t="s">
        <v>609</v>
      </c>
      <c r="P652" s="1" t="s">
        <v>37</v>
      </c>
      <c r="Q652" s="1">
        <v>0</v>
      </c>
      <c r="S652" s="1">
        <v>1</v>
      </c>
      <c r="T652" s="1">
        <v>1</v>
      </c>
      <c r="V652" s="1">
        <f t="shared" si="8"/>
        <v>1.06</v>
      </c>
      <c r="W652" s="1">
        <v>0</v>
      </c>
      <c r="X652" t="s">
        <v>5</v>
      </c>
      <c r="Y652" s="1">
        <v>1</v>
      </c>
      <c r="Z652" s="1">
        <v>0</v>
      </c>
      <c r="AA652" t="s">
        <v>5</v>
      </c>
    </row>
    <row r="653" spans="1:27" ht="15" customHeight="1" x14ac:dyDescent="0.25">
      <c r="A653" s="1">
        <v>3</v>
      </c>
      <c r="B653" s="1" t="s">
        <v>23</v>
      </c>
      <c r="C653" s="1" t="s">
        <v>22</v>
      </c>
      <c r="D653" s="1">
        <v>2016</v>
      </c>
      <c r="E653" s="1" t="s">
        <v>5</v>
      </c>
      <c r="G653" s="1" t="s">
        <v>5</v>
      </c>
      <c r="H653" s="1">
        <v>0</v>
      </c>
      <c r="I653" s="1">
        <v>15.51</v>
      </c>
      <c r="M653" s="1" t="s">
        <v>677</v>
      </c>
      <c r="N653" s="1" t="s">
        <v>36</v>
      </c>
      <c r="O653" s="1" t="s">
        <v>609</v>
      </c>
      <c r="P653" s="1" t="s">
        <v>683</v>
      </c>
      <c r="Q653" s="1" t="s">
        <v>5</v>
      </c>
      <c r="S653" s="1">
        <v>1</v>
      </c>
      <c r="T653" s="1">
        <v>1</v>
      </c>
      <c r="V653" s="1">
        <f t="shared" si="8"/>
        <v>1.06</v>
      </c>
      <c r="W653" s="1">
        <v>0</v>
      </c>
      <c r="X653" t="s">
        <v>5</v>
      </c>
      <c r="Y653" s="1">
        <v>1</v>
      </c>
      <c r="Z653" s="1">
        <v>1</v>
      </c>
      <c r="AA653" t="s">
        <v>5</v>
      </c>
    </row>
    <row r="5211" spans="1:27" ht="15" customHeight="1" x14ac:dyDescent="0.2">
      <c r="A5211" s="1">
        <v>25</v>
      </c>
      <c r="B5211" s="1" t="s">
        <v>82</v>
      </c>
      <c r="C5211" s="1" t="s">
        <v>83</v>
      </c>
      <c r="D5211" s="1">
        <v>1800</v>
      </c>
      <c r="E5211" s="11">
        <v>0</v>
      </c>
      <c r="G5211" s="1">
        <v>0</v>
      </c>
      <c r="H5211" s="1">
        <v>0</v>
      </c>
      <c r="M5211" s="1" t="s">
        <v>677</v>
      </c>
      <c r="N5211" s="1" t="s">
        <v>420</v>
      </c>
      <c r="O5211" s="1" t="s">
        <v>666</v>
      </c>
      <c r="P5211" s="1" t="s">
        <v>421</v>
      </c>
      <c r="Q5211" s="1">
        <v>0</v>
      </c>
      <c r="S5211" s="1">
        <v>0</v>
      </c>
      <c r="T5211" s="1">
        <v>0</v>
      </c>
      <c r="V5211" s="1">
        <f t="shared" ref="V5211:V5274" si="89">0.32*S5211</f>
        <v>0</v>
      </c>
      <c r="W5211" s="1" t="s">
        <v>5</v>
      </c>
      <c r="X5211" s="50"/>
      <c r="Y5211" s="1">
        <v>0</v>
      </c>
      <c r="Z5211" s="6">
        <v>0</v>
      </c>
      <c r="AA5211" s="6">
        <v>0</v>
      </c>
    </row>
    <row r="5212" spans="1:27" ht="12.75" customHeight="1" x14ac:dyDescent="0.25">
      <c r="A5212" s="1">
        <v>25</v>
      </c>
      <c r="B5212" s="1" t="s">
        <v>82</v>
      </c>
      <c r="C5212" s="1" t="s">
        <v>83</v>
      </c>
      <c r="D5212" s="1">
        <v>1801</v>
      </c>
      <c r="E5212" s="11">
        <v>0</v>
      </c>
      <c r="G5212" s="1">
        <v>0</v>
      </c>
      <c r="H5212" s="1">
        <v>0</v>
      </c>
      <c r="M5212" s="1" t="s">
        <v>677</v>
      </c>
      <c r="N5212" s="1" t="s">
        <v>420</v>
      </c>
      <c r="O5212" s="1" t="s">
        <v>666</v>
      </c>
      <c r="P5212" s="1" t="s">
        <v>421</v>
      </c>
      <c r="Q5212" s="1">
        <v>0</v>
      </c>
      <c r="S5212" s="1">
        <v>0</v>
      </c>
      <c r="T5212" s="1">
        <v>0</v>
      </c>
      <c r="V5212" s="1">
        <f t="shared" si="89"/>
        <v>0</v>
      </c>
      <c r="W5212" s="1" t="s">
        <v>5</v>
      </c>
      <c r="X5212" s="63"/>
      <c r="Y5212" s="1">
        <v>0</v>
      </c>
      <c r="Z5212" s="6">
        <v>0</v>
      </c>
      <c r="AA5212" s="6">
        <v>0</v>
      </c>
    </row>
    <row r="5213" spans="1:27" ht="14.25" customHeight="1" x14ac:dyDescent="0.25">
      <c r="A5213" s="1">
        <v>25</v>
      </c>
      <c r="B5213" s="1" t="s">
        <v>82</v>
      </c>
      <c r="C5213" s="1" t="s">
        <v>83</v>
      </c>
      <c r="D5213" s="1">
        <v>1802</v>
      </c>
      <c r="E5213" s="11">
        <v>0</v>
      </c>
      <c r="G5213" s="1">
        <v>0</v>
      </c>
      <c r="H5213" s="1">
        <v>0</v>
      </c>
      <c r="M5213" s="1" t="s">
        <v>677</v>
      </c>
      <c r="N5213" s="1" t="s">
        <v>420</v>
      </c>
      <c r="O5213" s="1" t="s">
        <v>666</v>
      </c>
      <c r="P5213" s="1" t="s">
        <v>421</v>
      </c>
      <c r="Q5213" s="1">
        <v>0</v>
      </c>
      <c r="S5213" s="1">
        <v>0</v>
      </c>
      <c r="T5213" s="1">
        <v>0</v>
      </c>
      <c r="V5213" s="1">
        <f t="shared" si="89"/>
        <v>0</v>
      </c>
      <c r="W5213" s="1" t="s">
        <v>5</v>
      </c>
      <c r="X5213" s="63"/>
      <c r="Y5213" s="1">
        <v>0</v>
      </c>
      <c r="Z5213" s="6">
        <v>0</v>
      </c>
      <c r="AA5213" s="6">
        <v>0</v>
      </c>
    </row>
    <row r="5214" spans="1:27" ht="15" customHeight="1" x14ac:dyDescent="0.25">
      <c r="A5214" s="1">
        <v>25</v>
      </c>
      <c r="B5214" s="1" t="s">
        <v>82</v>
      </c>
      <c r="C5214" s="1" t="s">
        <v>83</v>
      </c>
      <c r="D5214" s="1">
        <v>1803</v>
      </c>
      <c r="E5214" s="11">
        <v>0</v>
      </c>
      <c r="G5214" s="1">
        <v>0</v>
      </c>
      <c r="H5214" s="1">
        <v>0</v>
      </c>
      <c r="M5214" s="1" t="s">
        <v>677</v>
      </c>
      <c r="N5214" s="1" t="s">
        <v>420</v>
      </c>
      <c r="O5214" s="1" t="s">
        <v>666</v>
      </c>
      <c r="P5214" s="1" t="s">
        <v>421</v>
      </c>
      <c r="Q5214" s="1">
        <v>0</v>
      </c>
      <c r="S5214" s="1">
        <v>0</v>
      </c>
      <c r="T5214" s="1">
        <v>0</v>
      </c>
      <c r="V5214" s="1">
        <f t="shared" si="89"/>
        <v>0</v>
      </c>
      <c r="W5214" s="1" t="s">
        <v>5</v>
      </c>
      <c r="X5214" s="63"/>
      <c r="Y5214" s="1">
        <v>0</v>
      </c>
      <c r="Z5214" s="6">
        <v>0</v>
      </c>
      <c r="AA5214" s="6">
        <v>0</v>
      </c>
    </row>
    <row r="5215" spans="1:27" ht="14.25" customHeight="1" x14ac:dyDescent="0.25">
      <c r="A5215" s="1">
        <v>25</v>
      </c>
      <c r="B5215" s="1" t="s">
        <v>82</v>
      </c>
      <c r="C5215" s="1" t="s">
        <v>83</v>
      </c>
      <c r="D5215" s="1">
        <v>1804</v>
      </c>
      <c r="E5215" s="11">
        <v>0</v>
      </c>
      <c r="G5215" s="1">
        <v>0</v>
      </c>
      <c r="H5215" s="1">
        <v>0</v>
      </c>
      <c r="M5215" s="1" t="s">
        <v>677</v>
      </c>
      <c r="N5215" s="1" t="s">
        <v>420</v>
      </c>
      <c r="O5215" s="1" t="s">
        <v>666</v>
      </c>
      <c r="P5215" s="1" t="s">
        <v>421</v>
      </c>
      <c r="Q5215" s="1">
        <v>0</v>
      </c>
      <c r="S5215" s="1">
        <v>0</v>
      </c>
      <c r="T5215" s="1">
        <v>0</v>
      </c>
      <c r="V5215" s="1">
        <f t="shared" si="89"/>
        <v>0</v>
      </c>
      <c r="W5215" s="1" t="s">
        <v>5</v>
      </c>
      <c r="X5215" s="63"/>
      <c r="Y5215" s="1">
        <v>0</v>
      </c>
      <c r="Z5215" s="6">
        <v>0</v>
      </c>
      <c r="AA5215" s="6">
        <v>0</v>
      </c>
    </row>
    <row r="5216" spans="1:27" ht="14.25" customHeight="1" x14ac:dyDescent="0.25">
      <c r="A5216" s="1">
        <v>25</v>
      </c>
      <c r="B5216" s="1" t="s">
        <v>82</v>
      </c>
      <c r="C5216" s="1" t="s">
        <v>83</v>
      </c>
      <c r="D5216" s="1">
        <v>1805</v>
      </c>
      <c r="E5216" s="11">
        <v>0</v>
      </c>
      <c r="G5216" s="1">
        <v>0</v>
      </c>
      <c r="H5216" s="1">
        <v>0</v>
      </c>
      <c r="M5216" s="1" t="s">
        <v>677</v>
      </c>
      <c r="N5216" s="1" t="s">
        <v>420</v>
      </c>
      <c r="O5216" s="1" t="s">
        <v>666</v>
      </c>
      <c r="P5216" s="1" t="s">
        <v>421</v>
      </c>
      <c r="Q5216" s="1">
        <v>0</v>
      </c>
      <c r="S5216" s="1">
        <v>0</v>
      </c>
      <c r="T5216" s="1">
        <v>0</v>
      </c>
      <c r="V5216" s="1">
        <f t="shared" si="89"/>
        <v>0</v>
      </c>
      <c r="W5216" s="1" t="s">
        <v>5</v>
      </c>
      <c r="X5216" s="63"/>
      <c r="Y5216" s="1">
        <v>0</v>
      </c>
      <c r="Z5216" s="6">
        <v>0</v>
      </c>
      <c r="AA5216" s="6">
        <v>0</v>
      </c>
    </row>
    <row r="5217" spans="1:27" ht="14.25" customHeight="1" x14ac:dyDescent="0.25">
      <c r="A5217" s="1">
        <v>25</v>
      </c>
      <c r="B5217" s="1" t="s">
        <v>82</v>
      </c>
      <c r="C5217" s="1" t="s">
        <v>83</v>
      </c>
      <c r="D5217" s="1">
        <v>1806</v>
      </c>
      <c r="E5217" s="11">
        <v>0</v>
      </c>
      <c r="G5217" s="1">
        <v>0</v>
      </c>
      <c r="H5217" s="1">
        <v>0</v>
      </c>
      <c r="M5217" s="1" t="s">
        <v>677</v>
      </c>
      <c r="N5217" s="1" t="s">
        <v>420</v>
      </c>
      <c r="O5217" s="1" t="s">
        <v>666</v>
      </c>
      <c r="P5217" s="1" t="s">
        <v>421</v>
      </c>
      <c r="Q5217" s="1">
        <v>0</v>
      </c>
      <c r="S5217" s="1">
        <v>0</v>
      </c>
      <c r="T5217" s="1">
        <v>0</v>
      </c>
      <c r="V5217" s="1">
        <f t="shared" si="89"/>
        <v>0</v>
      </c>
      <c r="W5217" s="1" t="s">
        <v>5</v>
      </c>
      <c r="X5217" s="63"/>
      <c r="Y5217" s="1">
        <v>0</v>
      </c>
      <c r="Z5217" s="6">
        <v>0</v>
      </c>
      <c r="AA5217" s="6">
        <v>0</v>
      </c>
    </row>
    <row r="5218" spans="1:27" ht="14.25" customHeight="1" x14ac:dyDescent="0.25">
      <c r="A5218" s="1">
        <v>25</v>
      </c>
      <c r="B5218" s="1" t="s">
        <v>82</v>
      </c>
      <c r="C5218" s="1" t="s">
        <v>83</v>
      </c>
      <c r="D5218" s="1">
        <v>1807</v>
      </c>
      <c r="E5218" s="11">
        <v>0</v>
      </c>
      <c r="G5218" s="1">
        <v>0</v>
      </c>
      <c r="H5218" s="1">
        <v>0</v>
      </c>
      <c r="M5218" s="1" t="s">
        <v>677</v>
      </c>
      <c r="N5218" s="1" t="s">
        <v>420</v>
      </c>
      <c r="O5218" s="1" t="s">
        <v>666</v>
      </c>
      <c r="P5218" s="1" t="s">
        <v>421</v>
      </c>
      <c r="Q5218" s="1">
        <v>0</v>
      </c>
      <c r="S5218" s="1">
        <v>0</v>
      </c>
      <c r="T5218" s="1">
        <v>0</v>
      </c>
      <c r="V5218" s="1">
        <f t="shared" si="89"/>
        <v>0</v>
      </c>
      <c r="W5218" s="1" t="s">
        <v>5</v>
      </c>
      <c r="X5218" s="63"/>
      <c r="Y5218" s="1">
        <v>0</v>
      </c>
      <c r="Z5218" s="6">
        <v>0</v>
      </c>
      <c r="AA5218" s="6">
        <v>0</v>
      </c>
    </row>
    <row r="5219" spans="1:27" ht="14.25" customHeight="1" x14ac:dyDescent="0.25">
      <c r="A5219" s="1">
        <v>25</v>
      </c>
      <c r="B5219" s="1" t="s">
        <v>82</v>
      </c>
      <c r="C5219" s="1" t="s">
        <v>83</v>
      </c>
      <c r="D5219" s="1">
        <v>1808</v>
      </c>
      <c r="E5219" s="11">
        <v>0</v>
      </c>
      <c r="G5219" s="1">
        <v>0</v>
      </c>
      <c r="H5219" s="1">
        <v>0</v>
      </c>
      <c r="M5219" s="1" t="s">
        <v>677</v>
      </c>
      <c r="N5219" s="1" t="s">
        <v>420</v>
      </c>
      <c r="O5219" s="1" t="s">
        <v>666</v>
      </c>
      <c r="P5219" s="1" t="s">
        <v>421</v>
      </c>
      <c r="Q5219" s="1">
        <v>0</v>
      </c>
      <c r="S5219" s="1">
        <v>0</v>
      </c>
      <c r="T5219" s="1">
        <v>0</v>
      </c>
      <c r="V5219" s="1">
        <f t="shared" si="89"/>
        <v>0</v>
      </c>
      <c r="W5219" s="1" t="s">
        <v>5</v>
      </c>
      <c r="X5219" s="63"/>
      <c r="Y5219" s="1">
        <v>0</v>
      </c>
      <c r="Z5219" s="6">
        <v>0</v>
      </c>
      <c r="AA5219" s="6">
        <v>0</v>
      </c>
    </row>
    <row r="5220" spans="1:27" ht="14.25" customHeight="1" x14ac:dyDescent="0.25">
      <c r="A5220" s="1">
        <v>25</v>
      </c>
      <c r="B5220" s="1" t="s">
        <v>82</v>
      </c>
      <c r="C5220" s="1" t="s">
        <v>83</v>
      </c>
      <c r="D5220" s="1">
        <v>1809</v>
      </c>
      <c r="E5220" s="11">
        <v>0</v>
      </c>
      <c r="G5220" s="1">
        <v>0</v>
      </c>
      <c r="H5220" s="1">
        <v>0</v>
      </c>
      <c r="M5220" s="1" t="s">
        <v>677</v>
      </c>
      <c r="N5220" s="1" t="s">
        <v>420</v>
      </c>
      <c r="O5220" s="1" t="s">
        <v>666</v>
      </c>
      <c r="P5220" s="1" t="s">
        <v>421</v>
      </c>
      <c r="Q5220" s="1">
        <v>0</v>
      </c>
      <c r="S5220" s="1">
        <v>0</v>
      </c>
      <c r="T5220" s="1">
        <v>0</v>
      </c>
      <c r="V5220" s="1">
        <f t="shared" si="89"/>
        <v>0</v>
      </c>
      <c r="W5220" s="1" t="s">
        <v>5</v>
      </c>
      <c r="X5220" s="63"/>
      <c r="Y5220" s="1">
        <v>0</v>
      </c>
      <c r="Z5220" s="6">
        <v>0</v>
      </c>
      <c r="AA5220" s="6">
        <v>0</v>
      </c>
    </row>
    <row r="5221" spans="1:27" ht="14.25" customHeight="1" x14ac:dyDescent="0.25">
      <c r="A5221" s="1">
        <v>25</v>
      </c>
      <c r="B5221" s="1" t="s">
        <v>82</v>
      </c>
      <c r="C5221" s="1" t="s">
        <v>83</v>
      </c>
      <c r="D5221" s="1">
        <v>1810</v>
      </c>
      <c r="E5221" s="11">
        <v>0</v>
      </c>
      <c r="G5221" s="1">
        <v>0</v>
      </c>
      <c r="H5221" s="1">
        <v>0</v>
      </c>
      <c r="M5221" s="1" t="s">
        <v>677</v>
      </c>
      <c r="N5221" s="1" t="s">
        <v>420</v>
      </c>
      <c r="O5221" s="1" t="s">
        <v>666</v>
      </c>
      <c r="P5221" s="1" t="s">
        <v>421</v>
      </c>
      <c r="Q5221" s="1">
        <v>0</v>
      </c>
      <c r="S5221" s="1">
        <v>0</v>
      </c>
      <c r="T5221" s="1">
        <v>0</v>
      </c>
      <c r="V5221" s="1">
        <f t="shared" si="89"/>
        <v>0</v>
      </c>
      <c r="W5221" s="1" t="s">
        <v>5</v>
      </c>
      <c r="X5221" s="63"/>
      <c r="Y5221" s="1">
        <v>0</v>
      </c>
      <c r="Z5221" s="6">
        <v>0</v>
      </c>
      <c r="AA5221" s="6">
        <v>0</v>
      </c>
    </row>
    <row r="5222" spans="1:27" ht="14.25" customHeight="1" x14ac:dyDescent="0.25">
      <c r="A5222" s="1">
        <v>25</v>
      </c>
      <c r="B5222" s="1" t="s">
        <v>82</v>
      </c>
      <c r="C5222" s="1" t="s">
        <v>83</v>
      </c>
      <c r="D5222" s="1">
        <v>1811</v>
      </c>
      <c r="E5222" s="11">
        <v>0</v>
      </c>
      <c r="G5222" s="1">
        <v>0</v>
      </c>
      <c r="H5222" s="1">
        <v>0</v>
      </c>
      <c r="M5222" s="1" t="s">
        <v>677</v>
      </c>
      <c r="N5222" s="1" t="s">
        <v>420</v>
      </c>
      <c r="O5222" s="1" t="s">
        <v>666</v>
      </c>
      <c r="P5222" s="1" t="s">
        <v>421</v>
      </c>
      <c r="Q5222" s="1">
        <v>0</v>
      </c>
      <c r="S5222" s="1">
        <v>0</v>
      </c>
      <c r="T5222" s="1">
        <v>0</v>
      </c>
      <c r="V5222" s="1">
        <f t="shared" si="89"/>
        <v>0</v>
      </c>
      <c r="W5222" s="1" t="s">
        <v>5</v>
      </c>
      <c r="X5222" s="63"/>
      <c r="Y5222" s="1">
        <v>0</v>
      </c>
      <c r="Z5222" s="6">
        <v>0</v>
      </c>
      <c r="AA5222" s="6">
        <v>0</v>
      </c>
    </row>
    <row r="5223" spans="1:27" ht="14.25" customHeight="1" x14ac:dyDescent="0.2">
      <c r="A5223" s="1">
        <v>25</v>
      </c>
      <c r="B5223" s="1" t="s">
        <v>82</v>
      </c>
      <c r="C5223" s="1" t="s">
        <v>83</v>
      </c>
      <c r="D5223" s="1">
        <v>1812</v>
      </c>
      <c r="E5223" s="11">
        <v>0</v>
      </c>
      <c r="G5223" s="1">
        <v>0</v>
      </c>
      <c r="H5223" s="1">
        <v>0</v>
      </c>
      <c r="M5223" s="1" t="s">
        <v>677</v>
      </c>
      <c r="N5223" s="1" t="s">
        <v>420</v>
      </c>
      <c r="O5223" s="1" t="s">
        <v>666</v>
      </c>
      <c r="P5223" s="1" t="s">
        <v>421</v>
      </c>
      <c r="Q5223" s="1">
        <v>0</v>
      </c>
      <c r="S5223" s="1">
        <v>0</v>
      </c>
      <c r="T5223" s="1">
        <v>0</v>
      </c>
      <c r="V5223" s="1">
        <f t="shared" si="89"/>
        <v>0</v>
      </c>
      <c r="W5223" s="1" t="s">
        <v>5</v>
      </c>
      <c r="X5223" s="39"/>
      <c r="Y5223" s="1">
        <v>0</v>
      </c>
      <c r="Z5223" s="6">
        <v>0</v>
      </c>
      <c r="AA5223" s="6">
        <v>0</v>
      </c>
    </row>
    <row r="5224" spans="1:27" x14ac:dyDescent="0.2">
      <c r="A5224" s="1">
        <v>25</v>
      </c>
      <c r="B5224" s="1" t="s">
        <v>82</v>
      </c>
      <c r="C5224" s="1" t="s">
        <v>83</v>
      </c>
      <c r="D5224" s="1">
        <v>1813</v>
      </c>
      <c r="E5224" s="11">
        <v>0</v>
      </c>
      <c r="G5224" s="1">
        <v>0</v>
      </c>
      <c r="H5224" s="1">
        <v>0</v>
      </c>
      <c r="M5224" s="1" t="s">
        <v>677</v>
      </c>
      <c r="N5224" s="1" t="s">
        <v>420</v>
      </c>
      <c r="O5224" s="1" t="s">
        <v>666</v>
      </c>
      <c r="P5224" s="1" t="s">
        <v>421</v>
      </c>
      <c r="Q5224" s="1">
        <v>0</v>
      </c>
      <c r="S5224" s="1">
        <v>0</v>
      </c>
      <c r="T5224" s="1">
        <v>0</v>
      </c>
      <c r="V5224" s="1">
        <f t="shared" si="89"/>
        <v>0</v>
      </c>
      <c r="W5224" s="1" t="s">
        <v>5</v>
      </c>
      <c r="X5224" s="39"/>
      <c r="Y5224" s="1">
        <v>0</v>
      </c>
      <c r="Z5224" s="6">
        <v>0</v>
      </c>
      <c r="AA5224" s="6">
        <v>0</v>
      </c>
    </row>
    <row r="5225" spans="1:27" x14ac:dyDescent="0.2">
      <c r="A5225" s="1">
        <v>25</v>
      </c>
      <c r="B5225" s="1" t="s">
        <v>82</v>
      </c>
      <c r="C5225" s="1" t="s">
        <v>83</v>
      </c>
      <c r="D5225" s="1">
        <v>1814</v>
      </c>
      <c r="E5225" s="11">
        <v>0</v>
      </c>
      <c r="G5225" s="1">
        <v>0</v>
      </c>
      <c r="H5225" s="1">
        <v>0</v>
      </c>
      <c r="M5225" s="1" t="s">
        <v>677</v>
      </c>
      <c r="N5225" s="1" t="s">
        <v>420</v>
      </c>
      <c r="O5225" s="1" t="s">
        <v>666</v>
      </c>
      <c r="P5225" s="1" t="s">
        <v>421</v>
      </c>
      <c r="Q5225" s="1">
        <v>0</v>
      </c>
      <c r="S5225" s="1">
        <v>0</v>
      </c>
      <c r="T5225" s="1">
        <v>0</v>
      </c>
      <c r="V5225" s="1">
        <f t="shared" si="89"/>
        <v>0</v>
      </c>
      <c r="W5225" s="1" t="s">
        <v>5</v>
      </c>
      <c r="X5225" s="39"/>
      <c r="Y5225" s="1">
        <v>0</v>
      </c>
      <c r="Z5225" s="6">
        <v>0</v>
      </c>
      <c r="AA5225" s="6">
        <v>0</v>
      </c>
    </row>
    <row r="5226" spans="1:27" x14ac:dyDescent="0.2">
      <c r="A5226" s="1">
        <v>25</v>
      </c>
      <c r="B5226" s="1" t="s">
        <v>82</v>
      </c>
      <c r="C5226" s="1" t="s">
        <v>83</v>
      </c>
      <c r="D5226" s="1">
        <v>1815</v>
      </c>
      <c r="E5226" s="11">
        <v>0</v>
      </c>
      <c r="G5226" s="1">
        <v>0</v>
      </c>
      <c r="H5226" s="1">
        <v>0</v>
      </c>
      <c r="M5226" s="1" t="s">
        <v>677</v>
      </c>
      <c r="N5226" s="1" t="s">
        <v>420</v>
      </c>
      <c r="O5226" s="1" t="s">
        <v>666</v>
      </c>
      <c r="P5226" s="1" t="s">
        <v>421</v>
      </c>
      <c r="Q5226" s="1">
        <v>0</v>
      </c>
      <c r="S5226" s="1">
        <v>0</v>
      </c>
      <c r="T5226" s="1">
        <v>0</v>
      </c>
      <c r="V5226" s="1">
        <f t="shared" si="89"/>
        <v>0</v>
      </c>
      <c r="W5226" s="1" t="s">
        <v>5</v>
      </c>
      <c r="X5226" s="39"/>
      <c r="Y5226" s="1">
        <v>0</v>
      </c>
      <c r="Z5226" s="6">
        <v>0</v>
      </c>
      <c r="AA5226" s="6">
        <v>0</v>
      </c>
    </row>
    <row r="5227" spans="1:27" x14ac:dyDescent="0.2">
      <c r="A5227" s="1">
        <v>25</v>
      </c>
      <c r="B5227" s="1" t="s">
        <v>82</v>
      </c>
      <c r="C5227" s="1" t="s">
        <v>83</v>
      </c>
      <c r="D5227" s="1">
        <v>1816</v>
      </c>
      <c r="E5227" s="11">
        <v>0</v>
      </c>
      <c r="G5227" s="1">
        <v>0</v>
      </c>
      <c r="H5227" s="1">
        <v>0</v>
      </c>
      <c r="M5227" s="1" t="s">
        <v>677</v>
      </c>
      <c r="N5227" s="1" t="s">
        <v>420</v>
      </c>
      <c r="O5227" s="1" t="s">
        <v>666</v>
      </c>
      <c r="P5227" s="1" t="s">
        <v>421</v>
      </c>
      <c r="Q5227" s="1">
        <v>0</v>
      </c>
      <c r="S5227" s="1">
        <v>0</v>
      </c>
      <c r="T5227" s="1">
        <v>0</v>
      </c>
      <c r="V5227" s="1">
        <f t="shared" si="89"/>
        <v>0</v>
      </c>
      <c r="W5227" s="1" t="s">
        <v>5</v>
      </c>
      <c r="X5227" s="39"/>
      <c r="Y5227" s="1">
        <v>0</v>
      </c>
      <c r="Z5227" s="6">
        <v>0</v>
      </c>
      <c r="AA5227" s="6">
        <v>0</v>
      </c>
    </row>
    <row r="5228" spans="1:27" x14ac:dyDescent="0.2">
      <c r="A5228" s="1">
        <v>25</v>
      </c>
      <c r="B5228" s="1" t="s">
        <v>82</v>
      </c>
      <c r="C5228" s="1" t="s">
        <v>83</v>
      </c>
      <c r="D5228" s="1">
        <v>1817</v>
      </c>
      <c r="E5228" s="11">
        <v>0</v>
      </c>
      <c r="G5228" s="1">
        <v>0</v>
      </c>
      <c r="H5228" s="1">
        <v>0</v>
      </c>
      <c r="M5228" s="1" t="s">
        <v>677</v>
      </c>
      <c r="N5228" s="1" t="s">
        <v>420</v>
      </c>
      <c r="O5228" s="1" t="s">
        <v>666</v>
      </c>
      <c r="P5228" s="1" t="s">
        <v>421</v>
      </c>
      <c r="Q5228" s="1">
        <v>0</v>
      </c>
      <c r="S5228" s="1">
        <v>0</v>
      </c>
      <c r="T5228" s="1">
        <v>0</v>
      </c>
      <c r="V5228" s="1">
        <f t="shared" si="89"/>
        <v>0</v>
      </c>
      <c r="W5228" s="1" t="s">
        <v>5</v>
      </c>
      <c r="X5228" s="39"/>
      <c r="Y5228" s="1">
        <v>0</v>
      </c>
      <c r="Z5228" s="6">
        <v>0</v>
      </c>
      <c r="AA5228" s="6">
        <v>0</v>
      </c>
    </row>
    <row r="5229" spans="1:27" x14ac:dyDescent="0.2">
      <c r="A5229" s="1">
        <v>25</v>
      </c>
      <c r="B5229" s="1" t="s">
        <v>82</v>
      </c>
      <c r="C5229" s="1" t="s">
        <v>83</v>
      </c>
      <c r="D5229" s="1">
        <v>1818</v>
      </c>
      <c r="E5229" s="11">
        <v>0</v>
      </c>
      <c r="G5229" s="1">
        <v>0</v>
      </c>
      <c r="H5229" s="1">
        <v>0</v>
      </c>
      <c r="M5229" s="1" t="s">
        <v>677</v>
      </c>
      <c r="N5229" s="1" t="s">
        <v>420</v>
      </c>
      <c r="O5229" s="1" t="s">
        <v>666</v>
      </c>
      <c r="P5229" s="1" t="s">
        <v>421</v>
      </c>
      <c r="Q5229" s="1">
        <v>0</v>
      </c>
      <c r="S5229" s="1">
        <v>0</v>
      </c>
      <c r="T5229" s="1">
        <v>0</v>
      </c>
      <c r="V5229" s="1">
        <f t="shared" si="89"/>
        <v>0</v>
      </c>
      <c r="W5229" s="1" t="s">
        <v>5</v>
      </c>
      <c r="X5229" s="39"/>
      <c r="Y5229" s="1">
        <v>0</v>
      </c>
      <c r="Z5229" s="6">
        <v>0</v>
      </c>
      <c r="AA5229" s="6">
        <v>0</v>
      </c>
    </row>
    <row r="5230" spans="1:27" x14ac:dyDescent="0.2">
      <c r="A5230" s="1">
        <v>25</v>
      </c>
      <c r="B5230" s="1" t="s">
        <v>82</v>
      </c>
      <c r="C5230" s="1" t="s">
        <v>83</v>
      </c>
      <c r="D5230" s="1">
        <v>1819</v>
      </c>
      <c r="E5230" s="11">
        <v>0</v>
      </c>
      <c r="G5230" s="1">
        <v>0</v>
      </c>
      <c r="H5230" s="1">
        <v>0</v>
      </c>
      <c r="M5230" s="1" t="s">
        <v>677</v>
      </c>
      <c r="N5230" s="1" t="s">
        <v>420</v>
      </c>
      <c r="O5230" s="1" t="s">
        <v>666</v>
      </c>
      <c r="P5230" s="1" t="s">
        <v>421</v>
      </c>
      <c r="Q5230" s="1">
        <v>0</v>
      </c>
      <c r="S5230" s="1">
        <v>0</v>
      </c>
      <c r="T5230" s="1">
        <v>0</v>
      </c>
      <c r="V5230" s="1">
        <f t="shared" si="89"/>
        <v>0</v>
      </c>
      <c r="W5230" s="1" t="s">
        <v>5</v>
      </c>
      <c r="X5230" s="39"/>
      <c r="Y5230" s="1">
        <v>0</v>
      </c>
      <c r="Z5230" s="6">
        <v>0</v>
      </c>
      <c r="AA5230" s="6">
        <v>0</v>
      </c>
    </row>
    <row r="5231" spans="1:27" x14ac:dyDescent="0.2">
      <c r="A5231" s="1">
        <v>25</v>
      </c>
      <c r="B5231" s="1" t="s">
        <v>82</v>
      </c>
      <c r="C5231" s="1" t="s">
        <v>83</v>
      </c>
      <c r="D5231" s="1">
        <v>1820</v>
      </c>
      <c r="E5231" s="11">
        <v>0</v>
      </c>
      <c r="G5231" s="1">
        <v>0</v>
      </c>
      <c r="H5231" s="1">
        <v>0</v>
      </c>
      <c r="M5231" s="1" t="s">
        <v>677</v>
      </c>
      <c r="N5231" s="1" t="s">
        <v>420</v>
      </c>
      <c r="O5231" s="1" t="s">
        <v>666</v>
      </c>
      <c r="P5231" s="1" t="s">
        <v>421</v>
      </c>
      <c r="Q5231" s="1">
        <v>0</v>
      </c>
      <c r="S5231" s="1">
        <v>0</v>
      </c>
      <c r="T5231" s="1">
        <v>0</v>
      </c>
      <c r="V5231" s="1">
        <f t="shared" si="89"/>
        <v>0</v>
      </c>
      <c r="W5231" s="1" t="s">
        <v>5</v>
      </c>
      <c r="X5231" s="39"/>
      <c r="Y5231" s="1">
        <v>0</v>
      </c>
      <c r="Z5231" s="6">
        <v>0</v>
      </c>
      <c r="AA5231" s="6">
        <v>0</v>
      </c>
    </row>
    <row r="5232" spans="1:27" x14ac:dyDescent="0.2">
      <c r="A5232" s="1">
        <v>25</v>
      </c>
      <c r="B5232" s="1" t="s">
        <v>82</v>
      </c>
      <c r="C5232" s="1" t="s">
        <v>83</v>
      </c>
      <c r="D5232" s="1">
        <v>1821</v>
      </c>
      <c r="E5232" s="11">
        <v>0</v>
      </c>
      <c r="G5232" s="1">
        <v>0</v>
      </c>
      <c r="H5232" s="1">
        <v>0</v>
      </c>
      <c r="M5232" s="1" t="s">
        <v>677</v>
      </c>
      <c r="N5232" s="1" t="s">
        <v>420</v>
      </c>
      <c r="O5232" s="1" t="s">
        <v>666</v>
      </c>
      <c r="P5232" s="1" t="s">
        <v>421</v>
      </c>
      <c r="Q5232" s="1">
        <v>0</v>
      </c>
      <c r="S5232" s="1">
        <v>0</v>
      </c>
      <c r="T5232" s="1">
        <v>0</v>
      </c>
      <c r="V5232" s="1">
        <f t="shared" si="89"/>
        <v>0</v>
      </c>
      <c r="W5232" s="1" t="s">
        <v>5</v>
      </c>
      <c r="X5232" s="39"/>
      <c r="Y5232" s="1">
        <v>0</v>
      </c>
      <c r="Z5232" s="6">
        <v>0</v>
      </c>
      <c r="AA5232" s="6">
        <v>0</v>
      </c>
    </row>
    <row r="5233" spans="1:27" x14ac:dyDescent="0.2">
      <c r="A5233" s="1">
        <v>25</v>
      </c>
      <c r="B5233" s="1" t="s">
        <v>82</v>
      </c>
      <c r="C5233" s="1" t="s">
        <v>83</v>
      </c>
      <c r="D5233" s="1">
        <v>1822</v>
      </c>
      <c r="E5233" s="11">
        <v>0</v>
      </c>
      <c r="G5233" s="1">
        <v>0</v>
      </c>
      <c r="H5233" s="1">
        <v>0</v>
      </c>
      <c r="M5233" s="1" t="s">
        <v>677</v>
      </c>
      <c r="N5233" s="1" t="s">
        <v>420</v>
      </c>
      <c r="O5233" s="1" t="s">
        <v>666</v>
      </c>
      <c r="P5233" s="1" t="s">
        <v>421</v>
      </c>
      <c r="Q5233" s="1">
        <v>0</v>
      </c>
      <c r="S5233" s="1">
        <v>0</v>
      </c>
      <c r="T5233" s="1">
        <v>0</v>
      </c>
      <c r="V5233" s="1">
        <f t="shared" si="89"/>
        <v>0</v>
      </c>
      <c r="W5233" s="1" t="s">
        <v>5</v>
      </c>
      <c r="X5233" s="39"/>
      <c r="Y5233" s="1">
        <v>0</v>
      </c>
      <c r="Z5233" s="6">
        <v>0</v>
      </c>
      <c r="AA5233" s="6">
        <v>0</v>
      </c>
    </row>
    <row r="5234" spans="1:27" x14ac:dyDescent="0.2">
      <c r="A5234" s="1">
        <v>25</v>
      </c>
      <c r="B5234" s="1" t="s">
        <v>82</v>
      </c>
      <c r="C5234" s="1" t="s">
        <v>83</v>
      </c>
      <c r="D5234" s="1">
        <v>1823</v>
      </c>
      <c r="E5234" s="11">
        <v>0</v>
      </c>
      <c r="G5234" s="1">
        <v>0</v>
      </c>
      <c r="H5234" s="1">
        <v>0</v>
      </c>
      <c r="M5234" s="1" t="s">
        <v>677</v>
      </c>
      <c r="N5234" s="1" t="s">
        <v>420</v>
      </c>
      <c r="O5234" s="1" t="s">
        <v>666</v>
      </c>
      <c r="P5234" s="1" t="s">
        <v>421</v>
      </c>
      <c r="Q5234" s="1">
        <v>0</v>
      </c>
      <c r="S5234" s="1">
        <v>0</v>
      </c>
      <c r="T5234" s="1">
        <v>0</v>
      </c>
      <c r="V5234" s="1">
        <f t="shared" si="89"/>
        <v>0</v>
      </c>
      <c r="W5234" s="1" t="s">
        <v>5</v>
      </c>
      <c r="X5234" s="39"/>
      <c r="Y5234" s="1">
        <v>0</v>
      </c>
      <c r="Z5234" s="6">
        <v>0</v>
      </c>
      <c r="AA5234" s="6">
        <v>0</v>
      </c>
    </row>
    <row r="5235" spans="1:27" x14ac:dyDescent="0.2">
      <c r="A5235" s="1">
        <v>25</v>
      </c>
      <c r="B5235" s="1" t="s">
        <v>82</v>
      </c>
      <c r="C5235" s="1" t="s">
        <v>83</v>
      </c>
      <c r="D5235" s="1">
        <v>1824</v>
      </c>
      <c r="E5235" s="11">
        <v>0</v>
      </c>
      <c r="G5235" s="1">
        <v>0</v>
      </c>
      <c r="H5235" s="1">
        <v>0</v>
      </c>
      <c r="M5235" s="1" t="s">
        <v>677</v>
      </c>
      <c r="N5235" s="1" t="s">
        <v>420</v>
      </c>
      <c r="O5235" s="1" t="s">
        <v>666</v>
      </c>
      <c r="P5235" s="1" t="s">
        <v>421</v>
      </c>
      <c r="Q5235" s="1">
        <v>0</v>
      </c>
      <c r="S5235" s="1">
        <v>0</v>
      </c>
      <c r="T5235" s="1">
        <v>0</v>
      </c>
      <c r="V5235" s="1">
        <f t="shared" si="89"/>
        <v>0</v>
      </c>
      <c r="W5235" s="1" t="s">
        <v>5</v>
      </c>
      <c r="X5235" s="39"/>
      <c r="Y5235" s="1">
        <v>0</v>
      </c>
      <c r="Z5235" s="6">
        <v>0</v>
      </c>
      <c r="AA5235" s="6">
        <v>0</v>
      </c>
    </row>
    <row r="5236" spans="1:27" x14ac:dyDescent="0.2">
      <c r="A5236" s="1">
        <v>25</v>
      </c>
      <c r="B5236" s="1" t="s">
        <v>82</v>
      </c>
      <c r="C5236" s="1" t="s">
        <v>83</v>
      </c>
      <c r="D5236" s="1">
        <v>1825</v>
      </c>
      <c r="E5236" s="11">
        <v>0</v>
      </c>
      <c r="G5236" s="1">
        <v>0</v>
      </c>
      <c r="H5236" s="1">
        <v>0</v>
      </c>
      <c r="M5236" s="1" t="s">
        <v>677</v>
      </c>
      <c r="N5236" s="1" t="s">
        <v>420</v>
      </c>
      <c r="O5236" s="1" t="s">
        <v>666</v>
      </c>
      <c r="P5236" s="1" t="s">
        <v>421</v>
      </c>
      <c r="Q5236" s="1">
        <v>0</v>
      </c>
      <c r="S5236" s="1">
        <v>0</v>
      </c>
      <c r="T5236" s="1">
        <v>0</v>
      </c>
      <c r="V5236" s="1">
        <f t="shared" si="89"/>
        <v>0</v>
      </c>
      <c r="W5236" s="1" t="s">
        <v>5</v>
      </c>
      <c r="X5236" s="39"/>
      <c r="Y5236" s="1">
        <v>0</v>
      </c>
      <c r="Z5236" s="6">
        <v>0</v>
      </c>
      <c r="AA5236" s="6">
        <v>0</v>
      </c>
    </row>
    <row r="5237" spans="1:27" x14ac:dyDescent="0.2">
      <c r="A5237" s="1">
        <v>25</v>
      </c>
      <c r="B5237" s="1" t="s">
        <v>82</v>
      </c>
      <c r="C5237" s="1" t="s">
        <v>83</v>
      </c>
      <c r="D5237" s="1">
        <v>1826</v>
      </c>
      <c r="E5237" s="11">
        <v>0</v>
      </c>
      <c r="G5237" s="1">
        <v>0</v>
      </c>
      <c r="H5237" s="1">
        <v>0</v>
      </c>
      <c r="M5237" s="1" t="s">
        <v>677</v>
      </c>
      <c r="N5237" s="1" t="s">
        <v>420</v>
      </c>
      <c r="O5237" s="1" t="s">
        <v>666</v>
      </c>
      <c r="P5237" s="1" t="s">
        <v>421</v>
      </c>
      <c r="Q5237" s="1">
        <v>0</v>
      </c>
      <c r="S5237" s="1">
        <v>1</v>
      </c>
      <c r="T5237" s="1">
        <v>1</v>
      </c>
      <c r="U5237" s="1" t="s">
        <v>540</v>
      </c>
      <c r="V5237" s="1">
        <f t="shared" si="89"/>
        <v>0.32</v>
      </c>
      <c r="W5237" s="1" t="s">
        <v>5</v>
      </c>
      <c r="X5237" s="39"/>
      <c r="Y5237" s="1">
        <v>0</v>
      </c>
      <c r="Z5237" s="6">
        <v>0</v>
      </c>
      <c r="AA5237" s="6">
        <v>0</v>
      </c>
    </row>
    <row r="5238" spans="1:27" x14ac:dyDescent="0.2">
      <c r="A5238" s="1">
        <v>25</v>
      </c>
      <c r="B5238" s="1" t="s">
        <v>82</v>
      </c>
      <c r="C5238" s="1" t="s">
        <v>83</v>
      </c>
      <c r="D5238" s="1">
        <v>1827</v>
      </c>
      <c r="E5238" s="11">
        <v>0</v>
      </c>
      <c r="G5238" s="1">
        <v>0</v>
      </c>
      <c r="H5238" s="1">
        <v>0</v>
      </c>
      <c r="M5238" s="1" t="s">
        <v>677</v>
      </c>
      <c r="N5238" s="1" t="s">
        <v>420</v>
      </c>
      <c r="O5238" s="1" t="s">
        <v>666</v>
      </c>
      <c r="P5238" s="1" t="s">
        <v>421</v>
      </c>
      <c r="Q5238" s="1">
        <v>0</v>
      </c>
      <c r="S5238" s="1">
        <v>1</v>
      </c>
      <c r="T5238" s="1">
        <v>1</v>
      </c>
      <c r="U5238" s="1" t="s">
        <v>540</v>
      </c>
      <c r="V5238" s="1">
        <f t="shared" si="89"/>
        <v>0.32</v>
      </c>
      <c r="W5238" s="1" t="s">
        <v>5</v>
      </c>
      <c r="X5238" s="39"/>
      <c r="Y5238" s="1">
        <v>0</v>
      </c>
      <c r="Z5238" s="6">
        <v>0</v>
      </c>
      <c r="AA5238" s="6">
        <v>0</v>
      </c>
    </row>
    <row r="5239" spans="1:27" x14ac:dyDescent="0.2">
      <c r="A5239" s="1">
        <v>25</v>
      </c>
      <c r="B5239" s="1" t="s">
        <v>82</v>
      </c>
      <c r="C5239" s="1" t="s">
        <v>83</v>
      </c>
      <c r="D5239" s="1">
        <v>1828</v>
      </c>
      <c r="E5239" s="11">
        <v>0</v>
      </c>
      <c r="G5239" s="1">
        <v>0</v>
      </c>
      <c r="H5239" s="1">
        <v>0</v>
      </c>
      <c r="M5239" s="1" t="s">
        <v>677</v>
      </c>
      <c r="N5239" s="1" t="s">
        <v>420</v>
      </c>
      <c r="O5239" s="1" t="s">
        <v>666</v>
      </c>
      <c r="P5239" s="1" t="s">
        <v>421</v>
      </c>
      <c r="Q5239" s="1">
        <v>0</v>
      </c>
      <c r="S5239" s="1">
        <v>1</v>
      </c>
      <c r="T5239" s="1">
        <v>1</v>
      </c>
      <c r="U5239" s="1" t="s">
        <v>540</v>
      </c>
      <c r="V5239" s="1">
        <f t="shared" si="89"/>
        <v>0.32</v>
      </c>
      <c r="W5239" s="1" t="s">
        <v>5</v>
      </c>
      <c r="X5239" s="39"/>
      <c r="Y5239" s="1">
        <v>0</v>
      </c>
      <c r="Z5239" s="6">
        <v>0</v>
      </c>
      <c r="AA5239" s="6">
        <v>0</v>
      </c>
    </row>
    <row r="5240" spans="1:27" x14ac:dyDescent="0.2">
      <c r="A5240" s="1">
        <v>25</v>
      </c>
      <c r="B5240" s="1" t="s">
        <v>82</v>
      </c>
      <c r="C5240" s="1" t="s">
        <v>83</v>
      </c>
      <c r="D5240" s="1">
        <v>1829</v>
      </c>
      <c r="E5240" s="11">
        <v>0</v>
      </c>
      <c r="G5240" s="1">
        <v>0</v>
      </c>
      <c r="H5240" s="1">
        <v>0</v>
      </c>
      <c r="M5240" s="1" t="s">
        <v>677</v>
      </c>
      <c r="N5240" s="1" t="s">
        <v>420</v>
      </c>
      <c r="O5240" s="1" t="s">
        <v>666</v>
      </c>
      <c r="P5240" s="1" t="s">
        <v>421</v>
      </c>
      <c r="Q5240" s="1">
        <v>0</v>
      </c>
      <c r="S5240" s="1">
        <v>1</v>
      </c>
      <c r="T5240" s="1">
        <v>1</v>
      </c>
      <c r="U5240" s="1" t="s">
        <v>540</v>
      </c>
      <c r="V5240" s="1">
        <f t="shared" si="89"/>
        <v>0.32</v>
      </c>
      <c r="W5240" s="1" t="s">
        <v>5</v>
      </c>
      <c r="X5240" s="39"/>
      <c r="Y5240" s="1">
        <v>1</v>
      </c>
      <c r="Z5240" s="6">
        <v>0</v>
      </c>
      <c r="AA5240" s="6">
        <v>0</v>
      </c>
    </row>
    <row r="5241" spans="1:27" x14ac:dyDescent="0.2">
      <c r="A5241" s="1">
        <v>25</v>
      </c>
      <c r="B5241" s="1" t="s">
        <v>82</v>
      </c>
      <c r="C5241" s="1" t="s">
        <v>83</v>
      </c>
      <c r="D5241" s="1">
        <v>1830</v>
      </c>
      <c r="E5241" s="11">
        <v>0</v>
      </c>
      <c r="G5241" s="1">
        <v>0</v>
      </c>
      <c r="H5241" s="1">
        <v>0</v>
      </c>
      <c r="M5241" s="1" t="s">
        <v>677</v>
      </c>
      <c r="N5241" s="1" t="s">
        <v>420</v>
      </c>
      <c r="O5241" s="1" t="s">
        <v>666</v>
      </c>
      <c r="P5241" s="1" t="s">
        <v>421</v>
      </c>
      <c r="Q5241" s="1">
        <v>0</v>
      </c>
      <c r="S5241" s="1">
        <v>1</v>
      </c>
      <c r="T5241" s="1">
        <v>1</v>
      </c>
      <c r="U5241" s="1" t="s">
        <v>540</v>
      </c>
      <c r="V5241" s="1">
        <f t="shared" si="89"/>
        <v>0.32</v>
      </c>
      <c r="W5241" s="1" t="s">
        <v>5</v>
      </c>
      <c r="X5241" s="39"/>
      <c r="Y5241" s="1">
        <v>1</v>
      </c>
      <c r="Z5241" s="6">
        <v>0</v>
      </c>
      <c r="AA5241" s="6">
        <v>0</v>
      </c>
    </row>
    <row r="5242" spans="1:27" x14ac:dyDescent="0.2">
      <c r="A5242" s="1">
        <v>25</v>
      </c>
      <c r="B5242" s="1" t="s">
        <v>82</v>
      </c>
      <c r="C5242" s="1" t="s">
        <v>83</v>
      </c>
      <c r="D5242" s="1">
        <v>1831</v>
      </c>
      <c r="E5242" s="11">
        <v>0</v>
      </c>
      <c r="G5242" s="1">
        <v>0</v>
      </c>
      <c r="H5242" s="1">
        <v>0</v>
      </c>
      <c r="M5242" s="1" t="s">
        <v>677</v>
      </c>
      <c r="N5242" s="1" t="s">
        <v>420</v>
      </c>
      <c r="O5242" s="1" t="s">
        <v>666</v>
      </c>
      <c r="P5242" s="1" t="s">
        <v>421</v>
      </c>
      <c r="Q5242" s="1">
        <v>0</v>
      </c>
      <c r="S5242" s="1">
        <v>1</v>
      </c>
      <c r="T5242" s="1">
        <v>1</v>
      </c>
      <c r="U5242" s="1" t="s">
        <v>540</v>
      </c>
      <c r="V5242" s="1">
        <f t="shared" si="89"/>
        <v>0.32</v>
      </c>
      <c r="W5242" s="1" t="s">
        <v>5</v>
      </c>
      <c r="X5242" s="39"/>
      <c r="Y5242" s="1">
        <v>1</v>
      </c>
      <c r="Z5242" s="6">
        <v>0</v>
      </c>
      <c r="AA5242" s="6">
        <v>0</v>
      </c>
    </row>
    <row r="5243" spans="1:27" x14ac:dyDescent="0.2">
      <c r="A5243" s="1">
        <v>25</v>
      </c>
      <c r="B5243" s="1" t="s">
        <v>82</v>
      </c>
      <c r="C5243" s="1" t="s">
        <v>83</v>
      </c>
      <c r="D5243" s="1">
        <v>1832</v>
      </c>
      <c r="E5243" s="11">
        <v>0</v>
      </c>
      <c r="G5243" s="1">
        <v>0</v>
      </c>
      <c r="H5243" s="1">
        <v>0</v>
      </c>
      <c r="M5243" s="1" t="s">
        <v>677</v>
      </c>
      <c r="N5243" s="1" t="s">
        <v>420</v>
      </c>
      <c r="O5243" s="1" t="s">
        <v>666</v>
      </c>
      <c r="P5243" s="1" t="s">
        <v>421</v>
      </c>
      <c r="Q5243" s="1">
        <v>0</v>
      </c>
      <c r="S5243" s="1">
        <v>1</v>
      </c>
      <c r="T5243" s="1">
        <v>1</v>
      </c>
      <c r="U5243" s="1" t="s">
        <v>540</v>
      </c>
      <c r="V5243" s="1">
        <f t="shared" si="89"/>
        <v>0.32</v>
      </c>
      <c r="W5243" s="1" t="s">
        <v>5</v>
      </c>
      <c r="X5243" s="39"/>
      <c r="Y5243" s="1">
        <v>1</v>
      </c>
      <c r="Z5243" s="6">
        <v>0</v>
      </c>
      <c r="AA5243" s="6">
        <v>0</v>
      </c>
    </row>
    <row r="5244" spans="1:27" x14ac:dyDescent="0.2">
      <c r="A5244" s="1">
        <v>25</v>
      </c>
      <c r="B5244" s="1" t="s">
        <v>82</v>
      </c>
      <c r="C5244" s="1" t="s">
        <v>83</v>
      </c>
      <c r="D5244" s="1">
        <v>1833</v>
      </c>
      <c r="E5244" s="11">
        <v>0</v>
      </c>
      <c r="G5244" s="1">
        <v>0</v>
      </c>
      <c r="H5244" s="1">
        <v>0</v>
      </c>
      <c r="M5244" s="1" t="s">
        <v>677</v>
      </c>
      <c r="N5244" s="1" t="s">
        <v>420</v>
      </c>
      <c r="O5244" s="1" t="s">
        <v>666</v>
      </c>
      <c r="P5244" s="1" t="s">
        <v>421</v>
      </c>
      <c r="Q5244" s="1">
        <v>0</v>
      </c>
      <c r="S5244" s="1">
        <v>1</v>
      </c>
      <c r="T5244" s="1">
        <v>1</v>
      </c>
      <c r="U5244" s="1" t="s">
        <v>540</v>
      </c>
      <c r="V5244" s="1">
        <f t="shared" si="89"/>
        <v>0.32</v>
      </c>
      <c r="W5244" s="1" t="s">
        <v>5</v>
      </c>
      <c r="X5244" s="39"/>
      <c r="Y5244" s="1">
        <v>1</v>
      </c>
      <c r="Z5244" s="6">
        <v>0</v>
      </c>
      <c r="AA5244" s="6">
        <v>0</v>
      </c>
    </row>
    <row r="5245" spans="1:27" x14ac:dyDescent="0.2">
      <c r="A5245" s="1">
        <v>25</v>
      </c>
      <c r="B5245" s="1" t="s">
        <v>82</v>
      </c>
      <c r="C5245" s="1" t="s">
        <v>83</v>
      </c>
      <c r="D5245" s="1">
        <v>1834</v>
      </c>
      <c r="E5245" s="11">
        <v>0</v>
      </c>
      <c r="G5245" s="1">
        <v>0</v>
      </c>
      <c r="H5245" s="1">
        <v>0</v>
      </c>
      <c r="M5245" s="1" t="s">
        <v>677</v>
      </c>
      <c r="N5245" s="1" t="s">
        <v>420</v>
      </c>
      <c r="O5245" s="1" t="s">
        <v>666</v>
      </c>
      <c r="P5245" s="1" t="s">
        <v>421</v>
      </c>
      <c r="Q5245" s="1">
        <v>0</v>
      </c>
      <c r="S5245" s="1">
        <v>1</v>
      </c>
      <c r="T5245" s="1">
        <v>1</v>
      </c>
      <c r="U5245" s="1" t="s">
        <v>540</v>
      </c>
      <c r="V5245" s="1">
        <f t="shared" si="89"/>
        <v>0.32</v>
      </c>
      <c r="W5245" s="1" t="s">
        <v>5</v>
      </c>
      <c r="X5245" s="39">
        <v>13.459766822784648</v>
      </c>
      <c r="Y5245" s="1">
        <v>1</v>
      </c>
      <c r="Z5245" s="6">
        <v>0</v>
      </c>
      <c r="AA5245" s="6">
        <v>0</v>
      </c>
    </row>
    <row r="5246" spans="1:27" x14ac:dyDescent="0.2">
      <c r="A5246" s="1">
        <v>25</v>
      </c>
      <c r="B5246" s="1" t="s">
        <v>82</v>
      </c>
      <c r="C5246" s="1" t="s">
        <v>83</v>
      </c>
      <c r="D5246" s="1">
        <v>1835</v>
      </c>
      <c r="E5246" s="11">
        <v>0</v>
      </c>
      <c r="G5246" s="1">
        <v>0</v>
      </c>
      <c r="H5246" s="1">
        <v>0</v>
      </c>
      <c r="M5246" s="1" t="s">
        <v>677</v>
      </c>
      <c r="N5246" s="1" t="s">
        <v>420</v>
      </c>
      <c r="O5246" s="1" t="s">
        <v>666</v>
      </c>
      <c r="P5246" s="1" t="s">
        <v>421</v>
      </c>
      <c r="Q5246" s="1">
        <v>0</v>
      </c>
      <c r="S5246" s="1">
        <v>1</v>
      </c>
      <c r="T5246" s="1">
        <v>1</v>
      </c>
      <c r="U5246" s="1" t="s">
        <v>540</v>
      </c>
      <c r="V5246" s="1">
        <f t="shared" si="89"/>
        <v>0.32</v>
      </c>
      <c r="W5246" s="1" t="s">
        <v>5</v>
      </c>
      <c r="X5246" s="39">
        <v>-4.064488160384494</v>
      </c>
      <c r="Y5246" s="1">
        <v>1</v>
      </c>
      <c r="Z5246" s="6">
        <v>0</v>
      </c>
      <c r="AA5246" s="6">
        <v>0</v>
      </c>
    </row>
    <row r="5247" spans="1:27" x14ac:dyDescent="0.2">
      <c r="A5247" s="1">
        <v>25</v>
      </c>
      <c r="B5247" s="1" t="s">
        <v>82</v>
      </c>
      <c r="C5247" s="1" t="s">
        <v>83</v>
      </c>
      <c r="D5247" s="1">
        <v>1836</v>
      </c>
      <c r="E5247" s="11">
        <v>0</v>
      </c>
      <c r="G5247" s="1">
        <v>0</v>
      </c>
      <c r="H5247" s="1">
        <v>0</v>
      </c>
      <c r="M5247" s="1" t="s">
        <v>677</v>
      </c>
      <c r="N5247" s="1" t="s">
        <v>420</v>
      </c>
      <c r="O5247" s="1" t="s">
        <v>666</v>
      </c>
      <c r="P5247" s="1" t="s">
        <v>421</v>
      </c>
      <c r="Q5247" s="1">
        <v>0</v>
      </c>
      <c r="S5247" s="1">
        <v>1</v>
      </c>
      <c r="T5247" s="1">
        <v>1</v>
      </c>
      <c r="U5247" s="1" t="s">
        <v>540</v>
      </c>
      <c r="V5247" s="1">
        <f t="shared" si="89"/>
        <v>0.32</v>
      </c>
      <c r="W5247" s="1" t="s">
        <v>5</v>
      </c>
      <c r="X5247" s="39">
        <v>-12.589908446329744</v>
      </c>
      <c r="Y5247" s="1">
        <v>1</v>
      </c>
      <c r="Z5247" s="6">
        <v>0</v>
      </c>
      <c r="AA5247" s="6">
        <v>0</v>
      </c>
    </row>
    <row r="5248" spans="1:27" x14ac:dyDescent="0.2">
      <c r="A5248" s="1">
        <v>25</v>
      </c>
      <c r="B5248" s="1" t="s">
        <v>82</v>
      </c>
      <c r="C5248" s="1" t="s">
        <v>83</v>
      </c>
      <c r="D5248" s="1">
        <v>1837</v>
      </c>
      <c r="E5248" s="11">
        <v>0</v>
      </c>
      <c r="G5248" s="1">
        <v>0</v>
      </c>
      <c r="H5248" s="1">
        <v>0</v>
      </c>
      <c r="M5248" s="1" t="s">
        <v>677</v>
      </c>
      <c r="N5248" s="1" t="s">
        <v>420</v>
      </c>
      <c r="O5248" s="1" t="s">
        <v>666</v>
      </c>
      <c r="P5248" s="1" t="s">
        <v>421</v>
      </c>
      <c r="Q5248" s="1">
        <v>0</v>
      </c>
      <c r="S5248" s="1">
        <v>1</v>
      </c>
      <c r="T5248" s="1">
        <v>1</v>
      </c>
      <c r="U5248" s="1" t="s">
        <v>540</v>
      </c>
      <c r="V5248" s="1">
        <f t="shared" si="89"/>
        <v>0.32</v>
      </c>
      <c r="W5248" s="1" t="s">
        <v>5</v>
      </c>
      <c r="X5248" s="39">
        <v>5.9951582492727917</v>
      </c>
      <c r="Y5248" s="1">
        <v>1</v>
      </c>
      <c r="Z5248" s="6">
        <v>0</v>
      </c>
      <c r="AA5248" s="6">
        <v>0</v>
      </c>
    </row>
    <row r="5249" spans="1:27" x14ac:dyDescent="0.2">
      <c r="A5249" s="1">
        <v>25</v>
      </c>
      <c r="B5249" s="1" t="s">
        <v>82</v>
      </c>
      <c r="C5249" s="1" t="s">
        <v>83</v>
      </c>
      <c r="D5249" s="1">
        <v>1838</v>
      </c>
      <c r="E5249" s="11">
        <v>0</v>
      </c>
      <c r="G5249" s="1">
        <v>0</v>
      </c>
      <c r="H5249" s="1">
        <v>0</v>
      </c>
      <c r="M5249" s="1" t="s">
        <v>677</v>
      </c>
      <c r="N5249" s="1" t="s">
        <v>420</v>
      </c>
      <c r="O5249" s="1" t="s">
        <v>666</v>
      </c>
      <c r="P5249" s="1" t="s">
        <v>421</v>
      </c>
      <c r="Q5249" s="1">
        <v>0</v>
      </c>
      <c r="S5249" s="1">
        <v>1</v>
      </c>
      <c r="T5249" s="1">
        <v>1</v>
      </c>
      <c r="U5249" s="1" t="s">
        <v>540</v>
      </c>
      <c r="V5249" s="1">
        <f t="shared" si="89"/>
        <v>0.32</v>
      </c>
      <c r="W5249" s="1" t="s">
        <v>5</v>
      </c>
      <c r="X5249" s="39">
        <v>1.3712430800359998</v>
      </c>
      <c r="Y5249" s="1">
        <v>1</v>
      </c>
      <c r="Z5249" s="6">
        <v>0</v>
      </c>
      <c r="AA5249" s="6">
        <v>0</v>
      </c>
    </row>
    <row r="5250" spans="1:27" x14ac:dyDescent="0.2">
      <c r="A5250" s="1">
        <v>25</v>
      </c>
      <c r="B5250" s="1" t="s">
        <v>82</v>
      </c>
      <c r="C5250" s="1" t="s">
        <v>83</v>
      </c>
      <c r="D5250" s="1">
        <v>1839</v>
      </c>
      <c r="E5250" s="11">
        <v>0</v>
      </c>
      <c r="G5250" s="1">
        <v>0</v>
      </c>
      <c r="H5250" s="1">
        <v>0</v>
      </c>
      <c r="M5250" s="1" t="s">
        <v>677</v>
      </c>
      <c r="N5250" s="1" t="s">
        <v>420</v>
      </c>
      <c r="O5250" s="1" t="s">
        <v>666</v>
      </c>
      <c r="P5250" s="1" t="s">
        <v>421</v>
      </c>
      <c r="Q5250" s="1">
        <v>0</v>
      </c>
      <c r="S5250" s="1">
        <v>1</v>
      </c>
      <c r="T5250" s="1">
        <v>1</v>
      </c>
      <c r="U5250" s="1" t="s">
        <v>540</v>
      </c>
      <c r="V5250" s="1">
        <f t="shared" si="89"/>
        <v>0.32</v>
      </c>
      <c r="W5250" s="1" t="s">
        <v>5</v>
      </c>
      <c r="X5250" s="39">
        <v>8.1570279656432376</v>
      </c>
      <c r="Y5250" s="1">
        <v>1</v>
      </c>
      <c r="Z5250" s="6">
        <v>0</v>
      </c>
      <c r="AA5250" s="6">
        <v>0</v>
      </c>
    </row>
    <row r="5251" spans="1:27" x14ac:dyDescent="0.2">
      <c r="A5251" s="1">
        <v>25</v>
      </c>
      <c r="B5251" s="1" t="s">
        <v>82</v>
      </c>
      <c r="C5251" s="1" t="s">
        <v>83</v>
      </c>
      <c r="D5251" s="1">
        <v>1840</v>
      </c>
      <c r="E5251" s="11">
        <v>0</v>
      </c>
      <c r="G5251" s="1">
        <v>0</v>
      </c>
      <c r="H5251" s="1">
        <v>0</v>
      </c>
      <c r="M5251" s="1" t="s">
        <v>677</v>
      </c>
      <c r="N5251" s="1" t="s">
        <v>420</v>
      </c>
      <c r="O5251" s="1" t="s">
        <v>666</v>
      </c>
      <c r="P5251" s="1" t="s">
        <v>421</v>
      </c>
      <c r="Q5251" s="1">
        <v>0</v>
      </c>
      <c r="S5251" s="1">
        <v>1</v>
      </c>
      <c r="T5251" s="1">
        <v>1</v>
      </c>
      <c r="U5251" s="1" t="s">
        <v>540</v>
      </c>
      <c r="V5251" s="1">
        <f t="shared" si="89"/>
        <v>0.32</v>
      </c>
      <c r="W5251" s="1" t="s">
        <v>5</v>
      </c>
      <c r="X5251" s="39">
        <v>11.579755730779473</v>
      </c>
      <c r="Y5251" s="1">
        <v>1</v>
      </c>
      <c r="Z5251" s="6">
        <v>0</v>
      </c>
      <c r="AA5251" s="6">
        <v>0</v>
      </c>
    </row>
    <row r="5252" spans="1:27" x14ac:dyDescent="0.2">
      <c r="A5252" s="1">
        <v>25</v>
      </c>
      <c r="B5252" s="1" t="s">
        <v>82</v>
      </c>
      <c r="C5252" s="1" t="s">
        <v>83</v>
      </c>
      <c r="D5252" s="1">
        <v>1841</v>
      </c>
      <c r="E5252" s="11">
        <v>0</v>
      </c>
      <c r="G5252" s="1">
        <v>0</v>
      </c>
      <c r="H5252" s="1">
        <v>0</v>
      </c>
      <c r="M5252" s="1" t="s">
        <v>677</v>
      </c>
      <c r="N5252" s="1" t="s">
        <v>420</v>
      </c>
      <c r="O5252" s="1" t="s">
        <v>666</v>
      </c>
      <c r="P5252" s="1" t="s">
        <v>421</v>
      </c>
      <c r="Q5252" s="1">
        <v>0</v>
      </c>
      <c r="S5252" s="1">
        <v>1</v>
      </c>
      <c r="T5252" s="1">
        <v>1</v>
      </c>
      <c r="U5252" s="1" t="s">
        <v>540</v>
      </c>
      <c r="V5252" s="1">
        <f t="shared" si="89"/>
        <v>0.32</v>
      </c>
      <c r="W5252" s="1" t="s">
        <v>5</v>
      </c>
      <c r="X5252" s="39">
        <v>-10.353210272003842</v>
      </c>
      <c r="Y5252" s="1">
        <v>1</v>
      </c>
      <c r="Z5252" s="6">
        <v>0</v>
      </c>
      <c r="AA5252" s="6">
        <v>0</v>
      </c>
    </row>
    <row r="5253" spans="1:27" x14ac:dyDescent="0.2">
      <c r="A5253" s="1">
        <v>25</v>
      </c>
      <c r="B5253" s="1" t="s">
        <v>82</v>
      </c>
      <c r="C5253" s="1" t="s">
        <v>83</v>
      </c>
      <c r="D5253" s="1">
        <v>1842</v>
      </c>
      <c r="E5253" s="11">
        <v>0</v>
      </c>
      <c r="G5253" s="1">
        <v>0</v>
      </c>
      <c r="H5253" s="1">
        <v>0</v>
      </c>
      <c r="M5253" s="1" t="s">
        <v>677</v>
      </c>
      <c r="N5253" s="1" t="s">
        <v>420</v>
      </c>
      <c r="O5253" s="1" t="s">
        <v>666</v>
      </c>
      <c r="P5253" s="1" t="s">
        <v>421</v>
      </c>
      <c r="Q5253" s="1">
        <v>0</v>
      </c>
      <c r="S5253" s="1">
        <v>1</v>
      </c>
      <c r="T5253" s="1">
        <v>1</v>
      </c>
      <c r="U5253" s="1" t="s">
        <v>540</v>
      </c>
      <c r="V5253" s="1">
        <f t="shared" si="89"/>
        <v>0.32</v>
      </c>
      <c r="W5253" s="1" t="s">
        <v>5</v>
      </c>
      <c r="X5253" s="39">
        <v>-12.681342195539703</v>
      </c>
      <c r="Y5253" s="1">
        <v>1</v>
      </c>
      <c r="Z5253" s="6">
        <v>0</v>
      </c>
      <c r="AA5253" s="6">
        <v>0</v>
      </c>
    </row>
    <row r="5254" spans="1:27" ht="12.75" customHeight="1" x14ac:dyDescent="0.2">
      <c r="A5254" s="1">
        <v>25</v>
      </c>
      <c r="B5254" s="1" t="s">
        <v>82</v>
      </c>
      <c r="C5254" s="1" t="s">
        <v>83</v>
      </c>
      <c r="D5254" s="1">
        <v>1843</v>
      </c>
      <c r="E5254" s="11">
        <v>0</v>
      </c>
      <c r="G5254" s="1">
        <v>0</v>
      </c>
      <c r="H5254" s="1">
        <v>0</v>
      </c>
      <c r="M5254" s="1" t="s">
        <v>677</v>
      </c>
      <c r="N5254" s="1" t="s">
        <v>420</v>
      </c>
      <c r="O5254" s="1" t="s">
        <v>666</v>
      </c>
      <c r="P5254" s="1" t="s">
        <v>421</v>
      </c>
      <c r="Q5254" s="1">
        <v>0</v>
      </c>
      <c r="S5254" s="1">
        <v>1</v>
      </c>
      <c r="T5254" s="1">
        <v>1</v>
      </c>
      <c r="U5254" s="1" t="s">
        <v>540</v>
      </c>
      <c r="V5254" s="1">
        <f t="shared" si="89"/>
        <v>0.32</v>
      </c>
      <c r="W5254" s="1" t="s">
        <v>5</v>
      </c>
      <c r="X5254" s="39">
        <v>7.8316310661223598</v>
      </c>
      <c r="Y5254" s="1">
        <v>1</v>
      </c>
      <c r="Z5254" s="6">
        <v>0</v>
      </c>
      <c r="AA5254" s="6">
        <v>0</v>
      </c>
    </row>
    <row r="5255" spans="1:27" x14ac:dyDescent="0.2">
      <c r="A5255" s="1">
        <v>25</v>
      </c>
      <c r="B5255" s="1" t="s">
        <v>82</v>
      </c>
      <c r="C5255" s="1" t="s">
        <v>83</v>
      </c>
      <c r="D5255" s="1">
        <v>1844</v>
      </c>
      <c r="E5255" s="11">
        <v>0</v>
      </c>
      <c r="G5255" s="1">
        <v>0</v>
      </c>
      <c r="H5255" s="1">
        <v>0</v>
      </c>
      <c r="M5255" s="1" t="s">
        <v>677</v>
      </c>
      <c r="N5255" s="1" t="s">
        <v>420</v>
      </c>
      <c r="O5255" s="1" t="s">
        <v>666</v>
      </c>
      <c r="P5255" s="1" t="s">
        <v>421</v>
      </c>
      <c r="Q5255" s="1">
        <v>0</v>
      </c>
      <c r="S5255" s="1">
        <v>1</v>
      </c>
      <c r="T5255" s="1">
        <v>1</v>
      </c>
      <c r="U5255" s="1" t="s">
        <v>540</v>
      </c>
      <c r="V5255" s="1">
        <f t="shared" si="89"/>
        <v>0.32</v>
      </c>
      <c r="W5255" s="1" t="s">
        <v>5</v>
      </c>
      <c r="X5255" s="39">
        <v>4.3345095000257849</v>
      </c>
      <c r="Y5255" s="1">
        <v>1</v>
      </c>
      <c r="Z5255" s="6">
        <v>0</v>
      </c>
      <c r="AA5255" s="6">
        <v>0</v>
      </c>
    </row>
    <row r="5256" spans="1:27" x14ac:dyDescent="0.2">
      <c r="A5256" s="1">
        <v>25</v>
      </c>
      <c r="B5256" s="1" t="s">
        <v>82</v>
      </c>
      <c r="C5256" s="1" t="s">
        <v>83</v>
      </c>
      <c r="D5256" s="1">
        <v>1845</v>
      </c>
      <c r="E5256" s="11">
        <v>0</v>
      </c>
      <c r="G5256" s="1">
        <v>0</v>
      </c>
      <c r="H5256" s="1">
        <v>0</v>
      </c>
      <c r="M5256" s="1" t="s">
        <v>677</v>
      </c>
      <c r="N5256" s="1" t="s">
        <v>420</v>
      </c>
      <c r="O5256" s="1" t="s">
        <v>666</v>
      </c>
      <c r="P5256" s="1" t="s">
        <v>421</v>
      </c>
      <c r="Q5256" s="1">
        <v>0</v>
      </c>
      <c r="S5256" s="1">
        <v>1</v>
      </c>
      <c r="T5256" s="1">
        <v>1</v>
      </c>
      <c r="U5256" s="1" t="s">
        <v>540</v>
      </c>
      <c r="V5256" s="1">
        <f t="shared" si="89"/>
        <v>0.32</v>
      </c>
      <c r="W5256" s="1" t="s">
        <v>5</v>
      </c>
      <c r="X5256" s="39">
        <v>0.95769412920829744</v>
      </c>
      <c r="Y5256" s="1">
        <v>1</v>
      </c>
      <c r="Z5256" s="6">
        <v>0</v>
      </c>
      <c r="AA5256" s="6">
        <v>0</v>
      </c>
    </row>
    <row r="5257" spans="1:27" x14ac:dyDescent="0.2">
      <c r="A5257" s="1">
        <v>25</v>
      </c>
      <c r="B5257" s="1" t="s">
        <v>82</v>
      </c>
      <c r="C5257" s="1" t="s">
        <v>83</v>
      </c>
      <c r="D5257" s="1">
        <v>1846</v>
      </c>
      <c r="E5257" s="11">
        <v>0</v>
      </c>
      <c r="G5257" s="1">
        <v>0</v>
      </c>
      <c r="H5257" s="1">
        <v>0</v>
      </c>
      <c r="M5257" s="1" t="s">
        <v>677</v>
      </c>
      <c r="N5257" s="1" t="s">
        <v>420</v>
      </c>
      <c r="O5257" s="1" t="s">
        <v>666</v>
      </c>
      <c r="P5257" s="1" t="s">
        <v>421</v>
      </c>
      <c r="Q5257" s="1">
        <v>0</v>
      </c>
      <c r="S5257" s="1">
        <v>1</v>
      </c>
      <c r="T5257" s="1">
        <v>1</v>
      </c>
      <c r="U5257" s="1" t="s">
        <v>540</v>
      </c>
      <c r="V5257" s="1">
        <f t="shared" si="89"/>
        <v>0.32</v>
      </c>
      <c r="W5257" s="1" t="s">
        <v>5</v>
      </c>
      <c r="X5257" s="39">
        <v>-3.6789844763340462</v>
      </c>
      <c r="Y5257" s="1">
        <v>1</v>
      </c>
      <c r="Z5257" s="6">
        <v>0</v>
      </c>
      <c r="AA5257" s="6">
        <v>0</v>
      </c>
    </row>
    <row r="5258" spans="1:27" x14ac:dyDescent="0.2">
      <c r="A5258" s="1">
        <v>25</v>
      </c>
      <c r="B5258" s="1" t="s">
        <v>82</v>
      </c>
      <c r="C5258" s="1" t="s">
        <v>83</v>
      </c>
      <c r="D5258" s="1">
        <v>1847</v>
      </c>
      <c r="E5258" s="11">
        <v>0</v>
      </c>
      <c r="G5258" s="1">
        <v>0</v>
      </c>
      <c r="H5258" s="1">
        <v>0</v>
      </c>
      <c r="M5258" s="1" t="s">
        <v>677</v>
      </c>
      <c r="N5258" s="1" t="s">
        <v>420</v>
      </c>
      <c r="O5258" s="1" t="s">
        <v>666</v>
      </c>
      <c r="P5258" s="1" t="s">
        <v>421</v>
      </c>
      <c r="Q5258" s="1">
        <v>0</v>
      </c>
      <c r="S5258" s="1">
        <v>1</v>
      </c>
      <c r="T5258" s="1">
        <v>1</v>
      </c>
      <c r="U5258" s="1" t="s">
        <v>540</v>
      </c>
      <c r="V5258" s="1">
        <f t="shared" si="89"/>
        <v>0.32</v>
      </c>
      <c r="W5258" s="1" t="s">
        <v>5</v>
      </c>
      <c r="X5258" s="39">
        <v>5.6037570795638647</v>
      </c>
      <c r="Y5258" s="1">
        <v>1</v>
      </c>
      <c r="Z5258" s="6">
        <v>0</v>
      </c>
      <c r="AA5258" s="6">
        <v>0</v>
      </c>
    </row>
    <row r="5259" spans="1:27" x14ac:dyDescent="0.2">
      <c r="A5259" s="1">
        <v>25</v>
      </c>
      <c r="B5259" s="1" t="s">
        <v>82</v>
      </c>
      <c r="C5259" s="1" t="s">
        <v>83</v>
      </c>
      <c r="D5259" s="1">
        <v>1848</v>
      </c>
      <c r="E5259" s="11">
        <v>0</v>
      </c>
      <c r="G5259" s="1">
        <v>0</v>
      </c>
      <c r="H5259" s="1">
        <v>0</v>
      </c>
      <c r="M5259" s="1" t="s">
        <v>677</v>
      </c>
      <c r="N5259" s="1" t="s">
        <v>420</v>
      </c>
      <c r="O5259" s="1" t="s">
        <v>666</v>
      </c>
      <c r="P5259" s="1" t="s">
        <v>421</v>
      </c>
      <c r="Q5259" s="1">
        <v>0</v>
      </c>
      <c r="S5259" s="1">
        <v>1</v>
      </c>
      <c r="T5259" s="1">
        <v>1</v>
      </c>
      <c r="U5259" s="1" t="s">
        <v>540</v>
      </c>
      <c r="V5259" s="1">
        <f t="shared" si="89"/>
        <v>0.32</v>
      </c>
      <c r="W5259" s="1" t="s">
        <v>5</v>
      </c>
      <c r="X5259" s="39">
        <v>3.1122702872783847</v>
      </c>
      <c r="Y5259" s="1">
        <v>1</v>
      </c>
      <c r="Z5259" s="6">
        <v>0</v>
      </c>
      <c r="AA5259" s="6">
        <v>0</v>
      </c>
    </row>
    <row r="5260" spans="1:27" x14ac:dyDescent="0.2">
      <c r="A5260" s="1">
        <v>25</v>
      </c>
      <c r="B5260" s="1" t="s">
        <v>82</v>
      </c>
      <c r="C5260" s="1" t="s">
        <v>83</v>
      </c>
      <c r="D5260" s="1">
        <v>1849</v>
      </c>
      <c r="E5260" s="11">
        <v>0</v>
      </c>
      <c r="G5260" s="1">
        <v>0</v>
      </c>
      <c r="H5260" s="1">
        <v>0</v>
      </c>
      <c r="M5260" s="1" t="s">
        <v>677</v>
      </c>
      <c r="N5260" s="1" t="s">
        <v>420</v>
      </c>
      <c r="O5260" s="1" t="s">
        <v>666</v>
      </c>
      <c r="P5260" s="1" t="s">
        <v>421</v>
      </c>
      <c r="Q5260" s="1">
        <v>0</v>
      </c>
      <c r="S5260" s="1">
        <v>1</v>
      </c>
      <c r="T5260" s="1">
        <v>1</v>
      </c>
      <c r="U5260" s="1" t="s">
        <v>540</v>
      </c>
      <c r="V5260" s="1">
        <f t="shared" si="89"/>
        <v>0.32</v>
      </c>
      <c r="W5260" s="1" t="s">
        <v>5</v>
      </c>
      <c r="X5260" s="39">
        <v>-0.45354668168375856</v>
      </c>
      <c r="Y5260" s="1">
        <v>1</v>
      </c>
      <c r="Z5260" s="6">
        <v>0</v>
      </c>
      <c r="AA5260" s="6">
        <v>0</v>
      </c>
    </row>
    <row r="5261" spans="1:27" x14ac:dyDescent="0.2">
      <c r="A5261" s="1">
        <v>25</v>
      </c>
      <c r="B5261" s="1" t="s">
        <v>82</v>
      </c>
      <c r="C5261" s="1" t="s">
        <v>83</v>
      </c>
      <c r="D5261" s="1">
        <v>1850</v>
      </c>
      <c r="E5261" s="11">
        <v>0</v>
      </c>
      <c r="G5261" s="1">
        <v>0</v>
      </c>
      <c r="H5261" s="1">
        <v>0</v>
      </c>
      <c r="M5261" s="1" t="s">
        <v>677</v>
      </c>
      <c r="N5261" s="1" t="s">
        <v>420</v>
      </c>
      <c r="O5261" s="1" t="s">
        <v>666</v>
      </c>
      <c r="P5261" s="1" t="s">
        <v>421</v>
      </c>
      <c r="Q5261" s="1">
        <v>0</v>
      </c>
      <c r="S5261" s="1">
        <v>1</v>
      </c>
      <c r="T5261" s="1">
        <v>1</v>
      </c>
      <c r="U5261" s="1" t="s">
        <v>540</v>
      </c>
      <c r="V5261" s="1">
        <f t="shared" si="89"/>
        <v>0.32</v>
      </c>
      <c r="W5261" s="1" t="s">
        <v>5</v>
      </c>
      <c r="X5261" s="39">
        <v>8.5098277427602333</v>
      </c>
      <c r="Y5261" s="1">
        <v>1</v>
      </c>
      <c r="Z5261" s="6">
        <v>0</v>
      </c>
      <c r="AA5261" s="6">
        <v>0</v>
      </c>
    </row>
    <row r="5262" spans="1:27" x14ac:dyDescent="0.2">
      <c r="A5262" s="1">
        <v>25</v>
      </c>
      <c r="B5262" s="1" t="s">
        <v>82</v>
      </c>
      <c r="C5262" s="1" t="s">
        <v>83</v>
      </c>
      <c r="D5262" s="1">
        <v>1851</v>
      </c>
      <c r="E5262" s="11">
        <v>0</v>
      </c>
      <c r="G5262" s="1">
        <v>0</v>
      </c>
      <c r="H5262" s="1">
        <v>0</v>
      </c>
      <c r="M5262" s="1" t="s">
        <v>677</v>
      </c>
      <c r="N5262" s="1" t="s">
        <v>420</v>
      </c>
      <c r="O5262" s="1" t="s">
        <v>666</v>
      </c>
      <c r="P5262" s="1" t="s">
        <v>421</v>
      </c>
      <c r="Q5262" s="1">
        <v>0</v>
      </c>
      <c r="S5262" s="1">
        <v>1</v>
      </c>
      <c r="T5262" s="1">
        <v>1</v>
      </c>
      <c r="U5262" s="1" t="s">
        <v>540</v>
      </c>
      <c r="V5262" s="1">
        <f t="shared" si="89"/>
        <v>0.32</v>
      </c>
      <c r="W5262" s="1" t="s">
        <v>5</v>
      </c>
      <c r="X5262" s="39">
        <v>-15.75285475125906</v>
      </c>
      <c r="Y5262" s="1">
        <v>1</v>
      </c>
      <c r="Z5262" s="6">
        <v>0</v>
      </c>
      <c r="AA5262" s="6">
        <v>0</v>
      </c>
    </row>
    <row r="5263" spans="1:27" x14ac:dyDescent="0.2">
      <c r="A5263" s="1">
        <v>25</v>
      </c>
      <c r="B5263" s="1" t="s">
        <v>82</v>
      </c>
      <c r="C5263" s="1" t="s">
        <v>83</v>
      </c>
      <c r="D5263" s="1">
        <v>1852</v>
      </c>
      <c r="E5263" s="11">
        <v>0</v>
      </c>
      <c r="G5263" s="1">
        <v>0</v>
      </c>
      <c r="H5263" s="1">
        <v>0</v>
      </c>
      <c r="M5263" s="1" t="s">
        <v>677</v>
      </c>
      <c r="N5263" s="1" t="s">
        <v>420</v>
      </c>
      <c r="O5263" s="1" t="s">
        <v>666</v>
      </c>
      <c r="P5263" s="1" t="s">
        <v>421</v>
      </c>
      <c r="Q5263" s="1">
        <v>0</v>
      </c>
      <c r="S5263" s="1">
        <v>1</v>
      </c>
      <c r="T5263" s="1">
        <v>1</v>
      </c>
      <c r="U5263" s="1" t="s">
        <v>540</v>
      </c>
      <c r="V5263" s="1">
        <f t="shared" si="89"/>
        <v>0.32</v>
      </c>
      <c r="W5263" s="1" t="s">
        <v>5</v>
      </c>
      <c r="X5263" s="39">
        <v>39.355197439580756</v>
      </c>
      <c r="Y5263" s="1">
        <v>1</v>
      </c>
      <c r="Z5263" s="6">
        <v>0</v>
      </c>
      <c r="AA5263" s="6">
        <v>1</v>
      </c>
    </row>
    <row r="5264" spans="1:27" x14ac:dyDescent="0.2">
      <c r="A5264" s="1">
        <v>25</v>
      </c>
      <c r="B5264" s="1" t="s">
        <v>82</v>
      </c>
      <c r="C5264" s="1" t="s">
        <v>83</v>
      </c>
      <c r="D5264" s="1">
        <v>1853</v>
      </c>
      <c r="E5264" s="11">
        <v>0</v>
      </c>
      <c r="G5264" s="1">
        <v>0</v>
      </c>
      <c r="H5264" s="1">
        <v>0</v>
      </c>
      <c r="M5264" s="1" t="s">
        <v>677</v>
      </c>
      <c r="N5264" s="1" t="s">
        <v>420</v>
      </c>
      <c r="O5264" s="1" t="s">
        <v>666</v>
      </c>
      <c r="P5264" s="1" t="s">
        <v>421</v>
      </c>
      <c r="Q5264" s="1">
        <v>0</v>
      </c>
      <c r="S5264" s="1">
        <v>1</v>
      </c>
      <c r="T5264" s="1">
        <v>1</v>
      </c>
      <c r="U5264" s="1" t="s">
        <v>540</v>
      </c>
      <c r="V5264" s="1">
        <f t="shared" si="89"/>
        <v>0.32</v>
      </c>
      <c r="W5264" s="1" t="s">
        <v>5</v>
      </c>
      <c r="X5264" s="39">
        <v>-16.256796680113649</v>
      </c>
      <c r="Y5264" s="1">
        <v>1</v>
      </c>
      <c r="Z5264" s="6">
        <v>0</v>
      </c>
      <c r="AA5264" s="6">
        <v>0</v>
      </c>
    </row>
    <row r="5265" spans="1:27" x14ac:dyDescent="0.2">
      <c r="A5265" s="1">
        <v>25</v>
      </c>
      <c r="B5265" s="1" t="s">
        <v>82</v>
      </c>
      <c r="C5265" s="1" t="s">
        <v>83</v>
      </c>
      <c r="D5265" s="1">
        <v>1854</v>
      </c>
      <c r="E5265" s="11">
        <v>0</v>
      </c>
      <c r="G5265" s="1">
        <v>0</v>
      </c>
      <c r="H5265" s="1">
        <v>0</v>
      </c>
      <c r="M5265" s="1" t="s">
        <v>677</v>
      </c>
      <c r="N5265" s="1" t="s">
        <v>420</v>
      </c>
      <c r="O5265" s="1" t="s">
        <v>666</v>
      </c>
      <c r="P5265" s="1" t="s">
        <v>421</v>
      </c>
      <c r="Q5265" s="1">
        <v>0</v>
      </c>
      <c r="S5265" s="1">
        <v>1</v>
      </c>
      <c r="T5265" s="1">
        <v>1</v>
      </c>
      <c r="U5265" s="1" t="s">
        <v>540</v>
      </c>
      <c r="V5265" s="1">
        <f t="shared" si="89"/>
        <v>0.32</v>
      </c>
      <c r="W5265" s="1" t="s">
        <v>5</v>
      </c>
      <c r="X5265" s="39">
        <v>9.2970458903822308</v>
      </c>
      <c r="Y5265" s="1">
        <v>1</v>
      </c>
      <c r="Z5265" s="6">
        <v>0</v>
      </c>
      <c r="AA5265" s="6">
        <v>0</v>
      </c>
    </row>
    <row r="5266" spans="1:27" x14ac:dyDescent="0.2">
      <c r="A5266" s="1">
        <v>25</v>
      </c>
      <c r="B5266" s="1" t="s">
        <v>82</v>
      </c>
      <c r="C5266" s="1" t="s">
        <v>83</v>
      </c>
      <c r="D5266" s="1">
        <v>1855</v>
      </c>
      <c r="E5266" s="11">
        <v>0</v>
      </c>
      <c r="G5266" s="1">
        <v>0</v>
      </c>
      <c r="H5266" s="1">
        <v>0</v>
      </c>
      <c r="M5266" s="1" t="s">
        <v>677</v>
      </c>
      <c r="N5266" s="1" t="s">
        <v>420</v>
      </c>
      <c r="O5266" s="1" t="s">
        <v>666</v>
      </c>
      <c r="P5266" s="1" t="s">
        <v>421</v>
      </c>
      <c r="Q5266" s="1">
        <v>0</v>
      </c>
      <c r="S5266" s="1">
        <v>1</v>
      </c>
      <c r="T5266" s="1">
        <v>1</v>
      </c>
      <c r="U5266" s="1" t="s">
        <v>540</v>
      </c>
      <c r="V5266" s="1">
        <f t="shared" si="89"/>
        <v>0.32</v>
      </c>
      <c r="W5266" s="1" t="s">
        <v>5</v>
      </c>
      <c r="X5266" s="39">
        <v>-12.825073384834262</v>
      </c>
      <c r="Y5266" s="1">
        <v>1</v>
      </c>
      <c r="Z5266" s="6">
        <v>0</v>
      </c>
      <c r="AA5266" s="6">
        <v>0</v>
      </c>
    </row>
    <row r="5267" spans="1:27" x14ac:dyDescent="0.2">
      <c r="A5267" s="1">
        <v>25</v>
      </c>
      <c r="B5267" s="1" t="s">
        <v>82</v>
      </c>
      <c r="C5267" s="1" t="s">
        <v>83</v>
      </c>
      <c r="D5267" s="1">
        <v>1856</v>
      </c>
      <c r="E5267" s="11">
        <v>0</v>
      </c>
      <c r="G5267" s="1">
        <v>0</v>
      </c>
      <c r="H5267" s="1">
        <v>0</v>
      </c>
      <c r="M5267" s="1" t="s">
        <v>677</v>
      </c>
      <c r="N5267" s="1" t="s">
        <v>420</v>
      </c>
      <c r="O5267" s="1" t="s">
        <v>666</v>
      </c>
      <c r="P5267" s="1" t="s">
        <v>421</v>
      </c>
      <c r="Q5267" s="1">
        <v>0</v>
      </c>
      <c r="S5267" s="1">
        <v>1</v>
      </c>
      <c r="T5267" s="1">
        <v>1</v>
      </c>
      <c r="U5267" s="1" t="s">
        <v>540</v>
      </c>
      <c r="V5267" s="1">
        <f t="shared" si="89"/>
        <v>0.32</v>
      </c>
      <c r="W5267" s="1" t="s">
        <v>5</v>
      </c>
      <c r="X5267" s="39">
        <v>56.176369119456069</v>
      </c>
      <c r="Y5267" s="1">
        <v>1</v>
      </c>
      <c r="Z5267" s="6">
        <v>0</v>
      </c>
      <c r="AA5267" s="6">
        <v>1</v>
      </c>
    </row>
    <row r="5268" spans="1:27" x14ac:dyDescent="0.2">
      <c r="A5268" s="1">
        <v>25</v>
      </c>
      <c r="B5268" s="1" t="s">
        <v>82</v>
      </c>
      <c r="C5268" s="1" t="s">
        <v>83</v>
      </c>
      <c r="D5268" s="1">
        <v>1857</v>
      </c>
      <c r="E5268" s="11">
        <v>0</v>
      </c>
      <c r="G5268" s="1">
        <v>0</v>
      </c>
      <c r="H5268" s="1">
        <v>0</v>
      </c>
      <c r="M5268" s="1" t="s">
        <v>677</v>
      </c>
      <c r="N5268" s="1" t="s">
        <v>420</v>
      </c>
      <c r="O5268" s="1" t="s">
        <v>666</v>
      </c>
      <c r="P5268" s="1" t="s">
        <v>421</v>
      </c>
      <c r="Q5268" s="1">
        <v>0</v>
      </c>
      <c r="S5268" s="1">
        <v>1</v>
      </c>
      <c r="T5268" s="1">
        <v>1</v>
      </c>
      <c r="U5268" s="1" t="s">
        <v>540</v>
      </c>
      <c r="V5268" s="1">
        <f t="shared" si="89"/>
        <v>0.32</v>
      </c>
      <c r="W5268" s="1" t="s">
        <v>5</v>
      </c>
      <c r="X5268" s="39">
        <v>-26.274831277322619</v>
      </c>
      <c r="Y5268" s="1">
        <v>1</v>
      </c>
      <c r="Z5268" s="6">
        <v>0</v>
      </c>
      <c r="AA5268" s="6">
        <v>0</v>
      </c>
    </row>
    <row r="5269" spans="1:27" x14ac:dyDescent="0.2">
      <c r="A5269" s="1">
        <v>25</v>
      </c>
      <c r="B5269" s="1" t="s">
        <v>82</v>
      </c>
      <c r="C5269" s="1" t="s">
        <v>83</v>
      </c>
      <c r="D5269" s="1">
        <v>1858</v>
      </c>
      <c r="E5269" s="11">
        <v>0</v>
      </c>
      <c r="G5269" s="1">
        <v>0</v>
      </c>
      <c r="H5269" s="1">
        <v>0</v>
      </c>
      <c r="M5269" s="1" t="s">
        <v>677</v>
      </c>
      <c r="N5269" s="1" t="s">
        <v>420</v>
      </c>
      <c r="O5269" s="1" t="s">
        <v>666</v>
      </c>
      <c r="P5269" s="1" t="s">
        <v>421</v>
      </c>
      <c r="Q5269" s="1">
        <v>0</v>
      </c>
      <c r="S5269" s="1">
        <v>1</v>
      </c>
      <c r="T5269" s="1">
        <v>1</v>
      </c>
      <c r="U5269" s="1" t="s">
        <v>540</v>
      </c>
      <c r="V5269" s="1">
        <f t="shared" si="89"/>
        <v>0.32</v>
      </c>
      <c r="W5269" s="1" t="s">
        <v>5</v>
      </c>
      <c r="X5269" s="39">
        <v>-3.5826928351346932</v>
      </c>
      <c r="Y5269" s="1">
        <v>1</v>
      </c>
      <c r="Z5269" s="6">
        <v>0</v>
      </c>
      <c r="AA5269" s="6">
        <v>0</v>
      </c>
    </row>
    <row r="5270" spans="1:27" x14ac:dyDescent="0.2">
      <c r="A5270" s="1">
        <v>25</v>
      </c>
      <c r="B5270" s="1" t="s">
        <v>82</v>
      </c>
      <c r="C5270" s="1" t="s">
        <v>83</v>
      </c>
      <c r="D5270" s="1">
        <v>1859</v>
      </c>
      <c r="E5270" s="11">
        <v>0</v>
      </c>
      <c r="G5270" s="1">
        <v>0</v>
      </c>
      <c r="H5270" s="1">
        <v>0</v>
      </c>
      <c r="M5270" s="1" t="s">
        <v>677</v>
      </c>
      <c r="N5270" s="1" t="s">
        <v>420</v>
      </c>
      <c r="O5270" s="1" t="s">
        <v>666</v>
      </c>
      <c r="P5270" s="1" t="s">
        <v>421</v>
      </c>
      <c r="Q5270" s="1">
        <v>0</v>
      </c>
      <c r="S5270" s="1">
        <v>1</v>
      </c>
      <c r="T5270" s="1">
        <v>1</v>
      </c>
      <c r="U5270" s="1" t="s">
        <v>540</v>
      </c>
      <c r="V5270" s="1">
        <f t="shared" si="89"/>
        <v>0.32</v>
      </c>
      <c r="W5270" s="1" t="s">
        <v>5</v>
      </c>
      <c r="X5270" s="39">
        <v>23.031626152256845</v>
      </c>
      <c r="Y5270" s="1">
        <v>1</v>
      </c>
      <c r="Z5270" s="6">
        <v>0</v>
      </c>
      <c r="AA5270" s="6">
        <v>1</v>
      </c>
    </row>
    <row r="5271" spans="1:27" x14ac:dyDescent="0.2">
      <c r="A5271" s="1">
        <v>25</v>
      </c>
      <c r="B5271" s="1" t="s">
        <v>82</v>
      </c>
      <c r="C5271" s="1" t="s">
        <v>83</v>
      </c>
      <c r="D5271" s="1">
        <v>1860</v>
      </c>
      <c r="E5271" s="11">
        <v>0</v>
      </c>
      <c r="G5271" s="1">
        <v>0</v>
      </c>
      <c r="H5271" s="1">
        <v>0</v>
      </c>
      <c r="M5271" s="1" t="s">
        <v>677</v>
      </c>
      <c r="N5271" s="1" t="s">
        <v>420</v>
      </c>
      <c r="O5271" s="1" t="s">
        <v>666</v>
      </c>
      <c r="P5271" s="1" t="s">
        <v>421</v>
      </c>
      <c r="Q5271" s="1">
        <v>0</v>
      </c>
      <c r="S5271" s="1">
        <v>1</v>
      </c>
      <c r="T5271" s="1">
        <v>1</v>
      </c>
      <c r="U5271" s="1" t="s">
        <v>540</v>
      </c>
      <c r="V5271" s="1">
        <f t="shared" si="89"/>
        <v>0.32</v>
      </c>
      <c r="W5271" s="1" t="s">
        <v>5</v>
      </c>
      <c r="X5271" s="39">
        <v>-7.4009831871572285</v>
      </c>
      <c r="Y5271" s="1">
        <v>1</v>
      </c>
      <c r="Z5271" s="6">
        <v>0</v>
      </c>
      <c r="AA5271" s="6">
        <v>0</v>
      </c>
    </row>
    <row r="5272" spans="1:27" x14ac:dyDescent="0.2">
      <c r="A5272" s="1">
        <v>25</v>
      </c>
      <c r="B5272" s="1" t="s">
        <v>82</v>
      </c>
      <c r="C5272" s="1" t="s">
        <v>83</v>
      </c>
      <c r="D5272" s="1">
        <v>1861</v>
      </c>
      <c r="E5272" s="11">
        <v>0</v>
      </c>
      <c r="G5272" s="1">
        <v>0</v>
      </c>
      <c r="H5272" s="1">
        <v>0</v>
      </c>
      <c r="M5272" s="1" t="s">
        <v>677</v>
      </c>
      <c r="N5272" s="1" t="s">
        <v>420</v>
      </c>
      <c r="O5272" s="1" t="s">
        <v>666</v>
      </c>
      <c r="P5272" s="1" t="s">
        <v>421</v>
      </c>
      <c r="Q5272" s="1">
        <v>0</v>
      </c>
      <c r="S5272" s="1">
        <v>1</v>
      </c>
      <c r="T5272" s="1">
        <v>1</v>
      </c>
      <c r="U5272" s="1" t="s">
        <v>540</v>
      </c>
      <c r="V5272" s="1">
        <f t="shared" si="89"/>
        <v>0.32</v>
      </c>
      <c r="W5272" s="1" t="s">
        <v>5</v>
      </c>
      <c r="X5272" s="39">
        <v>-7.8345781867201536</v>
      </c>
      <c r="Y5272" s="1">
        <v>1</v>
      </c>
      <c r="Z5272" s="6">
        <v>0</v>
      </c>
      <c r="AA5272" s="6">
        <v>0</v>
      </c>
    </row>
    <row r="5273" spans="1:27" x14ac:dyDescent="0.2">
      <c r="A5273" s="1">
        <v>25</v>
      </c>
      <c r="B5273" s="1" t="s">
        <v>82</v>
      </c>
      <c r="C5273" s="1" t="s">
        <v>83</v>
      </c>
      <c r="D5273" s="1">
        <v>1862</v>
      </c>
      <c r="E5273" s="11">
        <v>0</v>
      </c>
      <c r="G5273" s="1">
        <v>0</v>
      </c>
      <c r="H5273" s="1">
        <v>0</v>
      </c>
      <c r="M5273" s="1" t="s">
        <v>677</v>
      </c>
      <c r="N5273" s="1" t="s">
        <v>420</v>
      </c>
      <c r="O5273" s="1" t="s">
        <v>666</v>
      </c>
      <c r="P5273" s="1" t="s">
        <v>421</v>
      </c>
      <c r="Q5273" s="1">
        <v>0</v>
      </c>
      <c r="S5273" s="1">
        <v>1</v>
      </c>
      <c r="T5273" s="1">
        <v>1</v>
      </c>
      <c r="U5273" s="1" t="s">
        <v>540</v>
      </c>
      <c r="V5273" s="1">
        <f t="shared" si="89"/>
        <v>0.32</v>
      </c>
      <c r="W5273" s="1" t="s">
        <v>5</v>
      </c>
      <c r="X5273" s="39">
        <v>0.58202377413547612</v>
      </c>
      <c r="Y5273" s="1">
        <v>1</v>
      </c>
      <c r="Z5273" s="6">
        <v>0</v>
      </c>
      <c r="AA5273" s="6">
        <v>0</v>
      </c>
    </row>
    <row r="5274" spans="1:27" x14ac:dyDescent="0.2">
      <c r="A5274" s="1">
        <v>25</v>
      </c>
      <c r="B5274" s="1" t="s">
        <v>82</v>
      </c>
      <c r="C5274" s="1" t="s">
        <v>83</v>
      </c>
      <c r="D5274" s="1">
        <v>1863</v>
      </c>
      <c r="E5274" s="11">
        <v>0</v>
      </c>
      <c r="G5274" s="1">
        <v>0</v>
      </c>
      <c r="H5274" s="1">
        <v>0</v>
      </c>
      <c r="M5274" s="1" t="s">
        <v>677</v>
      </c>
      <c r="N5274" s="1" t="s">
        <v>420</v>
      </c>
      <c r="O5274" s="1" t="s">
        <v>666</v>
      </c>
      <c r="P5274" s="1" t="s">
        <v>421</v>
      </c>
      <c r="Q5274" s="1">
        <v>0</v>
      </c>
      <c r="S5274" s="1">
        <v>1</v>
      </c>
      <c r="T5274" s="1">
        <v>1</v>
      </c>
      <c r="U5274" s="1" t="s">
        <v>540</v>
      </c>
      <c r="V5274" s="1">
        <f t="shared" si="89"/>
        <v>0.32</v>
      </c>
      <c r="W5274" s="1" t="s">
        <v>5</v>
      </c>
      <c r="X5274" s="39">
        <v>14.567484363261363</v>
      </c>
      <c r="Y5274" s="1">
        <v>1</v>
      </c>
      <c r="Z5274" s="6">
        <v>0</v>
      </c>
      <c r="AA5274" s="6">
        <v>0</v>
      </c>
    </row>
    <row r="5275" spans="1:27" x14ac:dyDescent="0.2">
      <c r="A5275" s="1">
        <v>25</v>
      </c>
      <c r="B5275" s="1" t="s">
        <v>82</v>
      </c>
      <c r="C5275" s="1" t="s">
        <v>83</v>
      </c>
      <c r="D5275" s="1">
        <v>1864</v>
      </c>
      <c r="E5275" s="11">
        <v>0</v>
      </c>
      <c r="G5275" s="1">
        <v>0</v>
      </c>
      <c r="H5275" s="1">
        <v>0</v>
      </c>
      <c r="M5275" s="1" t="s">
        <v>677</v>
      </c>
      <c r="N5275" s="1" t="s">
        <v>420</v>
      </c>
      <c r="O5275" s="1" t="s">
        <v>666</v>
      </c>
      <c r="P5275" s="1" t="s">
        <v>421</v>
      </c>
      <c r="Q5275" s="1">
        <v>0</v>
      </c>
      <c r="S5275" s="1">
        <v>1</v>
      </c>
      <c r="T5275" s="1">
        <v>1</v>
      </c>
      <c r="U5275" s="1" t="s">
        <v>540</v>
      </c>
      <c r="V5275" s="1">
        <f t="shared" ref="V5275:V5338" si="90">0.32*S5275</f>
        <v>0.32</v>
      </c>
      <c r="W5275" s="1" t="s">
        <v>5</v>
      </c>
      <c r="X5275" s="39">
        <v>6.4934720119664835</v>
      </c>
      <c r="Y5275" s="1">
        <v>1</v>
      </c>
      <c r="Z5275" s="6">
        <v>0</v>
      </c>
      <c r="AA5275" s="6">
        <v>0</v>
      </c>
    </row>
    <row r="5276" spans="1:27" x14ac:dyDescent="0.2">
      <c r="A5276" s="1">
        <v>25</v>
      </c>
      <c r="B5276" s="1" t="s">
        <v>82</v>
      </c>
      <c r="C5276" s="1" t="s">
        <v>83</v>
      </c>
      <c r="D5276" s="1">
        <v>1865</v>
      </c>
      <c r="E5276" s="11">
        <v>0</v>
      </c>
      <c r="G5276" s="1">
        <v>0</v>
      </c>
      <c r="H5276" s="1">
        <v>0</v>
      </c>
      <c r="M5276" s="1" t="s">
        <v>677</v>
      </c>
      <c r="N5276" s="1" t="s">
        <v>420</v>
      </c>
      <c r="O5276" s="1" t="s">
        <v>666</v>
      </c>
      <c r="P5276" s="1" t="s">
        <v>421</v>
      </c>
      <c r="Q5276" s="1">
        <v>0</v>
      </c>
      <c r="S5276" s="1">
        <v>1</v>
      </c>
      <c r="T5276" s="1">
        <v>1</v>
      </c>
      <c r="U5276" s="1" t="s">
        <v>540</v>
      </c>
      <c r="V5276" s="1">
        <f t="shared" si="90"/>
        <v>0.32</v>
      </c>
      <c r="W5276" s="1" t="s">
        <v>5</v>
      </c>
      <c r="X5276" s="39">
        <v>-10.013546596681156</v>
      </c>
      <c r="Y5276" s="1">
        <v>1</v>
      </c>
      <c r="Z5276" s="6">
        <v>0</v>
      </c>
      <c r="AA5276" s="6">
        <v>0</v>
      </c>
    </row>
    <row r="5277" spans="1:27" x14ac:dyDescent="0.2">
      <c r="A5277" s="1">
        <v>25</v>
      </c>
      <c r="B5277" s="1" t="s">
        <v>82</v>
      </c>
      <c r="C5277" s="1" t="s">
        <v>83</v>
      </c>
      <c r="D5277" s="1">
        <v>1866</v>
      </c>
      <c r="E5277" s="11">
        <v>0</v>
      </c>
      <c r="G5277" s="1">
        <v>0</v>
      </c>
      <c r="H5277" s="1">
        <v>0</v>
      </c>
      <c r="M5277" s="1" t="s">
        <v>677</v>
      </c>
      <c r="N5277" s="1" t="s">
        <v>420</v>
      </c>
      <c r="O5277" s="1" t="s">
        <v>666</v>
      </c>
      <c r="P5277" s="1" t="s">
        <v>421</v>
      </c>
      <c r="Q5277" s="1">
        <v>0</v>
      </c>
      <c r="S5277" s="1">
        <v>1</v>
      </c>
      <c r="T5277" s="1">
        <v>1</v>
      </c>
      <c r="U5277" s="1" t="s">
        <v>540</v>
      </c>
      <c r="V5277" s="1">
        <f t="shared" si="90"/>
        <v>0.32</v>
      </c>
      <c r="W5277" s="1" t="s">
        <v>5</v>
      </c>
      <c r="X5277" s="39">
        <v>10.358777945697884</v>
      </c>
      <c r="Y5277" s="1">
        <v>1</v>
      </c>
      <c r="Z5277" s="6">
        <v>0</v>
      </c>
      <c r="AA5277" s="6">
        <v>0</v>
      </c>
    </row>
    <row r="5278" spans="1:27" x14ac:dyDescent="0.2">
      <c r="A5278" s="1">
        <v>25</v>
      </c>
      <c r="B5278" s="1" t="s">
        <v>82</v>
      </c>
      <c r="C5278" s="1" t="s">
        <v>83</v>
      </c>
      <c r="D5278" s="1">
        <v>1867</v>
      </c>
      <c r="E5278" s="11">
        <v>0</v>
      </c>
      <c r="G5278" s="1">
        <v>0</v>
      </c>
      <c r="H5278" s="1">
        <v>0</v>
      </c>
      <c r="M5278" s="1" t="s">
        <v>677</v>
      </c>
      <c r="N5278" s="1" t="s">
        <v>420</v>
      </c>
      <c r="O5278" s="1" t="s">
        <v>666</v>
      </c>
      <c r="P5278" s="1" t="s">
        <v>421</v>
      </c>
      <c r="Q5278" s="1">
        <v>0</v>
      </c>
      <c r="S5278" s="1">
        <v>1</v>
      </c>
      <c r="T5278" s="1">
        <v>1</v>
      </c>
      <c r="U5278" s="1" t="s">
        <v>540</v>
      </c>
      <c r="V5278" s="1">
        <f t="shared" si="90"/>
        <v>0.32</v>
      </c>
      <c r="W5278" s="1" t="s">
        <v>5</v>
      </c>
      <c r="X5278" s="39">
        <v>9.4081833399273229</v>
      </c>
      <c r="Y5278" s="1">
        <v>1</v>
      </c>
      <c r="Z5278" s="6">
        <v>0</v>
      </c>
      <c r="AA5278" s="6">
        <v>0</v>
      </c>
    </row>
    <row r="5279" spans="1:27" x14ac:dyDescent="0.2">
      <c r="A5279" s="1">
        <v>25</v>
      </c>
      <c r="B5279" s="1" t="s">
        <v>82</v>
      </c>
      <c r="C5279" s="1" t="s">
        <v>83</v>
      </c>
      <c r="D5279" s="1">
        <v>1868</v>
      </c>
      <c r="E5279" s="11">
        <v>0</v>
      </c>
      <c r="G5279" s="1">
        <v>0</v>
      </c>
      <c r="H5279" s="1">
        <v>0</v>
      </c>
      <c r="M5279" s="1" t="s">
        <v>677</v>
      </c>
      <c r="N5279" s="1" t="s">
        <v>420</v>
      </c>
      <c r="O5279" s="1" t="s">
        <v>666</v>
      </c>
      <c r="P5279" s="1" t="s">
        <v>421</v>
      </c>
      <c r="Q5279" s="1">
        <v>0</v>
      </c>
      <c r="S5279" s="1">
        <v>1</v>
      </c>
      <c r="T5279" s="1">
        <v>1</v>
      </c>
      <c r="U5279" s="1" t="s">
        <v>540</v>
      </c>
      <c r="V5279" s="1">
        <f t="shared" si="90"/>
        <v>0.32</v>
      </c>
      <c r="W5279" s="1" t="s">
        <v>5</v>
      </c>
      <c r="X5279" s="39">
        <v>-6.3744860497965794</v>
      </c>
      <c r="Y5279" s="1">
        <v>1</v>
      </c>
      <c r="Z5279" s="6">
        <v>0</v>
      </c>
      <c r="AA5279" s="6">
        <v>0</v>
      </c>
    </row>
    <row r="5280" spans="1:27" x14ac:dyDescent="0.2">
      <c r="A5280" s="1">
        <v>25</v>
      </c>
      <c r="B5280" s="1" t="s">
        <v>82</v>
      </c>
      <c r="C5280" s="1" t="s">
        <v>83</v>
      </c>
      <c r="D5280" s="1">
        <v>1869</v>
      </c>
      <c r="E5280" s="11">
        <v>0</v>
      </c>
      <c r="G5280" s="1">
        <v>0</v>
      </c>
      <c r="H5280" s="1">
        <v>0</v>
      </c>
      <c r="M5280" s="1" t="s">
        <v>677</v>
      </c>
      <c r="N5280" s="1" t="s">
        <v>420</v>
      </c>
      <c r="O5280" s="1" t="s">
        <v>666</v>
      </c>
      <c r="P5280" s="1" t="s">
        <v>421</v>
      </c>
      <c r="Q5280" s="1">
        <v>0</v>
      </c>
      <c r="S5280" s="1">
        <v>1</v>
      </c>
      <c r="T5280" s="1">
        <v>1</v>
      </c>
      <c r="U5280" s="1" t="s">
        <v>540</v>
      </c>
      <c r="V5280" s="1">
        <f t="shared" si="90"/>
        <v>0.32</v>
      </c>
      <c r="W5280" s="1" t="s">
        <v>5</v>
      </c>
      <c r="X5280" s="39">
        <v>-11.114094150377662</v>
      </c>
      <c r="Y5280" s="1">
        <v>1</v>
      </c>
      <c r="Z5280" s="6">
        <v>0</v>
      </c>
      <c r="AA5280" s="6">
        <v>0</v>
      </c>
    </row>
    <row r="5281" spans="1:27" x14ac:dyDescent="0.2">
      <c r="A5281" s="1">
        <v>25</v>
      </c>
      <c r="B5281" s="1" t="s">
        <v>82</v>
      </c>
      <c r="C5281" s="1" t="s">
        <v>83</v>
      </c>
      <c r="D5281" s="1">
        <v>1870</v>
      </c>
      <c r="E5281" s="11">
        <v>0</v>
      </c>
      <c r="G5281" s="1">
        <v>0</v>
      </c>
      <c r="H5281" s="1">
        <v>0</v>
      </c>
      <c r="M5281" s="1" t="s">
        <v>677</v>
      </c>
      <c r="N5281" s="1" t="s">
        <v>420</v>
      </c>
      <c r="O5281" s="1" t="s">
        <v>666</v>
      </c>
      <c r="P5281" s="1" t="s">
        <v>421</v>
      </c>
      <c r="Q5281" s="1">
        <v>0</v>
      </c>
      <c r="S5281" s="1">
        <v>1</v>
      </c>
      <c r="T5281" s="1">
        <v>1</v>
      </c>
      <c r="U5281" s="1" t="s">
        <v>540</v>
      </c>
      <c r="V5281" s="1">
        <f t="shared" si="90"/>
        <v>0.32</v>
      </c>
      <c r="W5281" s="1" t="s">
        <v>5</v>
      </c>
      <c r="X5281" s="39">
        <v>21.345046592081609</v>
      </c>
      <c r="Y5281" s="1">
        <v>1</v>
      </c>
      <c r="Z5281" s="6">
        <v>0</v>
      </c>
      <c r="AA5281" s="6">
        <v>1</v>
      </c>
    </row>
    <row r="5282" spans="1:27" x14ac:dyDescent="0.2">
      <c r="A5282" s="1">
        <v>25</v>
      </c>
      <c r="B5282" s="1" t="s">
        <v>82</v>
      </c>
      <c r="C5282" s="1" t="s">
        <v>83</v>
      </c>
      <c r="D5282" s="1">
        <v>1871</v>
      </c>
      <c r="E5282" s="11">
        <v>0</v>
      </c>
      <c r="G5282" s="1">
        <v>0</v>
      </c>
      <c r="H5282" s="1">
        <v>0</v>
      </c>
      <c r="M5282" s="1" t="s">
        <v>677</v>
      </c>
      <c r="N5282" s="1" t="s">
        <v>420</v>
      </c>
      <c r="O5282" s="1" t="s">
        <v>666</v>
      </c>
      <c r="P5282" s="1" t="s">
        <v>421</v>
      </c>
      <c r="Q5282" s="1">
        <v>0</v>
      </c>
      <c r="S5282" s="1">
        <v>1</v>
      </c>
      <c r="T5282" s="1">
        <v>1</v>
      </c>
      <c r="U5282" s="1" t="s">
        <v>540</v>
      </c>
      <c r="V5282" s="1">
        <f t="shared" si="90"/>
        <v>0.32</v>
      </c>
      <c r="W5282" s="1" t="s">
        <v>5</v>
      </c>
      <c r="X5282" s="39">
        <v>17.283349759705224</v>
      </c>
      <c r="Y5282" s="1">
        <v>1</v>
      </c>
      <c r="Z5282" s="6">
        <v>0</v>
      </c>
      <c r="AA5282" s="6">
        <v>0</v>
      </c>
    </row>
    <row r="5283" spans="1:27" x14ac:dyDescent="0.2">
      <c r="A5283" s="1">
        <v>25</v>
      </c>
      <c r="B5283" s="1" t="s">
        <v>82</v>
      </c>
      <c r="C5283" s="1" t="s">
        <v>83</v>
      </c>
      <c r="D5283" s="1">
        <v>1872</v>
      </c>
      <c r="E5283" s="11">
        <v>0</v>
      </c>
      <c r="G5283" s="1">
        <v>0</v>
      </c>
      <c r="H5283" s="1">
        <v>0</v>
      </c>
      <c r="M5283" s="1" t="s">
        <v>677</v>
      </c>
      <c r="N5283" s="1" t="s">
        <v>420</v>
      </c>
      <c r="O5283" s="1" t="s">
        <v>666</v>
      </c>
      <c r="P5283" s="1" t="s">
        <v>421</v>
      </c>
      <c r="Q5283" s="1">
        <v>0</v>
      </c>
      <c r="S5283" s="1">
        <v>1</v>
      </c>
      <c r="T5283" s="1">
        <v>1</v>
      </c>
      <c r="U5283" s="1" t="s">
        <v>540</v>
      </c>
      <c r="V5283" s="1">
        <f t="shared" si="90"/>
        <v>0.32</v>
      </c>
      <c r="W5283" s="1" t="s">
        <v>5</v>
      </c>
      <c r="X5283" s="39">
        <v>-14.809381762063245</v>
      </c>
      <c r="Y5283" s="1">
        <v>1</v>
      </c>
      <c r="Z5283" s="6">
        <v>0</v>
      </c>
      <c r="AA5283" s="6">
        <v>0</v>
      </c>
    </row>
    <row r="5284" spans="1:27" x14ac:dyDescent="0.2">
      <c r="A5284" s="1">
        <v>25</v>
      </c>
      <c r="B5284" s="1" t="s">
        <v>82</v>
      </c>
      <c r="C5284" s="1" t="s">
        <v>83</v>
      </c>
      <c r="D5284" s="1">
        <v>1873</v>
      </c>
      <c r="E5284" s="11">
        <v>0</v>
      </c>
      <c r="G5284" s="1">
        <v>0</v>
      </c>
      <c r="H5284" s="1">
        <v>0</v>
      </c>
      <c r="M5284" s="1" t="s">
        <v>677</v>
      </c>
      <c r="N5284" s="1" t="s">
        <v>420</v>
      </c>
      <c r="O5284" s="1" t="s">
        <v>666</v>
      </c>
      <c r="P5284" s="1" t="s">
        <v>421</v>
      </c>
      <c r="Q5284" s="1">
        <v>0</v>
      </c>
      <c r="S5284" s="1">
        <v>1</v>
      </c>
      <c r="T5284" s="1">
        <v>1</v>
      </c>
      <c r="U5284" s="1" t="s">
        <v>540</v>
      </c>
      <c r="V5284" s="1">
        <f t="shared" si="90"/>
        <v>0.32</v>
      </c>
      <c r="W5284" s="1" t="s">
        <v>5</v>
      </c>
      <c r="X5284" s="39">
        <v>-9.6435179759918892</v>
      </c>
      <c r="Y5284" s="1">
        <v>1</v>
      </c>
      <c r="Z5284" s="6">
        <v>0</v>
      </c>
      <c r="AA5284" s="6">
        <v>0</v>
      </c>
    </row>
    <row r="5285" spans="1:27" x14ac:dyDescent="0.2">
      <c r="A5285" s="1">
        <v>25</v>
      </c>
      <c r="B5285" s="1" t="s">
        <v>82</v>
      </c>
      <c r="C5285" s="1" t="s">
        <v>83</v>
      </c>
      <c r="D5285" s="1">
        <v>1874</v>
      </c>
      <c r="E5285" s="11">
        <v>0</v>
      </c>
      <c r="G5285" s="1">
        <v>0</v>
      </c>
      <c r="H5285" s="1">
        <v>0</v>
      </c>
      <c r="M5285" s="1" t="s">
        <v>677</v>
      </c>
      <c r="N5285" s="1" t="s">
        <v>420</v>
      </c>
      <c r="O5285" s="1" t="s">
        <v>666</v>
      </c>
      <c r="P5285" s="1" t="s">
        <v>421</v>
      </c>
      <c r="Q5285" s="1">
        <v>0</v>
      </c>
      <c r="S5285" s="1">
        <v>1</v>
      </c>
      <c r="T5285" s="1">
        <v>1</v>
      </c>
      <c r="U5285" s="1" t="s">
        <v>540</v>
      </c>
      <c r="V5285" s="1">
        <f t="shared" si="90"/>
        <v>0.32</v>
      </c>
      <c r="W5285" s="1" t="s">
        <v>5</v>
      </c>
      <c r="X5285" s="39">
        <v>11.386892067834719</v>
      </c>
      <c r="Y5285" s="1">
        <v>1</v>
      </c>
      <c r="Z5285" s="6">
        <v>0</v>
      </c>
      <c r="AA5285" s="6">
        <v>0</v>
      </c>
    </row>
    <row r="5286" spans="1:27" x14ac:dyDescent="0.2">
      <c r="A5286" s="1">
        <v>25</v>
      </c>
      <c r="B5286" s="1" t="s">
        <v>82</v>
      </c>
      <c r="C5286" s="1" t="s">
        <v>83</v>
      </c>
      <c r="D5286" s="1">
        <v>1875</v>
      </c>
      <c r="E5286" s="11">
        <v>0</v>
      </c>
      <c r="G5286" s="1">
        <v>0</v>
      </c>
      <c r="H5286" s="1">
        <v>0</v>
      </c>
      <c r="M5286" s="1" t="s">
        <v>677</v>
      </c>
      <c r="N5286" s="1" t="s">
        <v>420</v>
      </c>
      <c r="O5286" s="1" t="s">
        <v>666</v>
      </c>
      <c r="P5286" s="1" t="s">
        <v>421</v>
      </c>
      <c r="Q5286" s="1">
        <v>0</v>
      </c>
      <c r="S5286" s="1">
        <v>1</v>
      </c>
      <c r="T5286" s="1">
        <v>1</v>
      </c>
      <c r="U5286" s="1" t="s">
        <v>540</v>
      </c>
      <c r="V5286" s="1">
        <f t="shared" si="90"/>
        <v>0.32</v>
      </c>
      <c r="W5286" s="1" t="s">
        <v>5</v>
      </c>
      <c r="X5286" s="39">
        <v>2.5820855189317538</v>
      </c>
      <c r="Y5286" s="1">
        <v>1</v>
      </c>
      <c r="Z5286" s="6">
        <v>0</v>
      </c>
      <c r="AA5286" s="6">
        <v>0</v>
      </c>
    </row>
    <row r="5287" spans="1:27" x14ac:dyDescent="0.2">
      <c r="A5287" s="1">
        <v>25</v>
      </c>
      <c r="B5287" s="1" t="s">
        <v>82</v>
      </c>
      <c r="C5287" s="1" t="s">
        <v>83</v>
      </c>
      <c r="D5287" s="1">
        <v>1876</v>
      </c>
      <c r="E5287" s="11">
        <v>0</v>
      </c>
      <c r="G5287" s="1">
        <v>0</v>
      </c>
      <c r="H5287" s="1">
        <v>0</v>
      </c>
      <c r="M5287" s="1" t="s">
        <v>677</v>
      </c>
      <c r="N5287" s="1" t="s">
        <v>420</v>
      </c>
      <c r="O5287" s="1" t="s">
        <v>666</v>
      </c>
      <c r="P5287" s="1" t="s">
        <v>421</v>
      </c>
      <c r="Q5287" s="1">
        <v>0</v>
      </c>
      <c r="S5287" s="1">
        <v>1</v>
      </c>
      <c r="T5287" s="1">
        <v>1</v>
      </c>
      <c r="U5287" s="1" t="s">
        <v>540</v>
      </c>
      <c r="V5287" s="1">
        <f t="shared" si="90"/>
        <v>0.32</v>
      </c>
      <c r="W5287" s="1" t="s">
        <v>5</v>
      </c>
      <c r="X5287" s="39">
        <v>-4.6555828096890739</v>
      </c>
      <c r="Y5287" s="1">
        <v>1</v>
      </c>
      <c r="Z5287" s="6">
        <v>0</v>
      </c>
      <c r="AA5287" s="6">
        <v>0</v>
      </c>
    </row>
    <row r="5288" spans="1:27" x14ac:dyDescent="0.2">
      <c r="A5288" s="1">
        <v>25</v>
      </c>
      <c r="B5288" s="1" t="s">
        <v>82</v>
      </c>
      <c r="C5288" s="1" t="s">
        <v>83</v>
      </c>
      <c r="D5288" s="1">
        <v>1877</v>
      </c>
      <c r="E5288" s="11">
        <v>0</v>
      </c>
      <c r="G5288" s="1">
        <v>0</v>
      </c>
      <c r="H5288" s="1">
        <v>0</v>
      </c>
      <c r="M5288" s="1" t="s">
        <v>677</v>
      </c>
      <c r="N5288" s="1" t="s">
        <v>420</v>
      </c>
      <c r="O5288" s="1" t="s">
        <v>666</v>
      </c>
      <c r="P5288" s="1" t="s">
        <v>421</v>
      </c>
      <c r="Q5288" s="1">
        <v>0</v>
      </c>
      <c r="S5288" s="1">
        <v>1</v>
      </c>
      <c r="T5288" s="1">
        <v>1</v>
      </c>
      <c r="U5288" s="1" t="s">
        <v>540</v>
      </c>
      <c r="V5288" s="1">
        <f t="shared" si="90"/>
        <v>0.32</v>
      </c>
      <c r="W5288" s="1" t="s">
        <v>5</v>
      </c>
      <c r="X5288" s="39">
        <v>18.926515398612096</v>
      </c>
      <c r="Y5288" s="1">
        <v>1</v>
      </c>
      <c r="Z5288" s="6">
        <v>0</v>
      </c>
      <c r="AA5288" s="6">
        <v>0</v>
      </c>
    </row>
    <row r="5289" spans="1:27" x14ac:dyDescent="0.2">
      <c r="A5289" s="1">
        <v>25</v>
      </c>
      <c r="B5289" s="1" t="s">
        <v>82</v>
      </c>
      <c r="C5289" s="1" t="s">
        <v>83</v>
      </c>
      <c r="D5289" s="1">
        <v>1878</v>
      </c>
      <c r="E5289" s="11">
        <v>0</v>
      </c>
      <c r="G5289" s="1">
        <v>0</v>
      </c>
      <c r="H5289" s="1">
        <v>0</v>
      </c>
      <c r="M5289" s="1" t="s">
        <v>677</v>
      </c>
      <c r="N5289" s="1" t="s">
        <v>420</v>
      </c>
      <c r="O5289" s="1" t="s">
        <v>666</v>
      </c>
      <c r="P5289" s="1" t="s">
        <v>421</v>
      </c>
      <c r="Q5289" s="1">
        <v>0</v>
      </c>
      <c r="S5289" s="1">
        <v>1</v>
      </c>
      <c r="T5289" s="1">
        <v>1</v>
      </c>
      <c r="U5289" s="1" t="s">
        <v>540</v>
      </c>
      <c r="V5289" s="1">
        <f t="shared" si="90"/>
        <v>0.32</v>
      </c>
      <c r="W5289" s="1" t="s">
        <v>5</v>
      </c>
      <c r="X5289" s="39">
        <v>-8.0815894055084492</v>
      </c>
      <c r="Y5289" s="1">
        <v>1</v>
      </c>
      <c r="Z5289" s="6">
        <v>0</v>
      </c>
      <c r="AA5289" s="6">
        <v>0</v>
      </c>
    </row>
    <row r="5290" spans="1:27" x14ac:dyDescent="0.2">
      <c r="A5290" s="1">
        <v>25</v>
      </c>
      <c r="B5290" s="1" t="s">
        <v>82</v>
      </c>
      <c r="C5290" s="1" t="s">
        <v>83</v>
      </c>
      <c r="D5290" s="1">
        <v>1879</v>
      </c>
      <c r="E5290" s="11">
        <v>0</v>
      </c>
      <c r="G5290" s="1">
        <v>0</v>
      </c>
      <c r="H5290" s="1">
        <v>0</v>
      </c>
      <c r="M5290" s="1" t="s">
        <v>677</v>
      </c>
      <c r="N5290" s="1" t="s">
        <v>420</v>
      </c>
      <c r="O5290" s="1" t="s">
        <v>666</v>
      </c>
      <c r="P5290" s="1" t="s">
        <v>421</v>
      </c>
      <c r="Q5290" s="1">
        <v>0</v>
      </c>
      <c r="S5290" s="1">
        <v>0</v>
      </c>
      <c r="T5290" s="1">
        <v>0</v>
      </c>
      <c r="V5290" s="1">
        <f t="shared" si="90"/>
        <v>0</v>
      </c>
      <c r="W5290" s="1" t="s">
        <v>5</v>
      </c>
      <c r="X5290" s="39">
        <v>-6.3640773687668073</v>
      </c>
      <c r="Y5290" s="1">
        <v>1</v>
      </c>
      <c r="Z5290" s="6">
        <v>0</v>
      </c>
      <c r="AA5290" s="6">
        <v>0</v>
      </c>
    </row>
    <row r="5291" spans="1:27" x14ac:dyDescent="0.2">
      <c r="A5291" s="1">
        <v>25</v>
      </c>
      <c r="B5291" s="1" t="s">
        <v>82</v>
      </c>
      <c r="C5291" s="1" t="s">
        <v>83</v>
      </c>
      <c r="D5291" s="1">
        <v>1880</v>
      </c>
      <c r="E5291" s="11">
        <v>0</v>
      </c>
      <c r="G5291" s="1">
        <v>0</v>
      </c>
      <c r="H5291" s="1">
        <v>0</v>
      </c>
      <c r="M5291" s="1" t="s">
        <v>677</v>
      </c>
      <c r="N5291" s="1" t="s">
        <v>420</v>
      </c>
      <c r="O5291" s="1" t="s">
        <v>666</v>
      </c>
      <c r="P5291" s="1" t="s">
        <v>421</v>
      </c>
      <c r="Q5291" s="1">
        <v>0</v>
      </c>
      <c r="S5291" s="1">
        <v>0</v>
      </c>
      <c r="T5291" s="1">
        <v>0</v>
      </c>
      <c r="V5291" s="1">
        <f t="shared" si="90"/>
        <v>0</v>
      </c>
      <c r="W5291" s="1" t="s">
        <v>5</v>
      </c>
      <c r="X5291" s="39">
        <v>4.132299367130976</v>
      </c>
      <c r="Y5291" s="1">
        <v>1</v>
      </c>
      <c r="Z5291" s="6">
        <v>0</v>
      </c>
      <c r="AA5291" s="6">
        <v>0</v>
      </c>
    </row>
    <row r="5292" spans="1:27" x14ac:dyDescent="0.2">
      <c r="A5292" s="1">
        <v>25</v>
      </c>
      <c r="B5292" s="1" t="s">
        <v>82</v>
      </c>
      <c r="C5292" s="1" t="s">
        <v>83</v>
      </c>
      <c r="D5292" s="1">
        <v>1881</v>
      </c>
      <c r="E5292" s="11">
        <v>0</v>
      </c>
      <c r="G5292" s="1">
        <v>0</v>
      </c>
      <c r="H5292" s="1">
        <v>0</v>
      </c>
      <c r="M5292" s="1" t="s">
        <v>677</v>
      </c>
      <c r="N5292" s="1" t="s">
        <v>420</v>
      </c>
      <c r="O5292" s="1" t="s">
        <v>666</v>
      </c>
      <c r="P5292" s="1" t="s">
        <v>421</v>
      </c>
      <c r="Q5292" s="1">
        <v>0</v>
      </c>
      <c r="S5292" s="1">
        <v>0</v>
      </c>
      <c r="T5292" s="1">
        <v>0</v>
      </c>
      <c r="V5292" s="1">
        <f t="shared" si="90"/>
        <v>0</v>
      </c>
      <c r="W5292" s="1" t="s">
        <v>5</v>
      </c>
      <c r="X5292" s="39">
        <v>0.77360296599173761</v>
      </c>
      <c r="Y5292" s="1">
        <v>1</v>
      </c>
      <c r="Z5292" s="6">
        <v>0</v>
      </c>
      <c r="AA5292" s="6">
        <v>0</v>
      </c>
    </row>
    <row r="5293" spans="1:27" x14ac:dyDescent="0.2">
      <c r="A5293" s="1">
        <v>25</v>
      </c>
      <c r="B5293" s="1" t="s">
        <v>82</v>
      </c>
      <c r="C5293" s="1" t="s">
        <v>83</v>
      </c>
      <c r="D5293" s="1">
        <v>1882</v>
      </c>
      <c r="E5293" s="11">
        <v>0</v>
      </c>
      <c r="G5293" s="1">
        <v>0</v>
      </c>
      <c r="H5293" s="1">
        <v>0</v>
      </c>
      <c r="M5293" s="1" t="s">
        <v>677</v>
      </c>
      <c r="N5293" s="1" t="s">
        <v>420</v>
      </c>
      <c r="O5293" s="1" t="s">
        <v>666</v>
      </c>
      <c r="P5293" s="1" t="s">
        <v>421</v>
      </c>
      <c r="Q5293" s="1">
        <v>0</v>
      </c>
      <c r="S5293" s="1">
        <v>0</v>
      </c>
      <c r="T5293" s="1">
        <v>0</v>
      </c>
      <c r="V5293" s="1">
        <f t="shared" si="90"/>
        <v>0</v>
      </c>
      <c r="W5293" s="1" t="s">
        <v>5</v>
      </c>
      <c r="X5293" s="39">
        <v>3.2610288480035887</v>
      </c>
      <c r="Y5293" s="1">
        <v>1</v>
      </c>
      <c r="Z5293" s="6">
        <v>0</v>
      </c>
      <c r="AA5293" s="6">
        <v>0</v>
      </c>
    </row>
    <row r="5294" spans="1:27" x14ac:dyDescent="0.2">
      <c r="A5294" s="1">
        <v>25</v>
      </c>
      <c r="B5294" s="1" t="s">
        <v>82</v>
      </c>
      <c r="C5294" s="1" t="s">
        <v>83</v>
      </c>
      <c r="D5294" s="1">
        <v>1883</v>
      </c>
      <c r="E5294" s="11">
        <v>0</v>
      </c>
      <c r="G5294" s="1">
        <v>0</v>
      </c>
      <c r="H5294" s="1">
        <v>0</v>
      </c>
      <c r="M5294" s="1" t="s">
        <v>677</v>
      </c>
      <c r="N5294" s="1" t="s">
        <v>420</v>
      </c>
      <c r="O5294" s="1" t="s">
        <v>666</v>
      </c>
      <c r="P5294" s="1" t="s">
        <v>421</v>
      </c>
      <c r="Q5294" s="1">
        <v>0</v>
      </c>
      <c r="S5294" s="1">
        <v>0</v>
      </c>
      <c r="T5294" s="1">
        <v>0</v>
      </c>
      <c r="V5294" s="1">
        <f t="shared" si="90"/>
        <v>0</v>
      </c>
      <c r="W5294" s="1" t="s">
        <v>5</v>
      </c>
      <c r="X5294" s="39">
        <v>5.4335497285119549</v>
      </c>
      <c r="Y5294" s="1">
        <v>1</v>
      </c>
      <c r="Z5294" s="6">
        <v>0</v>
      </c>
      <c r="AA5294" s="6">
        <v>0</v>
      </c>
    </row>
    <row r="5295" spans="1:27" x14ac:dyDescent="0.2">
      <c r="A5295" s="1">
        <v>25</v>
      </c>
      <c r="B5295" s="1" t="s">
        <v>82</v>
      </c>
      <c r="C5295" s="1" t="s">
        <v>83</v>
      </c>
      <c r="D5295" s="1">
        <v>1884</v>
      </c>
      <c r="E5295" s="11">
        <v>0</v>
      </c>
      <c r="G5295" s="1">
        <v>0</v>
      </c>
      <c r="H5295" s="1">
        <v>0</v>
      </c>
      <c r="M5295" s="1" t="s">
        <v>677</v>
      </c>
      <c r="N5295" s="1" t="s">
        <v>420</v>
      </c>
      <c r="O5295" s="1" t="s">
        <v>666</v>
      </c>
      <c r="P5295" s="1" t="s">
        <v>421</v>
      </c>
      <c r="Q5295" s="1">
        <v>0</v>
      </c>
      <c r="S5295" s="1">
        <v>0</v>
      </c>
      <c r="T5295" s="1">
        <v>0</v>
      </c>
      <c r="V5295" s="1">
        <f t="shared" si="90"/>
        <v>0</v>
      </c>
      <c r="W5295" s="1" t="s">
        <v>5</v>
      </c>
      <c r="X5295" s="39">
        <v>-10.3607947383761</v>
      </c>
      <c r="Y5295" s="1">
        <v>1</v>
      </c>
      <c r="Z5295" s="6">
        <v>0</v>
      </c>
      <c r="AA5295" s="6">
        <v>0</v>
      </c>
    </row>
    <row r="5296" spans="1:27" x14ac:dyDescent="0.2">
      <c r="A5296" s="1">
        <v>25</v>
      </c>
      <c r="B5296" s="1" t="s">
        <v>82</v>
      </c>
      <c r="C5296" s="1" t="s">
        <v>83</v>
      </c>
      <c r="D5296" s="1">
        <v>1885</v>
      </c>
      <c r="E5296" s="11">
        <v>0</v>
      </c>
      <c r="G5296" s="1">
        <v>0</v>
      </c>
      <c r="H5296" s="1">
        <v>1</v>
      </c>
      <c r="M5296" s="1" t="s">
        <v>677</v>
      </c>
      <c r="N5296" s="1" t="s">
        <v>420</v>
      </c>
      <c r="O5296" s="1" t="s">
        <v>666</v>
      </c>
      <c r="P5296" s="1" t="s">
        <v>421</v>
      </c>
      <c r="Q5296" s="1">
        <v>0</v>
      </c>
      <c r="S5296" s="1">
        <v>0</v>
      </c>
      <c r="T5296" s="1">
        <v>0</v>
      </c>
      <c r="V5296" s="1">
        <f t="shared" si="90"/>
        <v>0</v>
      </c>
      <c r="W5296" s="1" t="s">
        <v>5</v>
      </c>
      <c r="X5296" s="39">
        <v>-9.4907562297237842</v>
      </c>
      <c r="Y5296" s="1">
        <v>1</v>
      </c>
      <c r="Z5296" s="6">
        <v>0</v>
      </c>
      <c r="AA5296" s="6">
        <v>0</v>
      </c>
    </row>
    <row r="5297" spans="1:27" x14ac:dyDescent="0.2">
      <c r="A5297" s="1">
        <v>25</v>
      </c>
      <c r="B5297" s="1" t="s">
        <v>82</v>
      </c>
      <c r="C5297" s="1" t="s">
        <v>83</v>
      </c>
      <c r="D5297" s="1">
        <v>1886</v>
      </c>
      <c r="E5297" s="11">
        <v>0</v>
      </c>
      <c r="G5297" s="1">
        <v>0</v>
      </c>
      <c r="H5297" s="1">
        <v>0</v>
      </c>
      <c r="M5297" s="1" t="s">
        <v>677</v>
      </c>
      <c r="N5297" s="1" t="s">
        <v>420</v>
      </c>
      <c r="O5297" s="1" t="s">
        <v>666</v>
      </c>
      <c r="P5297" s="1" t="s">
        <v>421</v>
      </c>
      <c r="Q5297" s="1">
        <v>0</v>
      </c>
      <c r="S5297" s="1">
        <v>0</v>
      </c>
      <c r="T5297" s="1">
        <v>0</v>
      </c>
      <c r="V5297" s="1">
        <f t="shared" si="90"/>
        <v>0</v>
      </c>
      <c r="W5297" s="1" t="s">
        <v>5</v>
      </c>
      <c r="X5297" s="39">
        <v>9.4588227820699089</v>
      </c>
      <c r="Y5297" s="1">
        <v>1</v>
      </c>
      <c r="Z5297" s="6">
        <v>0</v>
      </c>
      <c r="AA5297" s="6">
        <v>0</v>
      </c>
    </row>
    <row r="5298" spans="1:27" x14ac:dyDescent="0.2">
      <c r="A5298" s="1">
        <v>25</v>
      </c>
      <c r="B5298" s="1" t="s">
        <v>82</v>
      </c>
      <c r="C5298" s="1" t="s">
        <v>83</v>
      </c>
      <c r="D5298" s="1">
        <v>1887</v>
      </c>
      <c r="E5298" s="11">
        <v>0</v>
      </c>
      <c r="G5298" s="1">
        <v>0</v>
      </c>
      <c r="H5298" s="1">
        <v>0</v>
      </c>
      <c r="M5298" s="1" t="s">
        <v>677</v>
      </c>
      <c r="N5298" s="1" t="s">
        <v>420</v>
      </c>
      <c r="O5298" s="1" t="s">
        <v>666</v>
      </c>
      <c r="P5298" s="1" t="s">
        <v>421</v>
      </c>
      <c r="Q5298" s="1">
        <v>0</v>
      </c>
      <c r="S5298" s="1">
        <v>0</v>
      </c>
      <c r="T5298" s="1">
        <v>0</v>
      </c>
      <c r="V5298" s="1">
        <f t="shared" si="90"/>
        <v>0</v>
      </c>
      <c r="W5298" s="1" t="s">
        <v>5</v>
      </c>
      <c r="X5298" s="39">
        <v>-0.44963406055237298</v>
      </c>
      <c r="Y5298" s="1">
        <v>1</v>
      </c>
      <c r="Z5298" s="6">
        <v>0</v>
      </c>
      <c r="AA5298" s="6">
        <v>0</v>
      </c>
    </row>
    <row r="5299" spans="1:27" x14ac:dyDescent="0.2">
      <c r="A5299" s="1">
        <v>25</v>
      </c>
      <c r="B5299" s="1" t="s">
        <v>82</v>
      </c>
      <c r="C5299" s="1" t="s">
        <v>83</v>
      </c>
      <c r="D5299" s="1">
        <v>1888</v>
      </c>
      <c r="E5299" s="11">
        <v>0</v>
      </c>
      <c r="G5299" s="1">
        <v>0</v>
      </c>
      <c r="H5299" s="1">
        <v>0</v>
      </c>
      <c r="M5299" s="1" t="s">
        <v>677</v>
      </c>
      <c r="N5299" s="1" t="s">
        <v>420</v>
      </c>
      <c r="O5299" s="1" t="s">
        <v>666</v>
      </c>
      <c r="P5299" s="1" t="s">
        <v>421</v>
      </c>
      <c r="Q5299" s="1">
        <v>0</v>
      </c>
      <c r="S5299" s="1">
        <v>0</v>
      </c>
      <c r="T5299" s="1">
        <v>0</v>
      </c>
      <c r="V5299" s="1">
        <f t="shared" si="90"/>
        <v>0</v>
      </c>
      <c r="W5299" s="1" t="s">
        <v>5</v>
      </c>
      <c r="X5299" s="39">
        <v>-0.62265674349617495</v>
      </c>
      <c r="Y5299" s="1">
        <v>1</v>
      </c>
      <c r="Z5299" s="6">
        <v>0</v>
      </c>
      <c r="AA5299" s="6">
        <v>0</v>
      </c>
    </row>
    <row r="5300" spans="1:27" x14ac:dyDescent="0.2">
      <c r="A5300" s="1">
        <v>25</v>
      </c>
      <c r="B5300" s="1" t="s">
        <v>82</v>
      </c>
      <c r="C5300" s="1" t="s">
        <v>83</v>
      </c>
      <c r="D5300" s="1">
        <v>1889</v>
      </c>
      <c r="E5300" s="11">
        <v>0</v>
      </c>
      <c r="G5300" s="1">
        <v>0</v>
      </c>
      <c r="H5300" s="1">
        <v>0</v>
      </c>
      <c r="M5300" s="1" t="s">
        <v>677</v>
      </c>
      <c r="N5300" s="1" t="s">
        <v>420</v>
      </c>
      <c r="O5300" s="1" t="s">
        <v>666</v>
      </c>
      <c r="P5300" s="1" t="s">
        <v>421</v>
      </c>
      <c r="Q5300" s="1">
        <v>0</v>
      </c>
      <c r="S5300" s="1">
        <v>0</v>
      </c>
      <c r="T5300" s="1">
        <v>0</v>
      </c>
      <c r="V5300" s="1">
        <f t="shared" si="90"/>
        <v>0</v>
      </c>
      <c r="W5300" s="1" t="s">
        <v>5</v>
      </c>
      <c r="X5300" s="39">
        <v>2.3158046974193214</v>
      </c>
      <c r="Y5300" s="1">
        <v>1</v>
      </c>
      <c r="Z5300" s="6">
        <v>0</v>
      </c>
      <c r="AA5300" s="6">
        <v>0</v>
      </c>
    </row>
    <row r="5301" spans="1:27" x14ac:dyDescent="0.2">
      <c r="A5301" s="1">
        <v>25</v>
      </c>
      <c r="B5301" s="1" t="s">
        <v>82</v>
      </c>
      <c r="C5301" s="1" t="s">
        <v>83</v>
      </c>
      <c r="D5301" s="1">
        <v>1890</v>
      </c>
      <c r="E5301" s="11">
        <v>0</v>
      </c>
      <c r="G5301" s="1">
        <v>0</v>
      </c>
      <c r="H5301" s="1">
        <v>0</v>
      </c>
      <c r="M5301" s="1" t="s">
        <v>677</v>
      </c>
      <c r="N5301" s="1" t="s">
        <v>420</v>
      </c>
      <c r="O5301" s="1" t="s">
        <v>666</v>
      </c>
      <c r="P5301" s="1" t="s">
        <v>421</v>
      </c>
      <c r="Q5301" s="1">
        <v>0</v>
      </c>
      <c r="S5301" s="1">
        <v>0</v>
      </c>
      <c r="T5301" s="1">
        <v>0</v>
      </c>
      <c r="V5301" s="1">
        <f t="shared" si="90"/>
        <v>0</v>
      </c>
      <c r="W5301" s="1" t="s">
        <v>5</v>
      </c>
      <c r="X5301" s="39">
        <v>9.6718910088893892</v>
      </c>
      <c r="Y5301" s="1">
        <v>1</v>
      </c>
      <c r="Z5301" s="6">
        <v>0</v>
      </c>
      <c r="AA5301" s="6">
        <v>0</v>
      </c>
    </row>
    <row r="5302" spans="1:27" x14ac:dyDescent="0.2">
      <c r="A5302" s="1">
        <v>25</v>
      </c>
      <c r="B5302" s="1" t="s">
        <v>82</v>
      </c>
      <c r="C5302" s="1" t="s">
        <v>83</v>
      </c>
      <c r="D5302" s="1">
        <v>1891</v>
      </c>
      <c r="E5302" s="11">
        <v>0</v>
      </c>
      <c r="G5302" s="1">
        <v>0</v>
      </c>
      <c r="H5302" s="1">
        <v>0</v>
      </c>
      <c r="M5302" s="1" t="s">
        <v>677</v>
      </c>
      <c r="N5302" s="1" t="s">
        <v>420</v>
      </c>
      <c r="O5302" s="1" t="s">
        <v>666</v>
      </c>
      <c r="P5302" s="1" t="s">
        <v>421</v>
      </c>
      <c r="Q5302" s="1">
        <v>0</v>
      </c>
      <c r="S5302" s="1">
        <v>0</v>
      </c>
      <c r="T5302" s="1">
        <v>0</v>
      </c>
      <c r="V5302" s="1">
        <f t="shared" si="90"/>
        <v>0</v>
      </c>
      <c r="W5302" s="1" t="s">
        <v>5</v>
      </c>
      <c r="X5302" s="39">
        <v>23.293921240060577</v>
      </c>
      <c r="Y5302" s="1">
        <v>1</v>
      </c>
      <c r="Z5302" s="6">
        <v>0</v>
      </c>
      <c r="AA5302" s="6">
        <v>1</v>
      </c>
    </row>
    <row r="5303" spans="1:27" x14ac:dyDescent="0.2">
      <c r="A5303" s="1">
        <v>25</v>
      </c>
      <c r="B5303" s="1" t="s">
        <v>82</v>
      </c>
      <c r="C5303" s="1" t="s">
        <v>83</v>
      </c>
      <c r="D5303" s="1">
        <v>1892</v>
      </c>
      <c r="E5303" s="11">
        <v>0</v>
      </c>
      <c r="G5303" s="1">
        <v>0</v>
      </c>
      <c r="H5303" s="1">
        <v>0</v>
      </c>
      <c r="M5303" s="1" t="s">
        <v>677</v>
      </c>
      <c r="N5303" s="1" t="s">
        <v>420</v>
      </c>
      <c r="O5303" s="1" t="s">
        <v>666</v>
      </c>
      <c r="P5303" s="1" t="s">
        <v>421</v>
      </c>
      <c r="Q5303" s="1">
        <v>0</v>
      </c>
      <c r="S5303" s="1">
        <v>0</v>
      </c>
      <c r="T5303" s="1">
        <v>0</v>
      </c>
      <c r="V5303" s="1">
        <f t="shared" si="90"/>
        <v>0</v>
      </c>
      <c r="W5303" s="1" t="s">
        <v>5</v>
      </c>
      <c r="X5303" s="39">
        <v>-1.0921675837825551</v>
      </c>
      <c r="Y5303" s="1">
        <v>1</v>
      </c>
      <c r="Z5303" s="6">
        <v>0</v>
      </c>
      <c r="AA5303" s="6">
        <v>0</v>
      </c>
    </row>
    <row r="5304" spans="1:27" x14ac:dyDescent="0.2">
      <c r="A5304" s="1">
        <v>25</v>
      </c>
      <c r="B5304" s="1" t="s">
        <v>82</v>
      </c>
      <c r="C5304" s="1" t="s">
        <v>83</v>
      </c>
      <c r="D5304" s="1">
        <v>1893</v>
      </c>
      <c r="E5304" s="11">
        <v>0</v>
      </c>
      <c r="G5304" s="1">
        <v>0</v>
      </c>
      <c r="H5304" s="1">
        <v>0</v>
      </c>
      <c r="M5304" s="1" t="s">
        <v>677</v>
      </c>
      <c r="N5304" s="1" t="s">
        <v>420</v>
      </c>
      <c r="O5304" s="1" t="s">
        <v>666</v>
      </c>
      <c r="P5304" s="1" t="s">
        <v>421</v>
      </c>
      <c r="Q5304" s="1">
        <v>0</v>
      </c>
      <c r="S5304" s="1">
        <v>0</v>
      </c>
      <c r="T5304" s="1">
        <v>0</v>
      </c>
      <c r="V5304" s="1">
        <f t="shared" si="90"/>
        <v>0</v>
      </c>
      <c r="W5304" s="1" t="s">
        <v>5</v>
      </c>
      <c r="X5304" s="39">
        <v>-3.9444768152012255</v>
      </c>
      <c r="Y5304" s="1">
        <v>1</v>
      </c>
      <c r="Z5304" s="6">
        <v>0</v>
      </c>
      <c r="AA5304" s="6">
        <v>0</v>
      </c>
    </row>
    <row r="5305" spans="1:27" x14ac:dyDescent="0.2">
      <c r="A5305" s="1">
        <v>25</v>
      </c>
      <c r="B5305" s="1" t="s">
        <v>82</v>
      </c>
      <c r="C5305" s="1" t="s">
        <v>83</v>
      </c>
      <c r="D5305" s="1">
        <v>1894</v>
      </c>
      <c r="E5305" s="11">
        <v>0</v>
      </c>
      <c r="G5305" s="1">
        <v>0</v>
      </c>
      <c r="H5305" s="1">
        <v>0</v>
      </c>
      <c r="M5305" s="1" t="s">
        <v>677</v>
      </c>
      <c r="N5305" s="1" t="s">
        <v>420</v>
      </c>
      <c r="O5305" s="1" t="s">
        <v>666</v>
      </c>
      <c r="P5305" s="1" t="s">
        <v>421</v>
      </c>
      <c r="Q5305" s="1">
        <v>0</v>
      </c>
      <c r="S5305" s="1">
        <v>1</v>
      </c>
      <c r="T5305" s="1">
        <v>1</v>
      </c>
      <c r="U5305" s="1" t="s">
        <v>541</v>
      </c>
      <c r="V5305" s="1">
        <f t="shared" si="90"/>
        <v>0.32</v>
      </c>
      <c r="W5305" s="1" t="s">
        <v>5</v>
      </c>
      <c r="X5305" s="39">
        <v>-12.886828231088799</v>
      </c>
      <c r="Y5305" s="1">
        <v>1</v>
      </c>
      <c r="Z5305" s="6">
        <v>0</v>
      </c>
      <c r="AA5305" s="6">
        <v>0</v>
      </c>
    </row>
    <row r="5306" spans="1:27" x14ac:dyDescent="0.2">
      <c r="A5306" s="1">
        <v>25</v>
      </c>
      <c r="B5306" s="1" t="s">
        <v>82</v>
      </c>
      <c r="C5306" s="1" t="s">
        <v>83</v>
      </c>
      <c r="D5306" s="1">
        <v>1895</v>
      </c>
      <c r="E5306" s="11">
        <v>0</v>
      </c>
      <c r="G5306" s="1">
        <v>0</v>
      </c>
      <c r="H5306" s="1">
        <v>0</v>
      </c>
      <c r="M5306" s="1" t="s">
        <v>677</v>
      </c>
      <c r="N5306" s="1" t="s">
        <v>420</v>
      </c>
      <c r="O5306" s="1" t="s">
        <v>666</v>
      </c>
      <c r="P5306" s="1" t="s">
        <v>421</v>
      </c>
      <c r="Q5306" s="1">
        <v>0</v>
      </c>
      <c r="S5306" s="1">
        <v>1</v>
      </c>
      <c r="T5306" s="1">
        <v>1</v>
      </c>
      <c r="U5306" s="1" t="s">
        <v>541</v>
      </c>
      <c r="V5306" s="1">
        <f t="shared" si="90"/>
        <v>0.32</v>
      </c>
      <c r="W5306" s="1" t="s">
        <v>5</v>
      </c>
      <c r="X5306" s="39">
        <v>6.7764826398280853</v>
      </c>
      <c r="Y5306" s="1">
        <v>1</v>
      </c>
      <c r="Z5306" s="6">
        <v>0</v>
      </c>
      <c r="AA5306" s="6">
        <v>0</v>
      </c>
    </row>
    <row r="5307" spans="1:27" x14ac:dyDescent="0.2">
      <c r="A5307" s="1">
        <v>25</v>
      </c>
      <c r="B5307" s="1" t="s">
        <v>82</v>
      </c>
      <c r="C5307" s="1" t="s">
        <v>83</v>
      </c>
      <c r="D5307" s="1">
        <v>1896</v>
      </c>
      <c r="E5307" s="11">
        <v>0</v>
      </c>
      <c r="G5307" s="1">
        <v>0</v>
      </c>
      <c r="H5307" s="1">
        <v>0</v>
      </c>
      <c r="M5307" s="1" t="s">
        <v>677</v>
      </c>
      <c r="N5307" s="1" t="s">
        <v>420</v>
      </c>
      <c r="O5307" s="1" t="s">
        <v>666</v>
      </c>
      <c r="P5307" s="1" t="s">
        <v>421</v>
      </c>
      <c r="Q5307" s="1">
        <v>0</v>
      </c>
      <c r="S5307" s="1">
        <v>1</v>
      </c>
      <c r="T5307" s="1">
        <v>1</v>
      </c>
      <c r="U5307" s="1" t="s">
        <v>541</v>
      </c>
      <c r="V5307" s="1">
        <f t="shared" si="90"/>
        <v>0.32</v>
      </c>
      <c r="W5307" s="1" t="s">
        <v>5</v>
      </c>
      <c r="X5307" s="39">
        <v>-4.7300433683519323</v>
      </c>
      <c r="Y5307" s="1">
        <v>1</v>
      </c>
      <c r="Z5307" s="6">
        <v>0</v>
      </c>
      <c r="AA5307" s="6">
        <v>0</v>
      </c>
    </row>
    <row r="5308" spans="1:27" x14ac:dyDescent="0.2">
      <c r="A5308" s="1">
        <v>25</v>
      </c>
      <c r="B5308" s="1" t="s">
        <v>82</v>
      </c>
      <c r="C5308" s="1" t="s">
        <v>83</v>
      </c>
      <c r="D5308" s="1">
        <v>1897</v>
      </c>
      <c r="E5308" s="11">
        <v>0</v>
      </c>
      <c r="G5308" s="1">
        <v>0</v>
      </c>
      <c r="H5308" s="1">
        <v>0</v>
      </c>
      <c r="M5308" s="1" t="s">
        <v>677</v>
      </c>
      <c r="N5308" s="1" t="s">
        <v>420</v>
      </c>
      <c r="O5308" s="1" t="s">
        <v>666</v>
      </c>
      <c r="P5308" s="1" t="s">
        <v>421</v>
      </c>
      <c r="Q5308" s="1">
        <v>0</v>
      </c>
      <c r="S5308" s="1">
        <v>1</v>
      </c>
      <c r="T5308" s="1">
        <v>1</v>
      </c>
      <c r="U5308" s="1" t="s">
        <v>541</v>
      </c>
      <c r="V5308" s="1">
        <f t="shared" si="90"/>
        <v>0.32</v>
      </c>
      <c r="W5308" s="1" t="s">
        <v>5</v>
      </c>
      <c r="X5308" s="39">
        <v>8.59305495339553</v>
      </c>
      <c r="Y5308" s="1">
        <v>1</v>
      </c>
      <c r="Z5308" s="6">
        <v>0</v>
      </c>
      <c r="AA5308" s="6">
        <v>0</v>
      </c>
    </row>
    <row r="5309" spans="1:27" x14ac:dyDescent="0.2">
      <c r="A5309" s="1">
        <v>25</v>
      </c>
      <c r="B5309" s="1" t="s">
        <v>82</v>
      </c>
      <c r="C5309" s="1" t="s">
        <v>83</v>
      </c>
      <c r="D5309" s="1">
        <v>1898</v>
      </c>
      <c r="E5309" s="11">
        <v>0</v>
      </c>
      <c r="G5309" s="1">
        <v>0</v>
      </c>
      <c r="H5309" s="1">
        <v>0</v>
      </c>
      <c r="M5309" s="1" t="s">
        <v>677</v>
      </c>
      <c r="N5309" s="1" t="s">
        <v>420</v>
      </c>
      <c r="O5309" s="1" t="s">
        <v>666</v>
      </c>
      <c r="P5309" s="1" t="s">
        <v>421</v>
      </c>
      <c r="Q5309" s="1">
        <v>0</v>
      </c>
      <c r="S5309" s="1">
        <v>0</v>
      </c>
      <c r="T5309" s="1">
        <v>0</v>
      </c>
      <c r="V5309" s="1">
        <f t="shared" si="90"/>
        <v>0</v>
      </c>
      <c r="W5309" s="1" t="s">
        <v>5</v>
      </c>
      <c r="X5309" s="39">
        <v>2.0704522724676266</v>
      </c>
      <c r="Y5309" s="1">
        <v>1</v>
      </c>
      <c r="Z5309" s="6">
        <v>0</v>
      </c>
      <c r="AA5309" s="6">
        <v>0</v>
      </c>
    </row>
    <row r="5310" spans="1:27" x14ac:dyDescent="0.2">
      <c r="A5310" s="1">
        <v>25</v>
      </c>
      <c r="B5310" s="1" t="s">
        <v>82</v>
      </c>
      <c r="C5310" s="1" t="s">
        <v>83</v>
      </c>
      <c r="D5310" s="1">
        <v>1899</v>
      </c>
      <c r="E5310" s="11">
        <v>0</v>
      </c>
      <c r="G5310" s="1">
        <v>0</v>
      </c>
      <c r="H5310" s="1">
        <v>0</v>
      </c>
      <c r="M5310" s="1" t="s">
        <v>677</v>
      </c>
      <c r="N5310" s="1" t="s">
        <v>420</v>
      </c>
      <c r="O5310" s="1" t="s">
        <v>666</v>
      </c>
      <c r="P5310" s="1" t="s">
        <v>421</v>
      </c>
      <c r="Q5310" s="1">
        <v>0</v>
      </c>
      <c r="S5310" s="1">
        <v>0</v>
      </c>
      <c r="T5310" s="1">
        <v>0</v>
      </c>
      <c r="V5310" s="1">
        <f t="shared" si="90"/>
        <v>0</v>
      </c>
      <c r="W5310" s="1" t="s">
        <v>5</v>
      </c>
      <c r="X5310" s="39">
        <v>-7.1527255493630921</v>
      </c>
      <c r="Y5310" s="1">
        <v>1</v>
      </c>
      <c r="Z5310" s="6">
        <v>0</v>
      </c>
      <c r="AA5310" s="6">
        <v>0</v>
      </c>
    </row>
    <row r="5311" spans="1:27" x14ac:dyDescent="0.2">
      <c r="A5311" s="1">
        <v>25</v>
      </c>
      <c r="B5311" s="1" t="s">
        <v>82</v>
      </c>
      <c r="C5311" s="1" t="s">
        <v>83</v>
      </c>
      <c r="D5311" s="1">
        <v>1900</v>
      </c>
      <c r="E5311" s="11">
        <v>0</v>
      </c>
      <c r="G5311" s="1">
        <v>0</v>
      </c>
      <c r="H5311" s="1">
        <v>0</v>
      </c>
      <c r="M5311" s="1" t="s">
        <v>677</v>
      </c>
      <c r="N5311" s="1" t="s">
        <v>420</v>
      </c>
      <c r="O5311" s="1" t="s">
        <v>666</v>
      </c>
      <c r="P5311" s="1" t="s">
        <v>421</v>
      </c>
      <c r="Q5311" s="1">
        <v>0</v>
      </c>
      <c r="S5311" s="1">
        <v>0</v>
      </c>
      <c r="T5311" s="1">
        <v>0</v>
      </c>
      <c r="V5311" s="1">
        <f t="shared" si="90"/>
        <v>0</v>
      </c>
      <c r="W5311" s="1" t="s">
        <v>5</v>
      </c>
      <c r="X5311" s="39">
        <v>19.918803344375746</v>
      </c>
      <c r="Y5311" s="1">
        <v>1</v>
      </c>
      <c r="Z5311" s="6">
        <v>0</v>
      </c>
      <c r="AA5311" s="6">
        <v>0</v>
      </c>
    </row>
    <row r="5312" spans="1:27" x14ac:dyDescent="0.2">
      <c r="A5312" s="1">
        <v>25</v>
      </c>
      <c r="B5312" s="1" t="s">
        <v>82</v>
      </c>
      <c r="C5312" s="1" t="s">
        <v>83</v>
      </c>
      <c r="D5312" s="1">
        <v>1901</v>
      </c>
      <c r="E5312" s="11">
        <v>0</v>
      </c>
      <c r="G5312" s="1">
        <v>0</v>
      </c>
      <c r="H5312" s="1">
        <v>0</v>
      </c>
      <c r="I5312" s="1">
        <v>2.8965999999999998</v>
      </c>
      <c r="J5312" s="1">
        <v>1.70013206162876E-16</v>
      </c>
      <c r="M5312" s="1" t="s">
        <v>677</v>
      </c>
      <c r="N5312" s="1" t="s">
        <v>420</v>
      </c>
      <c r="O5312" s="1" t="s">
        <v>666</v>
      </c>
      <c r="P5312" s="1" t="s">
        <v>421</v>
      </c>
      <c r="Q5312" s="1">
        <v>0</v>
      </c>
      <c r="S5312" s="1">
        <v>0</v>
      </c>
      <c r="T5312" s="1">
        <v>0</v>
      </c>
      <c r="V5312" s="1">
        <f t="shared" si="90"/>
        <v>0</v>
      </c>
      <c r="W5312" s="1" t="s">
        <v>5</v>
      </c>
      <c r="X5312" s="39">
        <v>17.486890599854664</v>
      </c>
      <c r="Y5312" s="1">
        <v>1</v>
      </c>
      <c r="Z5312" s="6">
        <v>0</v>
      </c>
      <c r="AA5312" s="6">
        <v>0</v>
      </c>
    </row>
    <row r="5313" spans="1:27" x14ac:dyDescent="0.2">
      <c r="A5313" s="1">
        <v>25</v>
      </c>
      <c r="B5313" s="1" t="s">
        <v>82</v>
      </c>
      <c r="C5313" s="1" t="s">
        <v>83</v>
      </c>
      <c r="D5313" s="1">
        <v>1902</v>
      </c>
      <c r="E5313" s="11">
        <v>0</v>
      </c>
      <c r="G5313" s="1">
        <v>0</v>
      </c>
      <c r="H5313" s="1">
        <v>0</v>
      </c>
      <c r="I5313" s="1">
        <v>2.8730000000000002</v>
      </c>
      <c r="J5313" s="1">
        <v>1.6862802641232601E-16</v>
      </c>
      <c r="M5313" s="1" t="s">
        <v>677</v>
      </c>
      <c r="N5313" s="1" t="s">
        <v>420</v>
      </c>
      <c r="O5313" s="1" t="s">
        <v>666</v>
      </c>
      <c r="P5313" s="1" t="s">
        <v>421</v>
      </c>
      <c r="Q5313" s="1">
        <v>0</v>
      </c>
      <c r="S5313" s="1">
        <v>0</v>
      </c>
      <c r="T5313" s="1">
        <v>0</v>
      </c>
      <c r="V5313" s="1">
        <f t="shared" si="90"/>
        <v>0</v>
      </c>
      <c r="W5313" s="1" t="s">
        <v>5</v>
      </c>
      <c r="X5313" s="39">
        <v>-25.53063708246691</v>
      </c>
      <c r="Y5313" s="1">
        <v>1</v>
      </c>
      <c r="Z5313" s="6">
        <v>0</v>
      </c>
      <c r="AA5313" s="6">
        <v>0</v>
      </c>
    </row>
    <row r="5314" spans="1:27" x14ac:dyDescent="0.2">
      <c r="A5314" s="1">
        <v>25</v>
      </c>
      <c r="B5314" s="1" t="s">
        <v>82</v>
      </c>
      <c r="C5314" s="1" t="s">
        <v>83</v>
      </c>
      <c r="D5314" s="1">
        <v>1903</v>
      </c>
      <c r="E5314" s="11">
        <v>0</v>
      </c>
      <c r="G5314" s="1">
        <v>0</v>
      </c>
      <c r="H5314" s="1">
        <v>0</v>
      </c>
      <c r="I5314" s="1">
        <v>2.9428999999999998</v>
      </c>
      <c r="J5314" s="1">
        <v>1.72730741012472E-16</v>
      </c>
      <c r="M5314" s="1" t="s">
        <v>677</v>
      </c>
      <c r="N5314" s="1" t="s">
        <v>420</v>
      </c>
      <c r="O5314" s="1" t="s">
        <v>666</v>
      </c>
      <c r="P5314" s="1" t="s">
        <v>421</v>
      </c>
      <c r="Q5314" s="1">
        <v>0</v>
      </c>
      <c r="S5314" s="1">
        <v>0</v>
      </c>
      <c r="T5314" s="1">
        <v>0</v>
      </c>
      <c r="V5314" s="1">
        <f t="shared" si="90"/>
        <v>0</v>
      </c>
      <c r="W5314" s="1" t="s">
        <v>5</v>
      </c>
      <c r="X5314" s="39">
        <v>-0.64443949663913758</v>
      </c>
      <c r="Y5314" s="1">
        <v>1</v>
      </c>
      <c r="Z5314" s="6">
        <v>0</v>
      </c>
      <c r="AA5314" s="6">
        <v>0</v>
      </c>
    </row>
    <row r="5315" spans="1:27" x14ac:dyDescent="0.2">
      <c r="A5315" s="1">
        <v>25</v>
      </c>
      <c r="B5315" s="1" t="s">
        <v>82</v>
      </c>
      <c r="C5315" s="1" t="s">
        <v>83</v>
      </c>
      <c r="D5315" s="1">
        <v>1904</v>
      </c>
      <c r="E5315" s="11">
        <v>0</v>
      </c>
      <c r="G5315" s="1">
        <v>0</v>
      </c>
      <c r="H5315" s="1">
        <v>0</v>
      </c>
      <c r="I5315" s="1">
        <v>3.4430000000000001</v>
      </c>
      <c r="J5315" s="1">
        <v>2.0208363903154799E-16</v>
      </c>
      <c r="M5315" s="1" t="s">
        <v>677</v>
      </c>
      <c r="N5315" s="1" t="s">
        <v>420</v>
      </c>
      <c r="O5315" s="1" t="s">
        <v>666</v>
      </c>
      <c r="P5315" s="1" t="s">
        <v>421</v>
      </c>
      <c r="Q5315" s="1">
        <v>0</v>
      </c>
      <c r="S5315" s="1">
        <v>0</v>
      </c>
      <c r="T5315" s="1">
        <v>0</v>
      </c>
      <c r="V5315" s="1">
        <f t="shared" si="90"/>
        <v>0</v>
      </c>
      <c r="W5315" s="1" t="s">
        <v>5</v>
      </c>
      <c r="X5315" s="39">
        <v>-13.628756344597404</v>
      </c>
      <c r="Y5315" s="1">
        <v>1</v>
      </c>
      <c r="Z5315" s="6">
        <v>0</v>
      </c>
      <c r="AA5315" s="6">
        <v>0</v>
      </c>
    </row>
    <row r="5316" spans="1:27" x14ac:dyDescent="0.2">
      <c r="A5316" s="1">
        <v>25</v>
      </c>
      <c r="B5316" s="1" t="s">
        <v>82</v>
      </c>
      <c r="C5316" s="1" t="s">
        <v>83</v>
      </c>
      <c r="D5316" s="1">
        <v>1905</v>
      </c>
      <c r="E5316" s="11">
        <v>0</v>
      </c>
      <c r="G5316" s="1">
        <v>0</v>
      </c>
      <c r="H5316" s="1">
        <v>0</v>
      </c>
      <c r="I5316" s="1">
        <v>3.798</v>
      </c>
      <c r="J5316" s="1">
        <v>2.2292002934702899E-16</v>
      </c>
      <c r="M5316" s="1" t="s">
        <v>677</v>
      </c>
      <c r="N5316" s="1" t="s">
        <v>420</v>
      </c>
      <c r="O5316" s="1" t="s">
        <v>666</v>
      </c>
      <c r="P5316" s="1" t="s">
        <v>421</v>
      </c>
      <c r="Q5316" s="1">
        <v>0</v>
      </c>
      <c r="S5316" s="1">
        <v>0</v>
      </c>
      <c r="T5316" s="1">
        <v>0</v>
      </c>
      <c r="V5316" s="1">
        <f t="shared" si="90"/>
        <v>0</v>
      </c>
      <c r="W5316" s="1" t="s">
        <v>5</v>
      </c>
      <c r="X5316" s="39">
        <v>-1.9443710037010287</v>
      </c>
      <c r="Y5316" s="1">
        <v>1</v>
      </c>
      <c r="Z5316" s="6">
        <v>0</v>
      </c>
      <c r="AA5316" s="6">
        <v>0</v>
      </c>
    </row>
    <row r="5317" spans="1:27" x14ac:dyDescent="0.2">
      <c r="A5317" s="1">
        <v>25</v>
      </c>
      <c r="B5317" s="1" t="s">
        <v>82</v>
      </c>
      <c r="C5317" s="1" t="s">
        <v>83</v>
      </c>
      <c r="D5317" s="1">
        <v>1906</v>
      </c>
      <c r="E5317" s="11">
        <v>0</v>
      </c>
      <c r="G5317" s="1">
        <v>0</v>
      </c>
      <c r="H5317" s="1">
        <v>0</v>
      </c>
      <c r="I5317" s="1">
        <v>4.3197000000000001</v>
      </c>
      <c r="J5317" s="1">
        <v>2.5354071900220099E-16</v>
      </c>
      <c r="M5317" s="1" t="s">
        <v>677</v>
      </c>
      <c r="N5317" s="1" t="s">
        <v>420</v>
      </c>
      <c r="O5317" s="1" t="s">
        <v>666</v>
      </c>
      <c r="P5317" s="1" t="s">
        <v>421</v>
      </c>
      <c r="Q5317" s="1">
        <v>0</v>
      </c>
      <c r="S5317" s="1">
        <v>0</v>
      </c>
      <c r="T5317" s="1">
        <v>0</v>
      </c>
      <c r="V5317" s="1">
        <f t="shared" si="90"/>
        <v>0</v>
      </c>
      <c r="W5317" s="1" t="s">
        <v>5</v>
      </c>
      <c r="X5317" s="39">
        <v>4.8299871085542678</v>
      </c>
      <c r="Y5317" s="1">
        <v>1</v>
      </c>
      <c r="Z5317" s="6">
        <v>0</v>
      </c>
      <c r="AA5317" s="6">
        <v>0</v>
      </c>
    </row>
    <row r="5318" spans="1:27" x14ac:dyDescent="0.2">
      <c r="A5318" s="1">
        <v>25</v>
      </c>
      <c r="B5318" s="1" t="s">
        <v>82</v>
      </c>
      <c r="C5318" s="1" t="s">
        <v>83</v>
      </c>
      <c r="D5318" s="1">
        <v>1907</v>
      </c>
      <c r="E5318" s="11">
        <v>0</v>
      </c>
      <c r="G5318" s="1">
        <v>0</v>
      </c>
      <c r="H5318" s="1">
        <v>0</v>
      </c>
      <c r="I5318" s="1">
        <v>4.3628999999999998</v>
      </c>
      <c r="J5318" s="1">
        <v>2.5607630227439499E-16</v>
      </c>
      <c r="M5318" s="1" t="s">
        <v>677</v>
      </c>
      <c r="N5318" s="1" t="s">
        <v>420</v>
      </c>
      <c r="O5318" s="1" t="s">
        <v>666</v>
      </c>
      <c r="P5318" s="1" t="s">
        <v>421</v>
      </c>
      <c r="Q5318" s="1">
        <v>0</v>
      </c>
      <c r="S5318" s="1">
        <v>0</v>
      </c>
      <c r="T5318" s="1">
        <v>0</v>
      </c>
      <c r="V5318" s="1">
        <f t="shared" si="90"/>
        <v>0</v>
      </c>
      <c r="W5318" s="1" t="s">
        <v>5</v>
      </c>
      <c r="X5318" s="39">
        <v>4.7617490071477864</v>
      </c>
      <c r="Y5318" s="1">
        <v>1</v>
      </c>
      <c r="Z5318" s="6">
        <v>0</v>
      </c>
      <c r="AA5318" s="6">
        <v>0</v>
      </c>
    </row>
    <row r="5319" spans="1:27" x14ac:dyDescent="0.2">
      <c r="A5319" s="1">
        <v>25</v>
      </c>
      <c r="B5319" s="1" t="s">
        <v>82</v>
      </c>
      <c r="C5319" s="1" t="s">
        <v>83</v>
      </c>
      <c r="D5319" s="1">
        <v>1908</v>
      </c>
      <c r="E5319" s="11">
        <v>0</v>
      </c>
      <c r="G5319" s="1">
        <v>0</v>
      </c>
      <c r="H5319" s="1">
        <v>0</v>
      </c>
      <c r="I5319" s="1">
        <v>4.4785000000000004</v>
      </c>
      <c r="J5319" s="1">
        <v>2.6286133528980201E-16</v>
      </c>
      <c r="M5319" s="1" t="s">
        <v>677</v>
      </c>
      <c r="N5319" s="1" t="s">
        <v>420</v>
      </c>
      <c r="O5319" s="1" t="s">
        <v>666</v>
      </c>
      <c r="P5319" s="1" t="s">
        <v>421</v>
      </c>
      <c r="Q5319" s="1">
        <v>0</v>
      </c>
      <c r="S5319" s="1">
        <v>0</v>
      </c>
      <c r="T5319" s="1">
        <v>0</v>
      </c>
      <c r="V5319" s="1">
        <f t="shared" si="90"/>
        <v>0</v>
      </c>
      <c r="W5319" s="1" t="s">
        <v>5</v>
      </c>
      <c r="X5319" s="39">
        <v>-1.4055490581432739</v>
      </c>
      <c r="Y5319" s="1">
        <v>1</v>
      </c>
      <c r="Z5319" s="6">
        <v>0</v>
      </c>
      <c r="AA5319" s="6">
        <v>0</v>
      </c>
    </row>
    <row r="5320" spans="1:27" x14ac:dyDescent="0.2">
      <c r="A5320" s="1">
        <v>25</v>
      </c>
      <c r="B5320" s="1" t="s">
        <v>82</v>
      </c>
      <c r="C5320" s="1" t="s">
        <v>83</v>
      </c>
      <c r="D5320" s="1">
        <v>1909</v>
      </c>
      <c r="E5320" s="11">
        <v>0</v>
      </c>
      <c r="G5320" s="1">
        <v>0</v>
      </c>
      <c r="H5320" s="1">
        <v>0</v>
      </c>
      <c r="I5320" s="1">
        <v>4.6337999999999999</v>
      </c>
      <c r="J5320" s="1">
        <v>2.71976522377109E-16</v>
      </c>
      <c r="M5320" s="1" t="s">
        <v>677</v>
      </c>
      <c r="N5320" s="1" t="s">
        <v>420</v>
      </c>
      <c r="O5320" s="1" t="s">
        <v>666</v>
      </c>
      <c r="P5320" s="1" t="s">
        <v>421</v>
      </c>
      <c r="Q5320" s="1">
        <v>0</v>
      </c>
      <c r="S5320" s="1">
        <v>0</v>
      </c>
      <c r="T5320" s="1">
        <v>0</v>
      </c>
      <c r="V5320" s="1">
        <f t="shared" si="90"/>
        <v>0</v>
      </c>
      <c r="W5320" s="1" t="s">
        <v>5</v>
      </c>
      <c r="X5320" s="39">
        <v>5.2238080272269061</v>
      </c>
      <c r="Y5320" s="1">
        <v>1</v>
      </c>
      <c r="Z5320" s="6">
        <v>0</v>
      </c>
      <c r="AA5320" s="6">
        <v>0</v>
      </c>
    </row>
    <row r="5321" spans="1:27" x14ac:dyDescent="0.2">
      <c r="A5321" s="1">
        <v>25</v>
      </c>
      <c r="B5321" s="1" t="s">
        <v>82</v>
      </c>
      <c r="C5321" s="1" t="s">
        <v>83</v>
      </c>
      <c r="D5321" s="1">
        <v>1910</v>
      </c>
      <c r="E5321" s="11">
        <v>0</v>
      </c>
      <c r="G5321" s="1">
        <v>0</v>
      </c>
      <c r="H5321" s="1">
        <v>1</v>
      </c>
      <c r="I5321" s="1">
        <v>4.7389999999999999</v>
      </c>
      <c r="J5321" s="1">
        <v>2.7815113719735902E-16</v>
      </c>
      <c r="M5321" s="1" t="s">
        <v>677</v>
      </c>
      <c r="N5321" s="1" t="s">
        <v>420</v>
      </c>
      <c r="O5321" s="1" t="s">
        <v>666</v>
      </c>
      <c r="P5321" s="1" t="s">
        <v>421</v>
      </c>
      <c r="Q5321" s="1">
        <v>0</v>
      </c>
      <c r="S5321" s="1">
        <v>0</v>
      </c>
      <c r="T5321" s="1">
        <v>0</v>
      </c>
      <c r="V5321" s="1">
        <f t="shared" si="90"/>
        <v>0</v>
      </c>
      <c r="W5321" s="1" t="s">
        <v>5</v>
      </c>
      <c r="X5321" s="39">
        <v>-4.4029811576330786</v>
      </c>
      <c r="Y5321" s="1">
        <v>1</v>
      </c>
      <c r="Z5321" s="6">
        <v>0</v>
      </c>
      <c r="AA5321" s="6">
        <v>0</v>
      </c>
    </row>
    <row r="5322" spans="1:27" x14ac:dyDescent="0.2">
      <c r="A5322" s="1">
        <v>25</v>
      </c>
      <c r="B5322" s="1" t="s">
        <v>82</v>
      </c>
      <c r="C5322" s="1" t="s">
        <v>83</v>
      </c>
      <c r="D5322" s="1">
        <v>1911</v>
      </c>
      <c r="E5322" s="11">
        <v>0</v>
      </c>
      <c r="G5322" s="1">
        <v>0</v>
      </c>
      <c r="H5322" s="1">
        <v>1</v>
      </c>
      <c r="I5322" s="1">
        <v>4.7264999999999997</v>
      </c>
      <c r="J5322" s="1">
        <v>2.7741746148202499E-16</v>
      </c>
      <c r="M5322" s="1" t="s">
        <v>677</v>
      </c>
      <c r="N5322" s="1" t="s">
        <v>420</v>
      </c>
      <c r="O5322" s="1" t="s">
        <v>666</v>
      </c>
      <c r="P5322" s="1" t="s">
        <v>421</v>
      </c>
      <c r="Q5322" s="1">
        <v>0</v>
      </c>
      <c r="S5322" s="1">
        <v>0</v>
      </c>
      <c r="T5322" s="1">
        <v>0</v>
      </c>
      <c r="V5322" s="1">
        <f t="shared" si="90"/>
        <v>0</v>
      </c>
      <c r="W5322" s="1" t="s">
        <v>5</v>
      </c>
      <c r="X5322" s="39">
        <v>2.1575958198962075</v>
      </c>
      <c r="Y5322" s="1">
        <v>1</v>
      </c>
      <c r="Z5322" s="6">
        <v>0</v>
      </c>
      <c r="AA5322" s="6">
        <v>0</v>
      </c>
    </row>
    <row r="5323" spans="1:27" x14ac:dyDescent="0.2">
      <c r="A5323" s="1">
        <v>25</v>
      </c>
      <c r="B5323" s="1" t="s">
        <v>82</v>
      </c>
      <c r="C5323" s="1" t="s">
        <v>83</v>
      </c>
      <c r="D5323" s="1">
        <v>1912</v>
      </c>
      <c r="E5323" s="11">
        <v>0</v>
      </c>
      <c r="G5323" s="1">
        <v>0</v>
      </c>
      <c r="H5323" s="1">
        <v>1</v>
      </c>
      <c r="I5323" s="1">
        <v>4.7534999999999998</v>
      </c>
      <c r="J5323" s="1">
        <v>2.79002201027146E-16</v>
      </c>
      <c r="M5323" s="1" t="s">
        <v>677</v>
      </c>
      <c r="N5323" s="1" t="s">
        <v>420</v>
      </c>
      <c r="O5323" s="1" t="s">
        <v>666</v>
      </c>
      <c r="P5323" s="1" t="s">
        <v>421</v>
      </c>
      <c r="Q5323" s="1">
        <v>0</v>
      </c>
      <c r="S5323" s="1">
        <v>0</v>
      </c>
      <c r="T5323" s="1">
        <v>0</v>
      </c>
      <c r="V5323" s="1">
        <f t="shared" si="90"/>
        <v>0</v>
      </c>
      <c r="W5323" s="1" t="s">
        <v>5</v>
      </c>
      <c r="X5323" s="39">
        <v>-0.46348886336754491</v>
      </c>
      <c r="Y5323" s="1">
        <v>1</v>
      </c>
      <c r="Z5323" s="6">
        <v>0</v>
      </c>
      <c r="AA5323" s="6">
        <v>0</v>
      </c>
    </row>
    <row r="5324" spans="1:27" ht="12.75" customHeight="1" x14ac:dyDescent="0.2">
      <c r="A5324" s="1">
        <v>25</v>
      </c>
      <c r="B5324" s="1" t="s">
        <v>82</v>
      </c>
      <c r="C5324" s="1" t="s">
        <v>83</v>
      </c>
      <c r="D5324" s="1">
        <v>1913</v>
      </c>
      <c r="E5324" s="11">
        <v>0</v>
      </c>
      <c r="G5324" s="1">
        <v>0</v>
      </c>
      <c r="H5324" s="1">
        <v>1</v>
      </c>
      <c r="I5324" s="1">
        <v>4.7392000000000003</v>
      </c>
      <c r="J5324" s="1">
        <v>2.78162876008804E-16</v>
      </c>
      <c r="M5324" s="1" t="s">
        <v>677</v>
      </c>
      <c r="N5324" s="1" t="s">
        <v>420</v>
      </c>
      <c r="O5324" s="1" t="s">
        <v>666</v>
      </c>
      <c r="P5324" s="1" t="s">
        <v>421</v>
      </c>
      <c r="Q5324" s="1">
        <v>0</v>
      </c>
      <c r="S5324" s="1">
        <v>0</v>
      </c>
      <c r="T5324" s="1">
        <v>0</v>
      </c>
      <c r="V5324" s="1">
        <f t="shared" si="90"/>
        <v>0</v>
      </c>
      <c r="W5324" s="1" t="s">
        <v>5</v>
      </c>
      <c r="X5324" s="39">
        <v>-1.9544260697153648</v>
      </c>
      <c r="Y5324" s="1">
        <v>1</v>
      </c>
      <c r="Z5324" s="6">
        <v>0</v>
      </c>
      <c r="AA5324" s="6">
        <v>0</v>
      </c>
    </row>
    <row r="5325" spans="1:27" x14ac:dyDescent="0.2">
      <c r="A5325" s="1">
        <v>25</v>
      </c>
      <c r="B5325" s="1" t="s">
        <v>82</v>
      </c>
      <c r="C5325" s="1" t="s">
        <v>83</v>
      </c>
      <c r="D5325" s="1">
        <v>1914</v>
      </c>
      <c r="E5325" s="11">
        <v>0</v>
      </c>
      <c r="G5325" s="1">
        <v>0</v>
      </c>
      <c r="H5325" s="1">
        <v>1</v>
      </c>
      <c r="I5325" s="1">
        <v>5.4147999999999996</v>
      </c>
      <c r="J5325" s="1">
        <v>3.1781658107116699E-16</v>
      </c>
      <c r="M5325" s="1" t="s">
        <v>677</v>
      </c>
      <c r="N5325" s="1" t="s">
        <v>420</v>
      </c>
      <c r="O5325" s="1" t="s">
        <v>666</v>
      </c>
      <c r="P5325" s="1" t="s">
        <v>421</v>
      </c>
      <c r="Q5325" s="1">
        <v>0</v>
      </c>
      <c r="S5325" s="1">
        <v>0</v>
      </c>
      <c r="T5325" s="1">
        <v>0</v>
      </c>
      <c r="V5325" s="1">
        <f t="shared" si="90"/>
        <v>0</v>
      </c>
      <c r="W5325" s="1" t="s">
        <v>5</v>
      </c>
      <c r="X5325" s="39">
        <v>13.077275493843366</v>
      </c>
      <c r="Y5325" s="1">
        <v>1</v>
      </c>
      <c r="Z5325" s="6">
        <v>0</v>
      </c>
      <c r="AA5325" s="6">
        <v>0</v>
      </c>
    </row>
    <row r="5326" spans="1:27" x14ac:dyDescent="0.2">
      <c r="A5326" s="1">
        <v>25</v>
      </c>
      <c r="B5326" s="1" t="s">
        <v>82</v>
      </c>
      <c r="C5326" s="1" t="s">
        <v>83</v>
      </c>
      <c r="D5326" s="1">
        <v>1915</v>
      </c>
      <c r="E5326" s="11">
        <v>0</v>
      </c>
      <c r="G5326" s="1">
        <v>0</v>
      </c>
      <c r="H5326" s="1">
        <v>0</v>
      </c>
      <c r="J5326" s="1">
        <v>3.02421129860602E-16</v>
      </c>
      <c r="M5326" s="1" t="s">
        <v>677</v>
      </c>
      <c r="N5326" s="1" t="s">
        <v>420</v>
      </c>
      <c r="O5326" s="1" t="s">
        <v>666</v>
      </c>
      <c r="P5326" s="1" t="s">
        <v>421</v>
      </c>
      <c r="Q5326" s="1">
        <v>0</v>
      </c>
      <c r="S5326" s="1">
        <v>0</v>
      </c>
      <c r="T5326" s="1">
        <v>0</v>
      </c>
      <c r="V5326" s="1">
        <f t="shared" si="90"/>
        <v>0</v>
      </c>
      <c r="W5326" s="1" t="s">
        <v>5</v>
      </c>
      <c r="X5326" s="39">
        <v>21.621183515663468</v>
      </c>
      <c r="Y5326" s="1">
        <v>1</v>
      </c>
      <c r="Z5326" s="6">
        <v>0</v>
      </c>
      <c r="AA5326" s="6">
        <v>1</v>
      </c>
    </row>
    <row r="5327" spans="1:27" x14ac:dyDescent="0.2">
      <c r="A5327" s="1">
        <v>25</v>
      </c>
      <c r="B5327" s="1" t="s">
        <v>82</v>
      </c>
      <c r="C5327" s="1" t="s">
        <v>83</v>
      </c>
      <c r="D5327" s="1">
        <v>1916</v>
      </c>
      <c r="E5327" s="11">
        <v>0</v>
      </c>
      <c r="G5327" s="1">
        <v>0</v>
      </c>
      <c r="H5327" s="1">
        <v>0</v>
      </c>
      <c r="J5327" s="1">
        <v>3.00807043286867E-16</v>
      </c>
      <c r="M5327" s="1" t="s">
        <v>677</v>
      </c>
      <c r="N5327" s="1" t="s">
        <v>420</v>
      </c>
      <c r="O5327" s="1" t="s">
        <v>666</v>
      </c>
      <c r="P5327" s="1" t="s">
        <v>421</v>
      </c>
      <c r="Q5327" s="1">
        <v>0</v>
      </c>
      <c r="S5327" s="1">
        <v>0</v>
      </c>
      <c r="T5327" s="1">
        <v>0</v>
      </c>
      <c r="V5327" s="1">
        <f t="shared" si="90"/>
        <v>0</v>
      </c>
      <c r="W5327" s="1" t="s">
        <v>5</v>
      </c>
      <c r="X5327" s="39">
        <v>31.824935392866728</v>
      </c>
      <c r="Y5327" s="1">
        <v>1</v>
      </c>
      <c r="Z5327" s="6">
        <v>0</v>
      </c>
      <c r="AA5327" s="6">
        <v>1</v>
      </c>
    </row>
    <row r="5328" spans="1:27" x14ac:dyDescent="0.2">
      <c r="A5328" s="1">
        <v>25</v>
      </c>
      <c r="B5328" s="1" t="s">
        <v>82</v>
      </c>
      <c r="C5328" s="1" t="s">
        <v>83</v>
      </c>
      <c r="D5328" s="1">
        <v>1917</v>
      </c>
      <c r="E5328" s="11">
        <v>0</v>
      </c>
      <c r="G5328" s="1">
        <v>0</v>
      </c>
      <c r="H5328" s="1">
        <v>0</v>
      </c>
      <c r="J5328" s="1">
        <v>3.0154071900220098E-16</v>
      </c>
      <c r="M5328" s="1" t="s">
        <v>677</v>
      </c>
      <c r="N5328" s="1" t="s">
        <v>420</v>
      </c>
      <c r="O5328" s="1" t="s">
        <v>666</v>
      </c>
      <c r="P5328" s="1" t="s">
        <v>421</v>
      </c>
      <c r="Q5328" s="1">
        <v>0</v>
      </c>
      <c r="S5328" s="1">
        <v>0</v>
      </c>
      <c r="T5328" s="1">
        <v>0</v>
      </c>
      <c r="V5328" s="1">
        <f t="shared" si="90"/>
        <v>0</v>
      </c>
      <c r="W5328" s="1" t="s">
        <v>5</v>
      </c>
      <c r="X5328" s="39">
        <v>48.418336816354724</v>
      </c>
      <c r="Y5328" s="1">
        <v>1</v>
      </c>
      <c r="Z5328" s="6">
        <v>0</v>
      </c>
      <c r="AA5328" s="6">
        <v>1</v>
      </c>
    </row>
    <row r="5329" spans="1:27" x14ac:dyDescent="0.2">
      <c r="A5329" s="1">
        <v>25</v>
      </c>
      <c r="B5329" s="1" t="s">
        <v>82</v>
      </c>
      <c r="C5329" s="1" t="s">
        <v>83</v>
      </c>
      <c r="D5329" s="1">
        <v>1918</v>
      </c>
      <c r="E5329" s="11">
        <v>0</v>
      </c>
      <c r="G5329" s="1">
        <v>0</v>
      </c>
      <c r="H5329" s="1">
        <v>0</v>
      </c>
      <c r="J5329" s="1">
        <v>3.03154805575935E-16</v>
      </c>
      <c r="M5329" s="1" t="s">
        <v>677</v>
      </c>
      <c r="N5329" s="1" t="s">
        <v>420</v>
      </c>
      <c r="O5329" s="1" t="s">
        <v>666</v>
      </c>
      <c r="P5329" s="1" t="s">
        <v>421</v>
      </c>
      <c r="Q5329" s="1">
        <v>0</v>
      </c>
      <c r="S5329" s="1">
        <v>0</v>
      </c>
      <c r="T5329" s="1">
        <v>0</v>
      </c>
      <c r="V5329" s="1">
        <f t="shared" si="90"/>
        <v>0</v>
      </c>
      <c r="W5329" s="1" t="s">
        <v>5</v>
      </c>
      <c r="X5329" s="39">
        <v>28.405955970980767</v>
      </c>
      <c r="Y5329" s="1">
        <v>1</v>
      </c>
      <c r="Z5329" s="6">
        <v>0</v>
      </c>
      <c r="AA5329" s="6">
        <v>1</v>
      </c>
    </row>
    <row r="5330" spans="1:27" x14ac:dyDescent="0.2">
      <c r="A5330" s="1">
        <v>25</v>
      </c>
      <c r="B5330" s="1" t="s">
        <v>82</v>
      </c>
      <c r="C5330" s="1" t="s">
        <v>83</v>
      </c>
      <c r="D5330" s="1">
        <v>1919</v>
      </c>
      <c r="E5330" s="11">
        <v>0</v>
      </c>
      <c r="G5330" s="1">
        <v>0</v>
      </c>
      <c r="H5330" s="1">
        <v>0</v>
      </c>
      <c r="I5330" s="1">
        <v>6.3898000000000001</v>
      </c>
      <c r="J5330" s="1">
        <v>3.84446074834923E-16</v>
      </c>
      <c r="M5330" s="1" t="s">
        <v>677</v>
      </c>
      <c r="N5330" s="1" t="s">
        <v>420</v>
      </c>
      <c r="O5330" s="1" t="s">
        <v>666</v>
      </c>
      <c r="P5330" s="1" t="s">
        <v>421</v>
      </c>
      <c r="Q5330" s="1">
        <v>0</v>
      </c>
      <c r="S5330" s="1">
        <v>0</v>
      </c>
      <c r="T5330" s="1">
        <v>0</v>
      </c>
      <c r="V5330" s="1">
        <f t="shared" si="90"/>
        <v>0</v>
      </c>
      <c r="W5330" s="1" t="s">
        <v>5</v>
      </c>
      <c r="X5330" s="39">
        <v>9.7759494295933003</v>
      </c>
      <c r="Y5330" s="1">
        <v>1</v>
      </c>
      <c r="Z5330" s="6">
        <v>1</v>
      </c>
      <c r="AA5330" s="6">
        <v>0</v>
      </c>
    </row>
    <row r="5331" spans="1:27" x14ac:dyDescent="0.2">
      <c r="A5331" s="1">
        <v>25</v>
      </c>
      <c r="B5331" s="1" t="s">
        <v>82</v>
      </c>
      <c r="C5331" s="1" t="s">
        <v>83</v>
      </c>
      <c r="D5331" s="1">
        <v>1920</v>
      </c>
      <c r="E5331" s="11">
        <v>0</v>
      </c>
      <c r="G5331" s="1">
        <v>0</v>
      </c>
      <c r="H5331" s="1">
        <v>0</v>
      </c>
      <c r="I5331" s="1">
        <v>13.227499999999999</v>
      </c>
      <c r="J5331" s="1">
        <v>8.0410858400586903E-16</v>
      </c>
      <c r="M5331" s="1" t="s">
        <v>677</v>
      </c>
      <c r="N5331" s="1" t="s">
        <v>420</v>
      </c>
      <c r="O5331" s="1" t="s">
        <v>666</v>
      </c>
      <c r="P5331" s="1" t="s">
        <v>421</v>
      </c>
      <c r="Q5331" s="1">
        <v>0</v>
      </c>
      <c r="S5331" s="1">
        <v>0</v>
      </c>
      <c r="T5331" s="1">
        <v>0</v>
      </c>
      <c r="V5331" s="1">
        <f t="shared" si="90"/>
        <v>0</v>
      </c>
      <c r="W5331" s="1" t="s">
        <v>5</v>
      </c>
      <c r="X5331" s="39">
        <v>13.333076857136072</v>
      </c>
      <c r="Y5331" s="1">
        <v>1</v>
      </c>
      <c r="Z5331" s="6">
        <v>1</v>
      </c>
      <c r="AA5331" s="6">
        <v>0</v>
      </c>
    </row>
    <row r="5332" spans="1:27" x14ac:dyDescent="0.2">
      <c r="A5332" s="1">
        <v>25</v>
      </c>
      <c r="B5332" s="1" t="s">
        <v>82</v>
      </c>
      <c r="C5332" s="1" t="s">
        <v>83</v>
      </c>
      <c r="D5332" s="1">
        <v>1921</v>
      </c>
      <c r="E5332" s="11">
        <v>0</v>
      </c>
      <c r="G5332" s="1">
        <v>0</v>
      </c>
      <c r="H5332" s="1">
        <v>0</v>
      </c>
      <c r="I5332" s="1">
        <v>24.154599999999999</v>
      </c>
      <c r="J5332" s="1">
        <v>1.39104915627293E-15</v>
      </c>
      <c r="M5332" s="1" t="s">
        <v>677</v>
      </c>
      <c r="N5332" s="1" t="s">
        <v>420</v>
      </c>
      <c r="O5332" s="1" t="s">
        <v>666</v>
      </c>
      <c r="P5332" s="1" t="s">
        <v>421</v>
      </c>
      <c r="Q5332" s="1">
        <v>0</v>
      </c>
      <c r="S5332" s="1">
        <v>0</v>
      </c>
      <c r="T5332" s="1">
        <v>0</v>
      </c>
      <c r="V5332" s="1">
        <f t="shared" si="90"/>
        <v>0</v>
      </c>
      <c r="W5332" s="1" t="s">
        <v>5</v>
      </c>
      <c r="X5332" s="39">
        <v>24.704094768356775</v>
      </c>
      <c r="Y5332" s="1">
        <v>1</v>
      </c>
      <c r="Z5332" s="6">
        <v>1</v>
      </c>
      <c r="AA5332" s="6">
        <v>1</v>
      </c>
    </row>
    <row r="5333" spans="1:27" x14ac:dyDescent="0.2">
      <c r="A5333" s="1">
        <v>25</v>
      </c>
      <c r="B5333" s="1" t="s">
        <v>82</v>
      </c>
      <c r="C5333" s="1" t="s">
        <v>83</v>
      </c>
      <c r="D5333" s="1">
        <v>1922</v>
      </c>
      <c r="E5333" s="11">
        <v>0</v>
      </c>
      <c r="G5333" s="1">
        <v>0</v>
      </c>
      <c r="H5333" s="1">
        <v>0</v>
      </c>
      <c r="I5333" s="1">
        <v>81.057000000000002</v>
      </c>
      <c r="J5333" s="1">
        <v>5.1944240645634599E-15</v>
      </c>
      <c r="M5333" s="1" t="s">
        <v>677</v>
      </c>
      <c r="N5333" s="1" t="s">
        <v>420</v>
      </c>
      <c r="O5333" s="1" t="s">
        <v>666</v>
      </c>
      <c r="P5333" s="1" t="s">
        <v>421</v>
      </c>
      <c r="Q5333" s="1">
        <v>0</v>
      </c>
      <c r="S5333" s="1">
        <v>0</v>
      </c>
      <c r="T5333" s="1">
        <v>0</v>
      </c>
      <c r="V5333" s="1">
        <f t="shared" si="90"/>
        <v>0</v>
      </c>
      <c r="W5333" s="1" t="s">
        <v>5</v>
      </c>
      <c r="X5333" s="39">
        <v>54.529366982873604</v>
      </c>
      <c r="Y5333" s="1">
        <v>1</v>
      </c>
      <c r="Z5333" s="6">
        <v>0</v>
      </c>
      <c r="AA5333" s="6">
        <v>1</v>
      </c>
    </row>
    <row r="5334" spans="1:27" x14ac:dyDescent="0.2">
      <c r="A5334" s="1">
        <v>25</v>
      </c>
      <c r="B5334" s="1" t="s">
        <v>82</v>
      </c>
      <c r="C5334" s="1" t="s">
        <v>83</v>
      </c>
      <c r="D5334" s="1">
        <v>1923</v>
      </c>
      <c r="E5334" s="11">
        <v>0</v>
      </c>
      <c r="G5334" s="1">
        <v>0</v>
      </c>
      <c r="H5334" s="1">
        <v>0</v>
      </c>
      <c r="I5334" s="1">
        <v>52.764899999999997</v>
      </c>
      <c r="J5334" s="1">
        <v>2.8085106382978699E-15</v>
      </c>
      <c r="M5334" s="1" t="s">
        <v>677</v>
      </c>
      <c r="N5334" s="1" t="s">
        <v>420</v>
      </c>
      <c r="O5334" s="1" t="s">
        <v>666</v>
      </c>
      <c r="P5334" s="1" t="s">
        <v>421</v>
      </c>
      <c r="Q5334" s="1">
        <v>0</v>
      </c>
      <c r="S5334" s="1">
        <v>0</v>
      </c>
      <c r="T5334" s="1">
        <v>0</v>
      </c>
      <c r="V5334" s="1">
        <f t="shared" si="90"/>
        <v>0</v>
      </c>
      <c r="W5334" s="1" t="s">
        <v>5</v>
      </c>
      <c r="X5334" s="39">
        <v>47.262943699225737</v>
      </c>
      <c r="Y5334" s="1">
        <v>1</v>
      </c>
      <c r="Z5334" s="6">
        <v>0</v>
      </c>
      <c r="AA5334" s="6">
        <v>1</v>
      </c>
    </row>
    <row r="5335" spans="1:27" x14ac:dyDescent="0.2">
      <c r="A5335" s="1">
        <v>25</v>
      </c>
      <c r="B5335" s="1" t="s">
        <v>82</v>
      </c>
      <c r="C5335" s="1" t="s">
        <v>83</v>
      </c>
      <c r="D5335" s="1">
        <v>1924</v>
      </c>
      <c r="E5335" s="11">
        <v>0</v>
      </c>
      <c r="G5335" s="1">
        <v>0</v>
      </c>
      <c r="H5335" s="1">
        <v>0</v>
      </c>
      <c r="I5335" s="1">
        <v>55.126800000000003</v>
      </c>
      <c r="J5335" s="1">
        <v>3.2610418195157699E-15</v>
      </c>
      <c r="M5335" s="1" t="s">
        <v>677</v>
      </c>
      <c r="N5335" s="1" t="s">
        <v>420</v>
      </c>
      <c r="O5335" s="1" t="s">
        <v>666</v>
      </c>
      <c r="P5335" s="1" t="s">
        <v>421</v>
      </c>
      <c r="Q5335" s="1">
        <v>0</v>
      </c>
      <c r="S5335" s="1">
        <v>0</v>
      </c>
      <c r="T5335" s="1">
        <v>0</v>
      </c>
      <c r="V5335" s="1">
        <f t="shared" si="90"/>
        <v>0</v>
      </c>
      <c r="W5335" s="1" t="s">
        <v>5</v>
      </c>
      <c r="X5335" s="39">
        <v>12.122216807183165</v>
      </c>
      <c r="Y5335" s="1">
        <v>1</v>
      </c>
      <c r="Z5335" s="6">
        <v>1</v>
      </c>
      <c r="AA5335" s="6">
        <v>0</v>
      </c>
    </row>
    <row r="5336" spans="1:27" x14ac:dyDescent="0.2">
      <c r="A5336" s="1">
        <v>25</v>
      </c>
      <c r="B5336" s="1" t="s">
        <v>82</v>
      </c>
      <c r="C5336" s="1" t="s">
        <v>83</v>
      </c>
      <c r="D5336" s="1">
        <v>1925</v>
      </c>
      <c r="E5336" s="11">
        <v>0</v>
      </c>
      <c r="G5336" s="1">
        <v>0</v>
      </c>
      <c r="H5336" s="1">
        <v>0</v>
      </c>
      <c r="I5336" s="1">
        <v>77.5976</v>
      </c>
      <c r="J5336" s="1">
        <v>4.5763756419662496E-15</v>
      </c>
      <c r="M5336" s="1" t="s">
        <v>677</v>
      </c>
      <c r="N5336" s="1" t="s">
        <v>420</v>
      </c>
      <c r="O5336" s="1" t="s">
        <v>666</v>
      </c>
      <c r="P5336" s="1" t="s">
        <v>421</v>
      </c>
      <c r="Q5336" s="1">
        <v>0</v>
      </c>
      <c r="S5336" s="1">
        <v>0</v>
      </c>
      <c r="T5336" s="1">
        <v>0</v>
      </c>
      <c r="V5336" s="1">
        <f t="shared" si="90"/>
        <v>0</v>
      </c>
      <c r="W5336" s="1" t="s">
        <v>5</v>
      </c>
      <c r="X5336" s="39">
        <v>11.228739287310916</v>
      </c>
      <c r="Y5336" s="1">
        <v>1</v>
      </c>
      <c r="Z5336" s="6">
        <v>0</v>
      </c>
      <c r="AA5336" s="6">
        <v>0</v>
      </c>
    </row>
    <row r="5337" spans="1:27" x14ac:dyDescent="0.2">
      <c r="A5337" s="1">
        <v>25</v>
      </c>
      <c r="B5337" s="1" t="s">
        <v>82</v>
      </c>
      <c r="C5337" s="1" t="s">
        <v>83</v>
      </c>
      <c r="D5337" s="1">
        <v>1926</v>
      </c>
      <c r="E5337" s="11">
        <v>0</v>
      </c>
      <c r="G5337" s="1">
        <v>0</v>
      </c>
      <c r="H5337" s="1">
        <v>0</v>
      </c>
      <c r="I5337" s="1">
        <v>79.095100000000002</v>
      </c>
      <c r="J5337" s="1">
        <v>4.6861335289801902E-15</v>
      </c>
      <c r="M5337" s="1" t="s">
        <v>677</v>
      </c>
      <c r="N5337" s="1" t="s">
        <v>420</v>
      </c>
      <c r="O5337" s="1" t="s">
        <v>666</v>
      </c>
      <c r="P5337" s="1" t="s">
        <v>421</v>
      </c>
      <c r="Q5337" s="1">
        <v>0</v>
      </c>
      <c r="S5337" s="1">
        <v>0</v>
      </c>
      <c r="T5337" s="1">
        <v>0</v>
      </c>
      <c r="V5337" s="1">
        <f t="shared" si="90"/>
        <v>0</v>
      </c>
      <c r="W5337" s="1" t="s">
        <v>5</v>
      </c>
      <c r="X5337" s="39">
        <v>14.643023856918578</v>
      </c>
      <c r="Y5337" s="1">
        <v>1</v>
      </c>
      <c r="Z5337" s="6">
        <v>0</v>
      </c>
      <c r="AA5337" s="6">
        <v>0</v>
      </c>
    </row>
    <row r="5338" spans="1:27" x14ac:dyDescent="0.2">
      <c r="A5338" s="1">
        <v>25</v>
      </c>
      <c r="B5338" s="1" t="s">
        <v>82</v>
      </c>
      <c r="C5338" s="1" t="s">
        <v>83</v>
      </c>
      <c r="D5338" s="1">
        <v>1927</v>
      </c>
      <c r="E5338" s="11">
        <v>0</v>
      </c>
      <c r="G5338" s="1">
        <v>0</v>
      </c>
      <c r="H5338" s="1">
        <v>1</v>
      </c>
      <c r="I5338" s="1">
        <v>75.221900000000005</v>
      </c>
      <c r="J5338" s="1">
        <v>4.4132061628760098E-15</v>
      </c>
      <c r="M5338" s="1" t="s">
        <v>677</v>
      </c>
      <c r="N5338" s="1" t="s">
        <v>420</v>
      </c>
      <c r="O5338" s="1" t="s">
        <v>666</v>
      </c>
      <c r="P5338" s="1" t="s">
        <v>421</v>
      </c>
      <c r="Q5338" s="1">
        <v>0</v>
      </c>
      <c r="S5338" s="1">
        <v>0</v>
      </c>
      <c r="T5338" s="1">
        <v>0</v>
      </c>
      <c r="V5338" s="1">
        <f t="shared" si="90"/>
        <v>0</v>
      </c>
      <c r="W5338" s="1" t="s">
        <v>5</v>
      </c>
      <c r="X5338" s="39">
        <v>8.7783840715126864</v>
      </c>
      <c r="Y5338" s="1">
        <v>1</v>
      </c>
      <c r="Z5338" s="6">
        <v>0</v>
      </c>
      <c r="AA5338" s="6">
        <v>0</v>
      </c>
    </row>
    <row r="5339" spans="1:27" x14ac:dyDescent="0.2">
      <c r="A5339" s="1">
        <v>25</v>
      </c>
      <c r="B5339" s="1" t="s">
        <v>82</v>
      </c>
      <c r="C5339" s="1" t="s">
        <v>83</v>
      </c>
      <c r="D5339" s="1">
        <v>1928</v>
      </c>
      <c r="E5339" s="11">
        <v>0</v>
      </c>
      <c r="G5339" s="1">
        <v>0</v>
      </c>
      <c r="H5339" s="1">
        <v>1</v>
      </c>
      <c r="I5339" s="1">
        <v>77.375399999999999</v>
      </c>
      <c r="J5339" s="1">
        <v>4.5452677916361001E-15</v>
      </c>
      <c r="M5339" s="1" t="s">
        <v>677</v>
      </c>
      <c r="N5339" s="1" t="s">
        <v>420</v>
      </c>
      <c r="O5339" s="1" t="s">
        <v>666</v>
      </c>
      <c r="P5339" s="1" t="s">
        <v>421</v>
      </c>
      <c r="Q5339" s="1">
        <v>0</v>
      </c>
      <c r="S5339" s="1">
        <v>0</v>
      </c>
      <c r="T5339" s="1">
        <v>0</v>
      </c>
      <c r="V5339" s="1">
        <f t="shared" ref="V5339:V5402" si="91">0.32*S5339</f>
        <v>0</v>
      </c>
      <c r="W5339" s="1">
        <v>0</v>
      </c>
      <c r="X5339" s="39">
        <v>-1.6331161088784456</v>
      </c>
      <c r="Y5339" s="1">
        <v>1</v>
      </c>
      <c r="Z5339" s="6">
        <v>0</v>
      </c>
      <c r="AA5339" s="6">
        <v>0</v>
      </c>
    </row>
    <row r="5340" spans="1:27" x14ac:dyDescent="0.2">
      <c r="A5340" s="1">
        <v>25</v>
      </c>
      <c r="B5340" s="1" t="s">
        <v>82</v>
      </c>
      <c r="C5340" s="1" t="s">
        <v>83</v>
      </c>
      <c r="D5340" s="1">
        <v>1929</v>
      </c>
      <c r="E5340" s="11">
        <v>0</v>
      </c>
      <c r="G5340" s="1">
        <v>0</v>
      </c>
      <c r="H5340" s="1">
        <v>1</v>
      </c>
      <c r="I5340" s="1">
        <v>76.964500000000001</v>
      </c>
      <c r="J5340" s="1">
        <v>4.5235509904622202E-15</v>
      </c>
      <c r="M5340" s="1" t="s">
        <v>677</v>
      </c>
      <c r="N5340" s="1" t="s">
        <v>420</v>
      </c>
      <c r="O5340" s="1" t="s">
        <v>666</v>
      </c>
      <c r="P5340" s="1" t="s">
        <v>421</v>
      </c>
      <c r="Q5340" s="1">
        <v>0</v>
      </c>
      <c r="S5340" s="1">
        <v>0</v>
      </c>
      <c r="T5340" s="1">
        <v>0</v>
      </c>
      <c r="V5340" s="1">
        <f t="shared" si="91"/>
        <v>0</v>
      </c>
      <c r="W5340" s="1">
        <v>0</v>
      </c>
      <c r="X5340" s="39">
        <v>-5.0042315023118062</v>
      </c>
      <c r="Y5340" s="1">
        <v>1</v>
      </c>
      <c r="Z5340" s="6">
        <v>0</v>
      </c>
      <c r="AA5340" s="6">
        <v>0</v>
      </c>
    </row>
    <row r="5341" spans="1:27" x14ac:dyDescent="0.2">
      <c r="A5341" s="1">
        <v>25</v>
      </c>
      <c r="B5341" s="1" t="s">
        <v>82</v>
      </c>
      <c r="C5341" s="1" t="s">
        <v>83</v>
      </c>
      <c r="D5341" s="1">
        <v>1930</v>
      </c>
      <c r="E5341" s="11">
        <v>0</v>
      </c>
      <c r="G5341" s="1">
        <v>0</v>
      </c>
      <c r="H5341" s="1">
        <v>1</v>
      </c>
      <c r="I5341" s="1">
        <v>77.255899999999997</v>
      </c>
      <c r="J5341" s="1">
        <v>4.5411592076302302E-15</v>
      </c>
      <c r="M5341" s="1" t="s">
        <v>677</v>
      </c>
      <c r="N5341" s="1" t="s">
        <v>420</v>
      </c>
      <c r="O5341" s="1" t="s">
        <v>666</v>
      </c>
      <c r="P5341" s="1" t="s">
        <v>421</v>
      </c>
      <c r="Q5341" s="1">
        <v>0</v>
      </c>
      <c r="S5341" s="1">
        <v>0</v>
      </c>
      <c r="T5341" s="1">
        <v>0</v>
      </c>
      <c r="V5341" s="1">
        <f t="shared" si="91"/>
        <v>0</v>
      </c>
      <c r="W5341" s="1">
        <v>0</v>
      </c>
      <c r="X5341" s="39">
        <v>-11.34463114322817</v>
      </c>
      <c r="Y5341" s="1">
        <v>1</v>
      </c>
      <c r="Z5341" s="6">
        <v>0</v>
      </c>
      <c r="AA5341" s="6">
        <v>0</v>
      </c>
    </row>
    <row r="5342" spans="1:27" x14ac:dyDescent="0.2">
      <c r="A5342" s="1">
        <v>25</v>
      </c>
      <c r="B5342" s="1" t="s">
        <v>82</v>
      </c>
      <c r="C5342" s="1" t="s">
        <v>83</v>
      </c>
      <c r="D5342" s="1">
        <v>1931</v>
      </c>
      <c r="E5342" s="5">
        <v>1</v>
      </c>
      <c r="G5342" s="1">
        <v>1</v>
      </c>
      <c r="H5342" s="1">
        <v>1</v>
      </c>
      <c r="I5342" s="1">
        <v>77.645799999999994</v>
      </c>
      <c r="J5342" s="1">
        <v>4.5634629493763799E-15</v>
      </c>
      <c r="M5342" s="1" t="s">
        <v>677</v>
      </c>
      <c r="N5342" s="1" t="s">
        <v>420</v>
      </c>
      <c r="O5342" s="1" t="s">
        <v>666</v>
      </c>
      <c r="P5342" s="1" t="s">
        <v>421</v>
      </c>
      <c r="Q5342" s="1">
        <v>0</v>
      </c>
      <c r="S5342" s="1">
        <v>0</v>
      </c>
      <c r="T5342" s="1">
        <v>0</v>
      </c>
      <c r="V5342" s="1">
        <f t="shared" si="91"/>
        <v>0</v>
      </c>
      <c r="W5342" s="1">
        <v>1</v>
      </c>
      <c r="X5342" s="39">
        <v>-2.0198651540059176</v>
      </c>
      <c r="Y5342" s="1">
        <v>1</v>
      </c>
      <c r="Z5342" s="6">
        <v>1</v>
      </c>
      <c r="AA5342" s="6">
        <v>0</v>
      </c>
    </row>
    <row r="5343" spans="1:27" x14ac:dyDescent="0.2">
      <c r="A5343" s="1">
        <v>25</v>
      </c>
      <c r="B5343" s="1" t="s">
        <v>82</v>
      </c>
      <c r="C5343" s="1" t="s">
        <v>83</v>
      </c>
      <c r="D5343" s="1">
        <v>1932</v>
      </c>
      <c r="E5343" s="5">
        <v>1</v>
      </c>
      <c r="G5343" s="1">
        <v>1</v>
      </c>
      <c r="H5343" s="1">
        <v>0</v>
      </c>
      <c r="I5343" s="1">
        <v>184.56989999999999</v>
      </c>
      <c r="J5343" s="1">
        <v>1.11800440205429E-14</v>
      </c>
      <c r="M5343" s="1" t="s">
        <v>677</v>
      </c>
      <c r="N5343" s="1" t="s">
        <v>420</v>
      </c>
      <c r="O5343" s="1" t="s">
        <v>666</v>
      </c>
      <c r="P5343" s="1" t="s">
        <v>421</v>
      </c>
      <c r="Q5343" s="1">
        <v>1</v>
      </c>
      <c r="R5343" s="1" t="s">
        <v>576</v>
      </c>
      <c r="S5343" s="1">
        <v>1</v>
      </c>
      <c r="T5343" s="1">
        <v>1</v>
      </c>
      <c r="U5343" s="1" t="s">
        <v>542</v>
      </c>
      <c r="V5343" s="1">
        <f t="shared" si="91"/>
        <v>0.32</v>
      </c>
      <c r="W5343" s="1">
        <v>1</v>
      </c>
      <c r="X5343" s="39">
        <v>14.332068031471149</v>
      </c>
      <c r="Y5343" s="1">
        <v>1</v>
      </c>
      <c r="Z5343" s="6">
        <v>0</v>
      </c>
      <c r="AA5343" s="6">
        <v>0</v>
      </c>
    </row>
    <row r="5344" spans="1:27" x14ac:dyDescent="0.2">
      <c r="A5344" s="1">
        <v>25</v>
      </c>
      <c r="B5344" s="1" t="s">
        <v>82</v>
      </c>
      <c r="C5344" s="1" t="s">
        <v>83</v>
      </c>
      <c r="D5344" s="1">
        <v>1933</v>
      </c>
      <c r="E5344" s="6">
        <v>0</v>
      </c>
      <c r="G5344" s="1">
        <v>0</v>
      </c>
      <c r="H5344" s="1">
        <v>0</v>
      </c>
      <c r="I5344" s="1">
        <v>112.9178</v>
      </c>
      <c r="J5344" s="1">
        <v>6.6699926632428499E-15</v>
      </c>
      <c r="M5344" s="1" t="s">
        <v>677</v>
      </c>
      <c r="N5344" s="1" t="s">
        <v>420</v>
      </c>
      <c r="O5344" s="1" t="s">
        <v>666</v>
      </c>
      <c r="P5344" s="1" t="s">
        <v>421</v>
      </c>
      <c r="Q5344" s="1">
        <v>1</v>
      </c>
      <c r="R5344" s="1" t="s">
        <v>576</v>
      </c>
      <c r="S5344" s="1">
        <v>1</v>
      </c>
      <c r="T5344" s="1">
        <v>1</v>
      </c>
      <c r="U5344" s="1" t="s">
        <v>542</v>
      </c>
      <c r="V5344" s="1">
        <f t="shared" si="91"/>
        <v>0.32</v>
      </c>
      <c r="W5344" s="1">
        <v>0</v>
      </c>
      <c r="X5344" s="39">
        <v>5.7782205670619398</v>
      </c>
      <c r="Y5344" s="1">
        <v>1</v>
      </c>
      <c r="Z5344" s="6">
        <v>0</v>
      </c>
      <c r="AA5344" s="6">
        <v>0</v>
      </c>
    </row>
    <row r="5345" spans="1:27" x14ac:dyDescent="0.2">
      <c r="A5345" s="1">
        <v>25</v>
      </c>
      <c r="B5345" s="1" t="s">
        <v>82</v>
      </c>
      <c r="C5345" s="1" t="s">
        <v>83</v>
      </c>
      <c r="D5345" s="1">
        <v>1934</v>
      </c>
      <c r="E5345" s="6">
        <v>0</v>
      </c>
      <c r="G5345" s="1">
        <v>0</v>
      </c>
      <c r="H5345" s="1">
        <v>0</v>
      </c>
      <c r="I5345" s="1">
        <v>106.66670000000001</v>
      </c>
      <c r="J5345" s="1">
        <v>6.27732942039618E-15</v>
      </c>
      <c r="M5345" s="1" t="s">
        <v>677</v>
      </c>
      <c r="N5345" s="1" t="s">
        <v>420</v>
      </c>
      <c r="O5345" s="1" t="s">
        <v>666</v>
      </c>
      <c r="P5345" s="1" t="s">
        <v>421</v>
      </c>
      <c r="Q5345" s="1">
        <v>1</v>
      </c>
      <c r="R5345" s="1" t="s">
        <v>576</v>
      </c>
      <c r="S5345" s="1">
        <v>1</v>
      </c>
      <c r="T5345" s="1">
        <v>1</v>
      </c>
      <c r="U5345" s="1" t="s">
        <v>542</v>
      </c>
      <c r="V5345" s="1">
        <f t="shared" si="91"/>
        <v>0.32</v>
      </c>
      <c r="W5345" s="1">
        <v>0</v>
      </c>
      <c r="X5345" s="39">
        <v>0.54257710393727931</v>
      </c>
      <c r="Y5345" s="1">
        <v>1</v>
      </c>
      <c r="Z5345" s="6">
        <v>0</v>
      </c>
      <c r="AA5345" s="6">
        <v>0</v>
      </c>
    </row>
    <row r="5346" spans="1:27" x14ac:dyDescent="0.2">
      <c r="A5346" s="1">
        <v>25</v>
      </c>
      <c r="B5346" s="1" t="s">
        <v>82</v>
      </c>
      <c r="C5346" s="1" t="s">
        <v>83</v>
      </c>
      <c r="D5346" s="1">
        <v>1935</v>
      </c>
      <c r="E5346" s="6">
        <v>0</v>
      </c>
      <c r="G5346" s="1">
        <v>0</v>
      </c>
      <c r="H5346" s="1">
        <v>0</v>
      </c>
      <c r="I5346" s="1">
        <v>106.5757</v>
      </c>
      <c r="J5346" s="1">
        <v>6.2608950843727102E-15</v>
      </c>
      <c r="M5346" s="1" t="s">
        <v>677</v>
      </c>
      <c r="N5346" s="1" t="s">
        <v>420</v>
      </c>
      <c r="O5346" s="1" t="s">
        <v>666</v>
      </c>
      <c r="P5346" s="1" t="s">
        <v>421</v>
      </c>
      <c r="Q5346" s="1">
        <v>1</v>
      </c>
      <c r="R5346" s="1" t="s">
        <v>576</v>
      </c>
      <c r="S5346" s="1">
        <v>1</v>
      </c>
      <c r="T5346" s="1">
        <v>1</v>
      </c>
      <c r="U5346" s="1" t="s">
        <v>542</v>
      </c>
      <c r="V5346" s="1">
        <f t="shared" si="91"/>
        <v>0.32</v>
      </c>
      <c r="W5346" s="1">
        <v>0</v>
      </c>
      <c r="X5346" s="39">
        <v>0.20146286667793545</v>
      </c>
      <c r="Y5346" s="1">
        <v>1</v>
      </c>
      <c r="Z5346" s="6">
        <v>0</v>
      </c>
      <c r="AA5346" s="6">
        <v>0</v>
      </c>
    </row>
    <row r="5347" spans="1:27" x14ac:dyDescent="0.2">
      <c r="A5347" s="1">
        <v>25</v>
      </c>
      <c r="B5347" s="1" t="s">
        <v>82</v>
      </c>
      <c r="C5347" s="1" t="s">
        <v>83</v>
      </c>
      <c r="D5347" s="1">
        <v>1936</v>
      </c>
      <c r="E5347" s="6">
        <v>0</v>
      </c>
      <c r="G5347" s="1">
        <v>0</v>
      </c>
      <c r="H5347" s="1">
        <v>0</v>
      </c>
      <c r="I5347" s="1">
        <v>111.44540000000001</v>
      </c>
      <c r="J5347" s="1">
        <v>6.5396918561995601E-15</v>
      </c>
      <c r="M5347" s="1" t="s">
        <v>677</v>
      </c>
      <c r="N5347" s="1" t="s">
        <v>420</v>
      </c>
      <c r="O5347" s="1" t="s">
        <v>666</v>
      </c>
      <c r="P5347" s="1" t="s">
        <v>421</v>
      </c>
      <c r="Q5347" s="1">
        <v>1</v>
      </c>
      <c r="R5347" s="1" t="s">
        <v>576</v>
      </c>
      <c r="S5347" s="1">
        <v>1</v>
      </c>
      <c r="T5347" s="1">
        <v>1</v>
      </c>
      <c r="U5347" s="1" t="s">
        <v>542</v>
      </c>
      <c r="V5347" s="1">
        <f t="shared" si="91"/>
        <v>0.32</v>
      </c>
      <c r="W5347" s="1">
        <v>0</v>
      </c>
      <c r="X5347" s="39">
        <v>5.744915121526029</v>
      </c>
      <c r="Y5347" s="1">
        <v>1</v>
      </c>
      <c r="Z5347" s="6">
        <v>0</v>
      </c>
      <c r="AA5347" s="6">
        <v>0</v>
      </c>
    </row>
    <row r="5348" spans="1:27" x14ac:dyDescent="0.2">
      <c r="A5348" s="1">
        <v>25</v>
      </c>
      <c r="B5348" s="1" t="s">
        <v>82</v>
      </c>
      <c r="C5348" s="1" t="s">
        <v>83</v>
      </c>
      <c r="D5348" s="1">
        <v>1937</v>
      </c>
      <c r="E5348" s="6">
        <v>0</v>
      </c>
      <c r="G5348" s="1">
        <v>0</v>
      </c>
      <c r="H5348" s="1">
        <v>0</v>
      </c>
      <c r="I5348" s="1">
        <v>109.20610000000001</v>
      </c>
      <c r="J5348" s="1">
        <v>6.4234776228906802E-15</v>
      </c>
      <c r="M5348" s="1" t="s">
        <v>677</v>
      </c>
      <c r="N5348" s="1" t="s">
        <v>420</v>
      </c>
      <c r="O5348" s="1" t="s">
        <v>666</v>
      </c>
      <c r="P5348" s="1" t="s">
        <v>421</v>
      </c>
      <c r="Q5348" s="1">
        <v>1</v>
      </c>
      <c r="R5348" s="1" t="s">
        <v>576</v>
      </c>
      <c r="S5348" s="1">
        <v>1</v>
      </c>
      <c r="T5348" s="1">
        <v>1</v>
      </c>
      <c r="U5348" s="1" t="s">
        <v>542</v>
      </c>
      <c r="V5348" s="1">
        <f t="shared" si="91"/>
        <v>0.32</v>
      </c>
      <c r="W5348" s="1">
        <v>0</v>
      </c>
      <c r="X5348" s="39">
        <v>6.3722988379524805</v>
      </c>
      <c r="Y5348" s="1">
        <v>1</v>
      </c>
      <c r="Z5348" s="6">
        <v>0</v>
      </c>
      <c r="AA5348" s="6">
        <v>0</v>
      </c>
    </row>
    <row r="5349" spans="1:27" x14ac:dyDescent="0.2">
      <c r="A5349" s="1">
        <v>25</v>
      </c>
      <c r="B5349" s="1" t="s">
        <v>82</v>
      </c>
      <c r="C5349" s="1" t="s">
        <v>83</v>
      </c>
      <c r="D5349" s="1">
        <v>1938</v>
      </c>
      <c r="E5349" s="6">
        <v>0</v>
      </c>
      <c r="G5349" s="1">
        <v>0</v>
      </c>
      <c r="H5349" s="1">
        <v>0</v>
      </c>
      <c r="I5349" s="1">
        <v>116.8361</v>
      </c>
      <c r="J5349" s="1">
        <v>6.91533382245048E-15</v>
      </c>
      <c r="M5349" s="1" t="s">
        <v>677</v>
      </c>
      <c r="N5349" s="1" t="s">
        <v>420</v>
      </c>
      <c r="O5349" s="1" t="s">
        <v>666</v>
      </c>
      <c r="P5349" s="1" t="s">
        <v>421</v>
      </c>
      <c r="Q5349" s="1">
        <v>1</v>
      </c>
      <c r="R5349" s="1" t="s">
        <v>576</v>
      </c>
      <c r="S5349" s="1">
        <v>1</v>
      </c>
      <c r="T5349" s="1">
        <v>1</v>
      </c>
      <c r="U5349" s="1" t="s">
        <v>542</v>
      </c>
      <c r="V5349" s="1">
        <f t="shared" si="91"/>
        <v>0.32</v>
      </c>
      <c r="W5349" s="1">
        <v>0</v>
      </c>
      <c r="X5349" s="39">
        <v>-0.97673023628957401</v>
      </c>
      <c r="Y5349" s="1">
        <v>1</v>
      </c>
      <c r="Z5349" s="6">
        <v>0</v>
      </c>
      <c r="AA5349" s="6">
        <v>0</v>
      </c>
    </row>
    <row r="5350" spans="1:27" x14ac:dyDescent="0.2">
      <c r="A5350" s="1">
        <v>25</v>
      </c>
      <c r="B5350" s="1" t="s">
        <v>82</v>
      </c>
      <c r="C5350" s="1" t="s">
        <v>83</v>
      </c>
      <c r="D5350" s="1">
        <v>1939</v>
      </c>
      <c r="E5350" s="6">
        <v>0</v>
      </c>
      <c r="G5350" s="1">
        <v>0</v>
      </c>
      <c r="H5350" s="1">
        <v>0</v>
      </c>
      <c r="I5350" s="1">
        <v>139.72329999999999</v>
      </c>
      <c r="J5350" s="1">
        <v>8.3104915627292706E-15</v>
      </c>
      <c r="M5350" s="1" t="s">
        <v>677</v>
      </c>
      <c r="N5350" s="1" t="s">
        <v>420</v>
      </c>
      <c r="O5350" s="1" t="s">
        <v>666</v>
      </c>
      <c r="P5350" s="1" t="s">
        <v>421</v>
      </c>
      <c r="Q5350" s="1">
        <v>1</v>
      </c>
      <c r="R5350" s="1" t="s">
        <v>576</v>
      </c>
      <c r="S5350" s="1">
        <v>1</v>
      </c>
      <c r="T5350" s="1">
        <v>1</v>
      </c>
      <c r="U5350" s="1" t="s">
        <v>542</v>
      </c>
      <c r="V5350" s="1">
        <f t="shared" si="91"/>
        <v>0.32</v>
      </c>
      <c r="W5350" s="1">
        <v>0</v>
      </c>
      <c r="X5350" s="39">
        <v>2.3049645390070967</v>
      </c>
      <c r="Y5350" s="1">
        <v>1</v>
      </c>
      <c r="Z5350" s="6">
        <v>1</v>
      </c>
      <c r="AA5350" s="6">
        <v>0</v>
      </c>
    </row>
    <row r="5351" spans="1:27" x14ac:dyDescent="0.2">
      <c r="A5351" s="1">
        <v>25</v>
      </c>
      <c r="B5351" s="1" t="s">
        <v>82</v>
      </c>
      <c r="C5351" s="1" t="s">
        <v>83</v>
      </c>
      <c r="D5351" s="1">
        <v>1940</v>
      </c>
      <c r="E5351" s="6">
        <v>0</v>
      </c>
      <c r="G5351" s="1">
        <v>0</v>
      </c>
      <c r="H5351" s="1">
        <v>0</v>
      </c>
      <c r="I5351" s="1">
        <v>151.46899999999999</v>
      </c>
      <c r="J5351" s="1">
        <v>8.6462215700660293E-15</v>
      </c>
      <c r="M5351" s="1" t="s">
        <v>677</v>
      </c>
      <c r="N5351" s="1" t="s">
        <v>420</v>
      </c>
      <c r="O5351" s="1" t="s">
        <v>666</v>
      </c>
      <c r="P5351" s="1" t="s">
        <v>421</v>
      </c>
      <c r="Q5351" s="1">
        <v>1</v>
      </c>
      <c r="R5351" s="1" t="s">
        <v>576</v>
      </c>
      <c r="S5351" s="1">
        <v>1</v>
      </c>
      <c r="T5351" s="1">
        <v>1</v>
      </c>
      <c r="U5351" s="1" t="s">
        <v>542</v>
      </c>
      <c r="V5351" s="1">
        <f t="shared" si="91"/>
        <v>0.32</v>
      </c>
      <c r="W5351" s="1">
        <v>1</v>
      </c>
      <c r="X5351" s="39">
        <v>19.237435008665511</v>
      </c>
      <c r="Y5351" s="1">
        <v>1</v>
      </c>
      <c r="Z5351" s="6">
        <v>0</v>
      </c>
      <c r="AA5351" s="6">
        <v>0</v>
      </c>
    </row>
    <row r="5352" spans="1:27" x14ac:dyDescent="0.2">
      <c r="A5352" s="1">
        <v>25</v>
      </c>
      <c r="B5352" s="1" t="s">
        <v>82</v>
      </c>
      <c r="C5352" s="1" t="s">
        <v>83</v>
      </c>
      <c r="D5352" s="1">
        <v>1941</v>
      </c>
      <c r="E5352" s="6">
        <v>0</v>
      </c>
      <c r="G5352" s="1">
        <v>0</v>
      </c>
      <c r="H5352" s="1">
        <v>0</v>
      </c>
      <c r="I5352" s="1">
        <v>3010.8560000000002</v>
      </c>
      <c r="J5352" s="1">
        <v>1.7671958914159899E-13</v>
      </c>
      <c r="M5352" s="1" t="s">
        <v>677</v>
      </c>
      <c r="N5352" s="1" t="s">
        <v>420</v>
      </c>
      <c r="O5352" s="1" t="s">
        <v>666</v>
      </c>
      <c r="P5352" s="1" t="s">
        <v>421</v>
      </c>
      <c r="Q5352" s="1">
        <v>1</v>
      </c>
      <c r="R5352" s="1" t="s">
        <v>577</v>
      </c>
      <c r="S5352" s="1">
        <v>1</v>
      </c>
      <c r="T5352" s="1">
        <v>1</v>
      </c>
      <c r="U5352" s="1" t="s">
        <v>542</v>
      </c>
      <c r="V5352" s="1">
        <f t="shared" si="91"/>
        <v>0.32</v>
      </c>
      <c r="W5352" s="1" t="s">
        <v>5</v>
      </c>
      <c r="X5352" s="39">
        <v>1270.5668604651162</v>
      </c>
      <c r="Y5352" s="1">
        <v>1</v>
      </c>
      <c r="Z5352" s="6">
        <v>1</v>
      </c>
      <c r="AA5352" s="6">
        <v>1</v>
      </c>
    </row>
    <row r="5353" spans="1:27" x14ac:dyDescent="0.2">
      <c r="A5353" s="1">
        <v>25</v>
      </c>
      <c r="B5353" s="1" t="s">
        <v>82</v>
      </c>
      <c r="C5353" s="1" t="s">
        <v>83</v>
      </c>
      <c r="D5353" s="1">
        <v>1942</v>
      </c>
      <c r="E5353" s="6">
        <v>0</v>
      </c>
      <c r="G5353" s="1">
        <v>0</v>
      </c>
      <c r="H5353" s="1">
        <v>0</v>
      </c>
      <c r="I5353" s="1">
        <v>21618.886699999999</v>
      </c>
      <c r="J5353" s="1">
        <v>1.2689003668378599E-12</v>
      </c>
      <c r="M5353" s="1" t="s">
        <v>677</v>
      </c>
      <c r="N5353" s="1" t="s">
        <v>420</v>
      </c>
      <c r="O5353" s="1" t="s">
        <v>666</v>
      </c>
      <c r="P5353" s="1" t="s">
        <v>421</v>
      </c>
      <c r="Q5353" s="1">
        <v>1</v>
      </c>
      <c r="R5353" s="1" t="s">
        <v>577</v>
      </c>
      <c r="S5353" s="1">
        <v>1</v>
      </c>
      <c r="T5353" s="1">
        <v>1</v>
      </c>
      <c r="U5353" s="1" t="s">
        <v>542</v>
      </c>
      <c r="V5353" s="1">
        <f t="shared" si="91"/>
        <v>0.32</v>
      </c>
      <c r="W5353" s="1" t="s">
        <v>5</v>
      </c>
      <c r="X5353" s="39">
        <v>564.11262527175359</v>
      </c>
      <c r="Y5353" s="1">
        <v>1</v>
      </c>
      <c r="Z5353" s="6">
        <v>1</v>
      </c>
      <c r="AA5353" s="6">
        <v>1</v>
      </c>
    </row>
    <row r="5354" spans="1:27" x14ac:dyDescent="0.2">
      <c r="A5354" s="1">
        <v>25</v>
      </c>
      <c r="B5354" s="1" t="s">
        <v>82</v>
      </c>
      <c r="C5354" s="1" t="s">
        <v>83</v>
      </c>
      <c r="D5354" s="1">
        <v>1943</v>
      </c>
      <c r="E5354" s="6">
        <v>0</v>
      </c>
      <c r="G5354" s="1">
        <v>0</v>
      </c>
      <c r="H5354" s="1">
        <v>0</v>
      </c>
      <c r="I5354" s="1">
        <v>222699.32810000001</v>
      </c>
      <c r="J5354" s="1">
        <v>1.3071125458547299E-11</v>
      </c>
      <c r="M5354" s="1" t="s">
        <v>677</v>
      </c>
      <c r="N5354" s="1" t="s">
        <v>420</v>
      </c>
      <c r="O5354" s="1" t="s">
        <v>666</v>
      </c>
      <c r="P5354" s="1" t="s">
        <v>421</v>
      </c>
      <c r="Q5354" s="1">
        <v>1</v>
      </c>
      <c r="R5354" s="1" t="s">
        <v>577</v>
      </c>
      <c r="S5354" s="1">
        <v>1</v>
      </c>
      <c r="T5354" s="1">
        <v>1</v>
      </c>
      <c r="U5354" s="1" t="s">
        <v>542</v>
      </c>
      <c r="V5354" s="1">
        <f t="shared" si="91"/>
        <v>0.32</v>
      </c>
      <c r="W5354" s="1" t="s">
        <v>5</v>
      </c>
      <c r="X5354" s="39">
        <v>936.25533953451236</v>
      </c>
      <c r="Y5354" s="1">
        <v>1</v>
      </c>
      <c r="Z5354" s="6">
        <v>2</v>
      </c>
      <c r="AA5354" s="6">
        <v>1</v>
      </c>
    </row>
    <row r="5355" spans="1:27" x14ac:dyDescent="0.2">
      <c r="A5355" s="1">
        <v>25</v>
      </c>
      <c r="B5355" s="1" t="s">
        <v>82</v>
      </c>
      <c r="C5355" s="1" t="s">
        <v>83</v>
      </c>
      <c r="D5355" s="1">
        <v>1944</v>
      </c>
      <c r="E5355" s="6">
        <v>0</v>
      </c>
      <c r="G5355" s="1">
        <v>0</v>
      </c>
      <c r="H5355" s="1">
        <v>0</v>
      </c>
      <c r="I5355" s="1">
        <v>150</v>
      </c>
      <c r="J5355" s="1">
        <v>4.4020542920029303E-4</v>
      </c>
      <c r="M5355" s="1" t="s">
        <v>677</v>
      </c>
      <c r="N5355" s="1" t="s">
        <v>420</v>
      </c>
      <c r="O5355" s="1" t="s">
        <v>666</v>
      </c>
      <c r="P5355" s="1" t="s">
        <v>421</v>
      </c>
      <c r="Q5355" s="1">
        <v>1</v>
      </c>
      <c r="R5355" s="1" t="s">
        <v>577</v>
      </c>
      <c r="S5355" s="1">
        <v>1</v>
      </c>
      <c r="T5355" s="1">
        <v>1</v>
      </c>
      <c r="U5355" s="1" t="s">
        <v>542</v>
      </c>
      <c r="V5355" s="1">
        <f t="shared" si="91"/>
        <v>0.32</v>
      </c>
      <c r="W5355" s="1" t="s">
        <v>5</v>
      </c>
      <c r="X5355" s="39">
        <v>30211488035.065628</v>
      </c>
      <c r="Y5355" s="1">
        <v>1</v>
      </c>
      <c r="Z5355" s="6">
        <v>1</v>
      </c>
      <c r="AA5355" s="6">
        <v>1</v>
      </c>
    </row>
    <row r="5356" spans="1:27" x14ac:dyDescent="0.2">
      <c r="A5356" s="1">
        <v>25</v>
      </c>
      <c r="B5356" s="1" t="s">
        <v>82</v>
      </c>
      <c r="C5356" s="1" t="s">
        <v>83</v>
      </c>
      <c r="D5356" s="1">
        <v>1945</v>
      </c>
      <c r="E5356" s="6">
        <v>0</v>
      </c>
      <c r="G5356" s="1">
        <v>0</v>
      </c>
      <c r="H5356" s="1">
        <v>0</v>
      </c>
      <c r="I5356" s="1">
        <v>140</v>
      </c>
      <c r="J5356" s="1">
        <v>1.7803873807776999E-2</v>
      </c>
      <c r="M5356" s="1" t="s">
        <v>677</v>
      </c>
      <c r="N5356" s="1" t="s">
        <v>420</v>
      </c>
      <c r="O5356" s="1" t="s">
        <v>666</v>
      </c>
      <c r="P5356" s="1" t="s">
        <v>421</v>
      </c>
      <c r="Q5356" s="1">
        <v>1</v>
      </c>
      <c r="S5356" s="1">
        <v>1</v>
      </c>
      <c r="T5356" s="1">
        <v>1</v>
      </c>
      <c r="U5356" s="1" t="s">
        <v>542</v>
      </c>
      <c r="V5356" s="1">
        <f t="shared" si="91"/>
        <v>0.32</v>
      </c>
      <c r="W5356" s="1" t="s">
        <v>5</v>
      </c>
      <c r="X5356" s="39">
        <v>21.92</v>
      </c>
      <c r="Y5356" s="1">
        <v>1</v>
      </c>
      <c r="Z5356" s="6">
        <v>0</v>
      </c>
      <c r="AA5356" s="6">
        <v>1</v>
      </c>
    </row>
    <row r="5357" spans="1:27" x14ac:dyDescent="0.2">
      <c r="A5357" s="1">
        <v>25</v>
      </c>
      <c r="B5357" s="1" t="s">
        <v>82</v>
      </c>
      <c r="C5357" s="1" t="s">
        <v>83</v>
      </c>
      <c r="D5357" s="1">
        <v>1946</v>
      </c>
      <c r="E5357" s="6">
        <v>0</v>
      </c>
      <c r="G5357" s="1">
        <v>0</v>
      </c>
      <c r="H5357" s="1">
        <v>0</v>
      </c>
      <c r="I5357" s="1">
        <v>5020</v>
      </c>
      <c r="J5357" s="1">
        <v>1.4732208363903199E-2</v>
      </c>
      <c r="M5357" s="1" t="s">
        <v>677</v>
      </c>
      <c r="N5357" s="1" t="s">
        <v>420</v>
      </c>
      <c r="O5357" s="1" t="s">
        <v>666</v>
      </c>
      <c r="P5357" s="1" t="s">
        <v>421</v>
      </c>
      <c r="Q5357" s="1">
        <v>1</v>
      </c>
      <c r="S5357" s="1">
        <v>1</v>
      </c>
      <c r="T5357" s="1">
        <v>1</v>
      </c>
      <c r="U5357" s="1" t="s">
        <v>542</v>
      </c>
      <c r="V5357" s="1">
        <f t="shared" si="91"/>
        <v>0.32</v>
      </c>
      <c r="W5357" s="1" t="s">
        <v>5</v>
      </c>
      <c r="X5357" s="39">
        <v>22.024681029073413</v>
      </c>
      <c r="Y5357" s="1">
        <v>1</v>
      </c>
      <c r="Z5357" s="6">
        <v>1</v>
      </c>
      <c r="AA5357" s="6">
        <v>1</v>
      </c>
    </row>
    <row r="5358" spans="1:27" x14ac:dyDescent="0.2">
      <c r="A5358" s="1">
        <v>25</v>
      </c>
      <c r="B5358" s="1" t="s">
        <v>82</v>
      </c>
      <c r="C5358" s="1" t="s">
        <v>83</v>
      </c>
      <c r="D5358" s="1">
        <v>1947</v>
      </c>
      <c r="E5358" s="6">
        <v>0</v>
      </c>
      <c r="G5358" s="1">
        <v>0</v>
      </c>
      <c r="H5358" s="1">
        <v>0</v>
      </c>
      <c r="I5358" s="1">
        <v>5020</v>
      </c>
      <c r="J5358" s="1">
        <v>1.4732208363903199E-2</v>
      </c>
      <c r="M5358" s="1" t="s">
        <v>677</v>
      </c>
      <c r="N5358" s="1" t="s">
        <v>420</v>
      </c>
      <c r="O5358" s="1" t="s">
        <v>666</v>
      </c>
      <c r="P5358" s="1" t="s">
        <v>421</v>
      </c>
      <c r="Q5358" s="1">
        <v>1</v>
      </c>
      <c r="S5358" s="1">
        <v>1</v>
      </c>
      <c r="T5358" s="1">
        <v>1</v>
      </c>
      <c r="U5358" s="1" t="s">
        <v>542</v>
      </c>
      <c r="V5358" s="1">
        <f t="shared" si="91"/>
        <v>0.32</v>
      </c>
      <c r="W5358" s="1" t="s">
        <v>5</v>
      </c>
      <c r="X5358" s="39">
        <v>48.594446348988676</v>
      </c>
      <c r="Y5358" s="1">
        <v>1</v>
      </c>
      <c r="Z5358" s="6">
        <v>0</v>
      </c>
      <c r="AA5358" s="6">
        <v>1</v>
      </c>
    </row>
    <row r="5359" spans="1:27" x14ac:dyDescent="0.2">
      <c r="A5359" s="1">
        <v>25</v>
      </c>
      <c r="B5359" s="1" t="s">
        <v>82</v>
      </c>
      <c r="C5359" s="1" t="s">
        <v>83</v>
      </c>
      <c r="D5359" s="1">
        <v>1948</v>
      </c>
      <c r="E5359" s="6">
        <v>0</v>
      </c>
      <c r="G5359" s="1">
        <v>0</v>
      </c>
      <c r="H5359" s="1">
        <v>0</v>
      </c>
      <c r="I5359" s="1">
        <v>10000</v>
      </c>
      <c r="J5359" s="1">
        <v>2.93470286133529E-2</v>
      </c>
      <c r="M5359" s="1" t="s">
        <v>677</v>
      </c>
      <c r="N5359" s="1" t="s">
        <v>420</v>
      </c>
      <c r="O5359" s="1" t="s">
        <v>666</v>
      </c>
      <c r="P5359" s="1" t="s">
        <v>421</v>
      </c>
      <c r="Q5359" s="1">
        <v>1</v>
      </c>
      <c r="S5359" s="1">
        <v>1</v>
      </c>
      <c r="T5359" s="1">
        <v>1</v>
      </c>
      <c r="U5359" s="1" t="s">
        <v>542</v>
      </c>
      <c r="V5359" s="1">
        <f t="shared" si="91"/>
        <v>0.32</v>
      </c>
      <c r="W5359" s="1" t="s">
        <v>5</v>
      </c>
      <c r="X5359" s="39">
        <v>22.840004614142341</v>
      </c>
      <c r="Y5359" s="1">
        <v>1</v>
      </c>
      <c r="Z5359" s="6">
        <v>1</v>
      </c>
      <c r="AA5359" s="6">
        <v>1</v>
      </c>
    </row>
    <row r="5360" spans="1:27" x14ac:dyDescent="0.2">
      <c r="A5360" s="1">
        <v>25</v>
      </c>
      <c r="B5360" s="1" t="s">
        <v>82</v>
      </c>
      <c r="C5360" s="1" t="s">
        <v>83</v>
      </c>
      <c r="D5360" s="1">
        <v>1949</v>
      </c>
      <c r="E5360" s="6">
        <v>0</v>
      </c>
      <c r="G5360" s="1">
        <v>0</v>
      </c>
      <c r="H5360" s="1">
        <v>0</v>
      </c>
      <c r="I5360" s="1">
        <v>10000</v>
      </c>
      <c r="J5360" s="1">
        <v>4.4020542920029299E-2</v>
      </c>
      <c r="M5360" s="1" t="s">
        <v>677</v>
      </c>
      <c r="N5360" s="1" t="s">
        <v>420</v>
      </c>
      <c r="O5360" s="1" t="s">
        <v>666</v>
      </c>
      <c r="P5360" s="1" t="s">
        <v>421</v>
      </c>
      <c r="Q5360" s="1">
        <v>1</v>
      </c>
      <c r="S5360" s="1">
        <v>1</v>
      </c>
      <c r="T5360" s="1">
        <v>1</v>
      </c>
      <c r="U5360" s="1" t="s">
        <v>542</v>
      </c>
      <c r="V5360" s="1">
        <f t="shared" si="91"/>
        <v>0.32</v>
      </c>
      <c r="W5360" s="1" t="s">
        <v>5</v>
      </c>
      <c r="X5360" s="39">
        <v>6.6766832566438117</v>
      </c>
      <c r="Y5360" s="1">
        <v>1</v>
      </c>
      <c r="Z5360" s="6">
        <v>0</v>
      </c>
      <c r="AA5360" s="6">
        <v>0</v>
      </c>
    </row>
    <row r="5361" spans="1:27" x14ac:dyDescent="0.2">
      <c r="A5361" s="1">
        <v>25</v>
      </c>
      <c r="B5361" s="1" t="s">
        <v>82</v>
      </c>
      <c r="C5361" s="1" t="s">
        <v>83</v>
      </c>
      <c r="D5361" s="1">
        <v>1950</v>
      </c>
      <c r="E5361" s="6">
        <v>0</v>
      </c>
      <c r="G5361" s="1">
        <v>0</v>
      </c>
      <c r="H5361" s="1">
        <v>0</v>
      </c>
      <c r="I5361" s="1">
        <v>15000</v>
      </c>
      <c r="J5361" s="1">
        <v>4.4020542920029299E-2</v>
      </c>
      <c r="M5361" s="1" t="s">
        <v>677</v>
      </c>
      <c r="N5361" s="1" t="s">
        <v>420</v>
      </c>
      <c r="O5361" s="1" t="s">
        <v>666</v>
      </c>
      <c r="P5361" s="1" t="s">
        <v>421</v>
      </c>
      <c r="Q5361" s="1">
        <v>1</v>
      </c>
      <c r="S5361" s="1">
        <v>1</v>
      </c>
      <c r="T5361" s="1">
        <v>1</v>
      </c>
      <c r="U5361" s="1" t="s">
        <v>542</v>
      </c>
      <c r="V5361" s="1">
        <f t="shared" si="91"/>
        <v>0.32</v>
      </c>
      <c r="W5361" s="1" t="s">
        <v>5</v>
      </c>
      <c r="X5361" s="39">
        <v>14.489436619718319</v>
      </c>
      <c r="Y5361" s="1">
        <v>1</v>
      </c>
      <c r="Z5361" s="6">
        <v>0</v>
      </c>
      <c r="AA5361" s="6">
        <v>0</v>
      </c>
    </row>
    <row r="5362" spans="1:27" x14ac:dyDescent="0.2">
      <c r="A5362" s="1">
        <v>25</v>
      </c>
      <c r="B5362" s="1" t="s">
        <v>82</v>
      </c>
      <c r="C5362" s="1" t="s">
        <v>83</v>
      </c>
      <c r="D5362" s="1">
        <v>1951</v>
      </c>
      <c r="E5362" s="6">
        <v>0</v>
      </c>
      <c r="G5362" s="1">
        <v>0</v>
      </c>
      <c r="H5362" s="1">
        <v>0</v>
      </c>
      <c r="I5362" s="1">
        <v>15000</v>
      </c>
      <c r="J5362" s="1">
        <v>4.4020542920029299E-2</v>
      </c>
      <c r="M5362" s="1" t="s">
        <v>677</v>
      </c>
      <c r="N5362" s="1" t="s">
        <v>420</v>
      </c>
      <c r="O5362" s="1" t="s">
        <v>666</v>
      </c>
      <c r="P5362" s="1" t="s">
        <v>421</v>
      </c>
      <c r="Q5362" s="1">
        <v>1</v>
      </c>
      <c r="S5362" s="1">
        <v>1</v>
      </c>
      <c r="T5362" s="1">
        <v>1</v>
      </c>
      <c r="U5362" s="1" t="s">
        <v>542</v>
      </c>
      <c r="V5362" s="1">
        <f t="shared" si="91"/>
        <v>0.32</v>
      </c>
      <c r="W5362" s="1" t="s">
        <v>5</v>
      </c>
      <c r="X5362" s="39">
        <v>9.8800553590650519</v>
      </c>
      <c r="Y5362" s="1">
        <v>1</v>
      </c>
      <c r="Z5362" s="6">
        <v>0</v>
      </c>
      <c r="AA5362" s="6">
        <v>0</v>
      </c>
    </row>
    <row r="5363" spans="1:27" x14ac:dyDescent="0.2">
      <c r="A5363" s="1">
        <v>25</v>
      </c>
      <c r="B5363" s="1" t="s">
        <v>82</v>
      </c>
      <c r="C5363" s="1" t="s">
        <v>83</v>
      </c>
      <c r="D5363" s="1">
        <v>1952</v>
      </c>
      <c r="E5363" s="6">
        <v>0</v>
      </c>
      <c r="G5363" s="1">
        <v>0</v>
      </c>
      <c r="H5363" s="1">
        <v>0</v>
      </c>
      <c r="I5363" s="1">
        <v>15000</v>
      </c>
      <c r="J5363" s="1">
        <v>4.4020542920029299E-2</v>
      </c>
      <c r="M5363" s="1" t="s">
        <v>677</v>
      </c>
      <c r="N5363" s="1" t="s">
        <v>420</v>
      </c>
      <c r="O5363" s="1" t="s">
        <v>666</v>
      </c>
      <c r="P5363" s="1" t="s">
        <v>421</v>
      </c>
      <c r="Q5363" s="1">
        <v>1</v>
      </c>
      <c r="S5363" s="1">
        <v>1</v>
      </c>
      <c r="T5363" s="1">
        <v>1</v>
      </c>
      <c r="U5363" s="1" t="s">
        <v>542</v>
      </c>
      <c r="V5363" s="1">
        <f t="shared" si="91"/>
        <v>0.32</v>
      </c>
      <c r="W5363" s="1" t="s">
        <v>5</v>
      </c>
      <c r="X5363" s="39">
        <v>0.69274368483661186</v>
      </c>
      <c r="Y5363" s="1">
        <v>1</v>
      </c>
      <c r="Z5363" s="6">
        <v>0</v>
      </c>
      <c r="AA5363" s="6">
        <v>0</v>
      </c>
    </row>
    <row r="5364" spans="1:27" x14ac:dyDescent="0.2">
      <c r="A5364" s="1">
        <v>25</v>
      </c>
      <c r="B5364" s="1" t="s">
        <v>82</v>
      </c>
      <c r="C5364" s="1" t="s">
        <v>83</v>
      </c>
      <c r="D5364" s="1">
        <v>1953</v>
      </c>
      <c r="E5364" s="6">
        <v>0</v>
      </c>
      <c r="G5364" s="1">
        <v>0</v>
      </c>
      <c r="H5364" s="1">
        <v>0</v>
      </c>
      <c r="I5364" s="1">
        <v>15000</v>
      </c>
      <c r="J5364" s="1">
        <v>8.8041085840058694E-2</v>
      </c>
      <c r="M5364" s="1" t="s">
        <v>677</v>
      </c>
      <c r="N5364" s="1" t="s">
        <v>420</v>
      </c>
      <c r="O5364" s="1" t="s">
        <v>666</v>
      </c>
      <c r="P5364" s="1" t="s">
        <v>421</v>
      </c>
      <c r="Q5364" s="1">
        <v>1</v>
      </c>
      <c r="S5364" s="1">
        <v>1</v>
      </c>
      <c r="T5364" s="1">
        <v>1</v>
      </c>
      <c r="U5364" s="1" t="s">
        <v>542</v>
      </c>
      <c r="V5364" s="1">
        <f t="shared" si="91"/>
        <v>0.32</v>
      </c>
      <c r="W5364" s="1">
        <v>0</v>
      </c>
      <c r="X5364" s="39">
        <v>20.687977762334945</v>
      </c>
      <c r="Y5364" s="1">
        <v>1</v>
      </c>
      <c r="Z5364" s="6">
        <v>0</v>
      </c>
      <c r="AA5364" s="6">
        <v>1</v>
      </c>
    </row>
    <row r="5365" spans="1:27" x14ac:dyDescent="0.2">
      <c r="A5365" s="1">
        <v>25</v>
      </c>
      <c r="B5365" s="1" t="s">
        <v>82</v>
      </c>
      <c r="C5365" s="1" t="s">
        <v>83</v>
      </c>
      <c r="D5365" s="1">
        <v>1954</v>
      </c>
      <c r="E5365" s="6">
        <v>0</v>
      </c>
      <c r="G5365" s="1">
        <v>0</v>
      </c>
      <c r="H5365" s="1">
        <v>0</v>
      </c>
      <c r="I5365" s="1">
        <v>30</v>
      </c>
      <c r="J5365" s="1">
        <v>8.8041085840058694E-2</v>
      </c>
      <c r="M5365" s="1" t="s">
        <v>677</v>
      </c>
      <c r="N5365" s="1" t="s">
        <v>420</v>
      </c>
      <c r="O5365" s="1" t="s">
        <v>666</v>
      </c>
      <c r="P5365" s="1" t="s">
        <v>421</v>
      </c>
      <c r="Q5365" s="1">
        <v>1</v>
      </c>
      <c r="S5365" s="1">
        <v>1</v>
      </c>
      <c r="T5365" s="1">
        <v>1</v>
      </c>
      <c r="U5365" s="1" t="s">
        <v>542</v>
      </c>
      <c r="V5365" s="1">
        <f t="shared" si="91"/>
        <v>0.32</v>
      </c>
      <c r="W5365" s="1">
        <v>0</v>
      </c>
      <c r="X5365" s="39">
        <v>7.4278804629469688</v>
      </c>
      <c r="Y5365" s="1">
        <v>1</v>
      </c>
      <c r="Z5365" s="6">
        <v>2</v>
      </c>
      <c r="AA5365" s="6">
        <v>0</v>
      </c>
    </row>
    <row r="5366" spans="1:27" x14ac:dyDescent="0.2">
      <c r="A5366" s="1">
        <v>25</v>
      </c>
      <c r="B5366" s="1" t="s">
        <v>82</v>
      </c>
      <c r="C5366" s="1" t="s">
        <v>83</v>
      </c>
      <c r="D5366" s="1">
        <v>1955</v>
      </c>
      <c r="E5366" s="6">
        <v>0</v>
      </c>
      <c r="G5366" s="1">
        <v>0</v>
      </c>
      <c r="H5366" s="1">
        <v>0</v>
      </c>
      <c r="I5366" s="1">
        <v>30</v>
      </c>
      <c r="J5366" s="1">
        <v>8.8041085840058694E-2</v>
      </c>
      <c r="M5366" s="1" t="s">
        <v>677</v>
      </c>
      <c r="N5366" s="1" t="s">
        <v>420</v>
      </c>
      <c r="O5366" s="1" t="s">
        <v>666</v>
      </c>
      <c r="P5366" s="1" t="s">
        <v>421</v>
      </c>
      <c r="Q5366" s="1">
        <v>1</v>
      </c>
      <c r="S5366" s="1">
        <v>1</v>
      </c>
      <c r="T5366" s="1">
        <v>1</v>
      </c>
      <c r="U5366" s="1" t="s">
        <v>542</v>
      </c>
      <c r="V5366" s="1">
        <f t="shared" si="91"/>
        <v>0.32</v>
      </c>
      <c r="W5366" s="1">
        <v>0</v>
      </c>
      <c r="X5366" s="39">
        <v>5.9548694859838127</v>
      </c>
      <c r="Y5366" s="1">
        <v>1</v>
      </c>
      <c r="Z5366" s="6">
        <v>0</v>
      </c>
      <c r="AA5366" s="6">
        <v>0</v>
      </c>
    </row>
    <row r="5367" spans="1:27" x14ac:dyDescent="0.2">
      <c r="A5367" s="1">
        <v>25</v>
      </c>
      <c r="B5367" s="1" t="s">
        <v>82</v>
      </c>
      <c r="C5367" s="1" t="s">
        <v>83</v>
      </c>
      <c r="D5367" s="1">
        <v>1956</v>
      </c>
      <c r="E5367" s="6">
        <v>0</v>
      </c>
      <c r="G5367" s="1">
        <v>0</v>
      </c>
      <c r="H5367" s="1">
        <v>0</v>
      </c>
      <c r="I5367" s="1">
        <v>30</v>
      </c>
      <c r="J5367" s="1">
        <v>8.8041085840058694E-2</v>
      </c>
      <c r="M5367" s="1" t="s">
        <v>677</v>
      </c>
      <c r="N5367" s="1" t="s">
        <v>420</v>
      </c>
      <c r="O5367" s="1" t="s">
        <v>666</v>
      </c>
      <c r="P5367" s="1" t="s">
        <v>421</v>
      </c>
      <c r="Q5367" s="1">
        <v>0</v>
      </c>
      <c r="S5367" s="1">
        <v>1</v>
      </c>
      <c r="T5367" s="1">
        <v>1</v>
      </c>
      <c r="U5367" s="1" t="s">
        <v>542</v>
      </c>
      <c r="V5367" s="1">
        <f t="shared" si="91"/>
        <v>0.32</v>
      </c>
      <c r="W5367" s="1">
        <v>0</v>
      </c>
      <c r="X5367" s="39">
        <v>0.79927154997976713</v>
      </c>
      <c r="Y5367" s="1">
        <v>1</v>
      </c>
      <c r="Z5367" s="6">
        <v>0</v>
      </c>
      <c r="AA5367" s="6">
        <v>0</v>
      </c>
    </row>
    <row r="5368" spans="1:27" x14ac:dyDescent="0.2">
      <c r="A5368" s="1">
        <v>25</v>
      </c>
      <c r="B5368" s="1" t="s">
        <v>82</v>
      </c>
      <c r="C5368" s="1" t="s">
        <v>83</v>
      </c>
      <c r="D5368" s="1">
        <v>1957</v>
      </c>
      <c r="E5368" s="6">
        <v>0</v>
      </c>
      <c r="G5368" s="1">
        <v>0</v>
      </c>
      <c r="H5368" s="1">
        <v>0</v>
      </c>
      <c r="I5368" s="1">
        <v>30</v>
      </c>
      <c r="J5368" s="1">
        <v>8.8041085840058694E-2</v>
      </c>
      <c r="M5368" s="1" t="s">
        <v>677</v>
      </c>
      <c r="N5368" s="1" t="s">
        <v>420</v>
      </c>
      <c r="O5368" s="1" t="s">
        <v>666</v>
      </c>
      <c r="P5368" s="1" t="s">
        <v>421</v>
      </c>
      <c r="Q5368" s="1">
        <v>0</v>
      </c>
      <c r="S5368" s="1">
        <v>1</v>
      </c>
      <c r="T5368" s="1">
        <v>1</v>
      </c>
      <c r="U5368" s="1" t="s">
        <v>542</v>
      </c>
      <c r="V5368" s="1">
        <f t="shared" si="91"/>
        <v>0.32</v>
      </c>
      <c r="W5368" s="1">
        <v>1</v>
      </c>
      <c r="X5368" s="39">
        <v>3.1165311653116556</v>
      </c>
      <c r="Y5368" s="1">
        <v>1</v>
      </c>
      <c r="Z5368" s="6">
        <v>0</v>
      </c>
      <c r="AA5368" s="6">
        <v>0</v>
      </c>
    </row>
    <row r="5369" spans="1:27" x14ac:dyDescent="0.2">
      <c r="A5369" s="1">
        <v>25</v>
      </c>
      <c r="B5369" s="1" t="s">
        <v>82</v>
      </c>
      <c r="C5369" s="1" t="s">
        <v>83</v>
      </c>
      <c r="D5369" s="1">
        <v>1958</v>
      </c>
      <c r="E5369" s="6">
        <v>0</v>
      </c>
      <c r="G5369" s="1">
        <v>0</v>
      </c>
      <c r="H5369" s="1">
        <v>0</v>
      </c>
      <c r="I5369" s="1">
        <v>30</v>
      </c>
      <c r="J5369" s="1">
        <v>8.8041085840058694E-2</v>
      </c>
      <c r="M5369" s="1" t="s">
        <v>677</v>
      </c>
      <c r="N5369" s="1" t="s">
        <v>420</v>
      </c>
      <c r="O5369" s="1" t="s">
        <v>666</v>
      </c>
      <c r="P5369" s="1" t="s">
        <v>421</v>
      </c>
      <c r="Q5369" s="1">
        <v>0</v>
      </c>
      <c r="S5369" s="1">
        <v>1</v>
      </c>
      <c r="T5369" s="1">
        <v>1</v>
      </c>
      <c r="U5369" s="1" t="s">
        <v>542</v>
      </c>
      <c r="V5369" s="1">
        <f t="shared" si="91"/>
        <v>0.32</v>
      </c>
      <c r="W5369" s="1">
        <v>0</v>
      </c>
      <c r="X5369" s="39">
        <v>1.0561152479680758</v>
      </c>
      <c r="Y5369" s="1">
        <v>1</v>
      </c>
      <c r="Z5369" s="6">
        <v>0</v>
      </c>
      <c r="AA5369" s="6">
        <v>0</v>
      </c>
    </row>
    <row r="5370" spans="1:27" x14ac:dyDescent="0.2">
      <c r="A5370" s="1">
        <v>25</v>
      </c>
      <c r="B5370" s="1" t="s">
        <v>82</v>
      </c>
      <c r="C5370" s="1" t="s">
        <v>83</v>
      </c>
      <c r="D5370" s="1">
        <v>1959</v>
      </c>
      <c r="E5370" s="6">
        <v>0</v>
      </c>
      <c r="G5370" s="1">
        <v>0</v>
      </c>
      <c r="H5370" s="1">
        <v>0</v>
      </c>
      <c r="I5370" s="1">
        <v>30</v>
      </c>
      <c r="J5370" s="1">
        <v>8.8041085840058694E-2</v>
      </c>
      <c r="M5370" s="1" t="s">
        <v>677</v>
      </c>
      <c r="N5370" s="1" t="s">
        <v>420</v>
      </c>
      <c r="O5370" s="1" t="s">
        <v>666</v>
      </c>
      <c r="P5370" s="1" t="s">
        <v>421</v>
      </c>
      <c r="Q5370" s="1">
        <v>0</v>
      </c>
      <c r="S5370" s="1">
        <v>1</v>
      </c>
      <c r="T5370" s="1">
        <v>1</v>
      </c>
      <c r="U5370" s="1" t="s">
        <v>542</v>
      </c>
      <c r="V5370" s="1">
        <f t="shared" si="91"/>
        <v>0.32</v>
      </c>
      <c r="W5370" s="1">
        <v>0</v>
      </c>
      <c r="X5370" s="39">
        <v>2.3261413985744457</v>
      </c>
      <c r="Y5370" s="1">
        <v>1</v>
      </c>
      <c r="Z5370" s="6">
        <v>0</v>
      </c>
      <c r="AA5370" s="6">
        <v>0</v>
      </c>
    </row>
    <row r="5371" spans="1:27" x14ac:dyDescent="0.2">
      <c r="A5371" s="1">
        <v>25</v>
      </c>
      <c r="B5371" s="1" t="s">
        <v>82</v>
      </c>
      <c r="C5371" s="1" t="s">
        <v>83</v>
      </c>
      <c r="D5371" s="1">
        <v>1960</v>
      </c>
      <c r="E5371" s="6">
        <v>0</v>
      </c>
      <c r="G5371" s="1">
        <v>0</v>
      </c>
      <c r="H5371" s="1">
        <v>0</v>
      </c>
      <c r="I5371" s="1">
        <v>30</v>
      </c>
      <c r="J5371" s="1">
        <v>8.8041085840058694E-2</v>
      </c>
      <c r="M5371" s="1" t="s">
        <v>677</v>
      </c>
      <c r="N5371" s="1" t="s">
        <v>420</v>
      </c>
      <c r="O5371" s="1" t="s">
        <v>666</v>
      </c>
      <c r="P5371" s="1" t="s">
        <v>421</v>
      </c>
      <c r="Q5371" s="1">
        <v>0</v>
      </c>
      <c r="S5371" s="1">
        <v>1</v>
      </c>
      <c r="T5371" s="1">
        <v>1</v>
      </c>
      <c r="U5371" s="1" t="s">
        <v>542</v>
      </c>
      <c r="V5371" s="1">
        <f t="shared" si="91"/>
        <v>0.32</v>
      </c>
      <c r="W5371" s="1">
        <v>0</v>
      </c>
      <c r="X5371" s="39">
        <v>3.3557678731115157</v>
      </c>
      <c r="Y5371" s="1">
        <v>1</v>
      </c>
      <c r="Z5371" s="6">
        <v>0</v>
      </c>
      <c r="AA5371" s="6">
        <v>0</v>
      </c>
    </row>
    <row r="5372" spans="1:27" x14ac:dyDescent="0.2">
      <c r="A5372" s="1">
        <v>25</v>
      </c>
      <c r="B5372" s="1" t="s">
        <v>82</v>
      </c>
      <c r="C5372" s="1" t="s">
        <v>83</v>
      </c>
      <c r="D5372" s="1">
        <v>1961</v>
      </c>
      <c r="E5372" s="6">
        <v>0</v>
      </c>
      <c r="G5372" s="1">
        <v>0</v>
      </c>
      <c r="H5372" s="1">
        <v>0</v>
      </c>
      <c r="I5372" s="1">
        <v>30</v>
      </c>
      <c r="J5372" s="1">
        <v>8.8041085840058694E-2</v>
      </c>
      <c r="M5372" s="1" t="s">
        <v>677</v>
      </c>
      <c r="N5372" s="1" t="s">
        <v>420</v>
      </c>
      <c r="O5372" s="1" t="s">
        <v>666</v>
      </c>
      <c r="P5372" s="1" t="s">
        <v>421</v>
      </c>
      <c r="Q5372" s="1">
        <v>0</v>
      </c>
      <c r="S5372" s="1">
        <v>1</v>
      </c>
      <c r="T5372" s="1">
        <v>1</v>
      </c>
      <c r="U5372" s="1" t="s">
        <v>542</v>
      </c>
      <c r="V5372" s="1">
        <f t="shared" si="91"/>
        <v>0.32</v>
      </c>
      <c r="W5372" s="1">
        <v>0</v>
      </c>
      <c r="X5372" s="39">
        <v>0.16164174012785587</v>
      </c>
      <c r="Y5372" s="1">
        <v>1</v>
      </c>
      <c r="Z5372" s="6">
        <v>0</v>
      </c>
      <c r="AA5372" s="6">
        <v>0</v>
      </c>
    </row>
    <row r="5373" spans="1:27" x14ac:dyDescent="0.2">
      <c r="A5373" s="1">
        <v>25</v>
      </c>
      <c r="B5373" s="1" t="s">
        <v>82</v>
      </c>
      <c r="C5373" s="1" t="s">
        <v>83</v>
      </c>
      <c r="D5373" s="1">
        <v>1962</v>
      </c>
      <c r="E5373" s="6">
        <v>0</v>
      </c>
      <c r="G5373" s="1">
        <v>0</v>
      </c>
      <c r="H5373" s="1">
        <v>0</v>
      </c>
      <c r="I5373" s="1">
        <v>30</v>
      </c>
      <c r="J5373" s="1">
        <v>8.8041085840058694E-2</v>
      </c>
      <c r="M5373" s="1" t="s">
        <v>677</v>
      </c>
      <c r="N5373" s="1" t="s">
        <v>420</v>
      </c>
      <c r="O5373" s="1" t="s">
        <v>666</v>
      </c>
      <c r="P5373" s="1" t="s">
        <v>421</v>
      </c>
      <c r="Q5373" s="1">
        <v>0</v>
      </c>
      <c r="S5373" s="1">
        <v>1</v>
      </c>
      <c r="T5373" s="1">
        <v>1</v>
      </c>
      <c r="U5373" s="1" t="s">
        <v>542</v>
      </c>
      <c r="V5373" s="1">
        <f t="shared" si="91"/>
        <v>0.32</v>
      </c>
      <c r="W5373" s="1">
        <v>0</v>
      </c>
      <c r="X5373" s="39">
        <v>1.5687554465642837</v>
      </c>
      <c r="Y5373" s="1">
        <v>1</v>
      </c>
      <c r="Z5373" s="6">
        <v>0</v>
      </c>
      <c r="AA5373" s="6">
        <v>0</v>
      </c>
    </row>
    <row r="5374" spans="1:27" x14ac:dyDescent="0.2">
      <c r="A5374" s="1">
        <v>25</v>
      </c>
      <c r="B5374" s="1" t="s">
        <v>82</v>
      </c>
      <c r="C5374" s="1" t="s">
        <v>83</v>
      </c>
      <c r="D5374" s="1">
        <v>1963</v>
      </c>
      <c r="E5374" s="6">
        <v>0</v>
      </c>
      <c r="G5374" s="1">
        <v>0</v>
      </c>
      <c r="H5374" s="1">
        <v>0</v>
      </c>
      <c r="I5374" s="1">
        <v>30</v>
      </c>
      <c r="J5374" s="1">
        <v>8.8041085840058694E-2</v>
      </c>
      <c r="M5374" s="1" t="s">
        <v>677</v>
      </c>
      <c r="N5374" s="1" t="s">
        <v>420</v>
      </c>
      <c r="O5374" s="1" t="s">
        <v>666</v>
      </c>
      <c r="P5374" s="1" t="s">
        <v>421</v>
      </c>
      <c r="Q5374" s="1">
        <v>0</v>
      </c>
      <c r="S5374" s="1">
        <v>1</v>
      </c>
      <c r="T5374" s="1">
        <v>1</v>
      </c>
      <c r="U5374" s="1" t="s">
        <v>542</v>
      </c>
      <c r="V5374" s="1">
        <f t="shared" si="91"/>
        <v>0.32</v>
      </c>
      <c r="W5374" s="1">
        <v>0</v>
      </c>
      <c r="X5374" s="39">
        <v>1.734181097254079</v>
      </c>
      <c r="Y5374" s="1">
        <v>1</v>
      </c>
      <c r="Z5374" s="6">
        <v>0</v>
      </c>
      <c r="AA5374" s="6">
        <v>0</v>
      </c>
    </row>
    <row r="5375" spans="1:27" x14ac:dyDescent="0.2">
      <c r="A5375" s="1">
        <v>25</v>
      </c>
      <c r="B5375" s="1" t="s">
        <v>82</v>
      </c>
      <c r="C5375" s="1" t="s">
        <v>83</v>
      </c>
      <c r="D5375" s="1">
        <v>1964</v>
      </c>
      <c r="E5375" s="6">
        <v>0</v>
      </c>
      <c r="G5375" s="1">
        <v>0</v>
      </c>
      <c r="H5375" s="1">
        <v>0</v>
      </c>
      <c r="I5375" s="1">
        <v>30</v>
      </c>
      <c r="J5375" s="1">
        <v>8.8041085840058694E-2</v>
      </c>
      <c r="M5375" s="1" t="s">
        <v>677</v>
      </c>
      <c r="N5375" s="1" t="s">
        <v>420</v>
      </c>
      <c r="O5375" s="1" t="s">
        <v>666</v>
      </c>
      <c r="P5375" s="1" t="s">
        <v>421</v>
      </c>
      <c r="Q5375" s="1">
        <v>0</v>
      </c>
      <c r="S5375" s="1">
        <v>1</v>
      </c>
      <c r="T5375" s="1">
        <v>1</v>
      </c>
      <c r="U5375" s="1" t="s">
        <v>542</v>
      </c>
      <c r="V5375" s="1">
        <f t="shared" si="91"/>
        <v>0.32</v>
      </c>
      <c r="W5375" s="1">
        <v>0</v>
      </c>
      <c r="X5375" s="39">
        <v>2.8315711102351453</v>
      </c>
      <c r="Y5375" s="1">
        <v>1</v>
      </c>
      <c r="Z5375" s="6">
        <v>0</v>
      </c>
      <c r="AA5375" s="6">
        <v>0</v>
      </c>
    </row>
    <row r="5376" spans="1:27" x14ac:dyDescent="0.2">
      <c r="A5376" s="1">
        <v>25</v>
      </c>
      <c r="B5376" s="1" t="s">
        <v>82</v>
      </c>
      <c r="C5376" s="1" t="s">
        <v>83</v>
      </c>
      <c r="D5376" s="1">
        <v>1965</v>
      </c>
      <c r="E5376" s="6">
        <v>0</v>
      </c>
      <c r="G5376" s="1">
        <v>0</v>
      </c>
      <c r="H5376" s="1">
        <v>0</v>
      </c>
      <c r="I5376" s="1">
        <v>30</v>
      </c>
      <c r="J5376" s="1">
        <v>8.8041085840058694E-2</v>
      </c>
      <c r="M5376" s="1" t="s">
        <v>677</v>
      </c>
      <c r="N5376" s="1" t="s">
        <v>420</v>
      </c>
      <c r="O5376" s="1" t="s">
        <v>666</v>
      </c>
      <c r="P5376" s="1" t="s">
        <v>421</v>
      </c>
      <c r="Q5376" s="1">
        <v>0</v>
      </c>
      <c r="S5376" s="1">
        <v>0</v>
      </c>
      <c r="T5376" s="1">
        <v>0</v>
      </c>
      <c r="V5376" s="1">
        <f t="shared" si="91"/>
        <v>0</v>
      </c>
      <c r="W5376" s="1">
        <v>0</v>
      </c>
      <c r="X5376" s="39">
        <v>4.5159230159607784</v>
      </c>
      <c r="Y5376" s="1">
        <v>1</v>
      </c>
      <c r="Z5376" s="6">
        <v>0</v>
      </c>
      <c r="AA5376" s="6">
        <v>0</v>
      </c>
    </row>
    <row r="5377" spans="1:27" x14ac:dyDescent="0.2">
      <c r="A5377" s="1">
        <v>25</v>
      </c>
      <c r="B5377" s="1" t="s">
        <v>82</v>
      </c>
      <c r="C5377" s="1" t="s">
        <v>83</v>
      </c>
      <c r="D5377" s="1">
        <v>1966</v>
      </c>
      <c r="E5377" s="6">
        <v>0</v>
      </c>
      <c r="G5377" s="1">
        <v>0</v>
      </c>
      <c r="H5377" s="1">
        <v>0</v>
      </c>
      <c r="I5377" s="1">
        <v>30</v>
      </c>
      <c r="J5377" s="1">
        <v>8.8041085840058694E-2</v>
      </c>
      <c r="M5377" s="1" t="s">
        <v>677</v>
      </c>
      <c r="N5377" s="1" t="s">
        <v>420</v>
      </c>
      <c r="O5377" s="1" t="s">
        <v>666</v>
      </c>
      <c r="P5377" s="1" t="s">
        <v>421</v>
      </c>
      <c r="Q5377" s="1">
        <v>0</v>
      </c>
      <c r="S5377" s="1">
        <v>0</v>
      </c>
      <c r="T5377" s="1">
        <v>0</v>
      </c>
      <c r="V5377" s="1">
        <f t="shared" si="91"/>
        <v>0</v>
      </c>
      <c r="W5377" s="1">
        <v>0</v>
      </c>
      <c r="X5377" s="39">
        <v>4.4082629281747892</v>
      </c>
      <c r="Y5377" s="1">
        <v>1</v>
      </c>
      <c r="Z5377" s="6">
        <v>0</v>
      </c>
      <c r="AA5377" s="6">
        <v>0</v>
      </c>
    </row>
    <row r="5378" spans="1:27" x14ac:dyDescent="0.2">
      <c r="A5378" s="1">
        <v>25</v>
      </c>
      <c r="B5378" s="1" t="s">
        <v>82</v>
      </c>
      <c r="C5378" s="1" t="s">
        <v>83</v>
      </c>
      <c r="D5378" s="1">
        <v>1967</v>
      </c>
      <c r="E5378" s="6">
        <v>0</v>
      </c>
      <c r="G5378" s="1">
        <v>0</v>
      </c>
      <c r="H5378" s="1">
        <v>0</v>
      </c>
      <c r="I5378" s="1">
        <v>30</v>
      </c>
      <c r="J5378" s="1">
        <v>8.8041085840058694E-2</v>
      </c>
      <c r="M5378" s="1" t="s">
        <v>677</v>
      </c>
      <c r="N5378" s="1" t="s">
        <v>420</v>
      </c>
      <c r="O5378" s="1" t="s">
        <v>666</v>
      </c>
      <c r="P5378" s="1" t="s">
        <v>421</v>
      </c>
      <c r="Q5378" s="1">
        <v>0</v>
      </c>
      <c r="S5378" s="1">
        <v>0</v>
      </c>
      <c r="T5378" s="1">
        <v>0</v>
      </c>
      <c r="V5378" s="1">
        <f t="shared" si="91"/>
        <v>0</v>
      </c>
      <c r="W5378" s="1">
        <v>0</v>
      </c>
      <c r="X5378" s="39">
        <v>0.78612172769315825</v>
      </c>
      <c r="Y5378" s="1">
        <v>1</v>
      </c>
      <c r="Z5378" s="6">
        <v>0</v>
      </c>
      <c r="AA5378" s="6">
        <v>0</v>
      </c>
    </row>
    <row r="5379" spans="1:27" x14ac:dyDescent="0.2">
      <c r="A5379" s="1">
        <v>25</v>
      </c>
      <c r="B5379" s="1" t="s">
        <v>82</v>
      </c>
      <c r="C5379" s="1" t="s">
        <v>83</v>
      </c>
      <c r="D5379" s="1">
        <v>1968</v>
      </c>
      <c r="E5379" s="6">
        <v>0</v>
      </c>
      <c r="G5379" s="1">
        <v>0</v>
      </c>
      <c r="H5379" s="1">
        <v>0</v>
      </c>
      <c r="I5379" s="1">
        <v>30</v>
      </c>
      <c r="J5379" s="1">
        <v>8.8041085840058694E-2</v>
      </c>
      <c r="M5379" s="1" t="s">
        <v>677</v>
      </c>
      <c r="N5379" s="1" t="s">
        <v>420</v>
      </c>
      <c r="O5379" s="1" t="s">
        <v>666</v>
      </c>
      <c r="P5379" s="1" t="s">
        <v>421</v>
      </c>
      <c r="Q5379" s="1">
        <v>0</v>
      </c>
      <c r="S5379" s="1">
        <v>0</v>
      </c>
      <c r="T5379" s="1">
        <v>0</v>
      </c>
      <c r="V5379" s="1">
        <f t="shared" si="91"/>
        <v>0</v>
      </c>
      <c r="W5379" s="1">
        <v>0</v>
      </c>
      <c r="X5379" s="39">
        <v>2.6255175153530508</v>
      </c>
      <c r="Y5379" s="1">
        <v>1</v>
      </c>
      <c r="Z5379" s="6">
        <v>0</v>
      </c>
      <c r="AA5379" s="6">
        <v>0</v>
      </c>
    </row>
    <row r="5380" spans="1:27" x14ac:dyDescent="0.2">
      <c r="A5380" s="1">
        <v>25</v>
      </c>
      <c r="B5380" s="1" t="s">
        <v>82</v>
      </c>
      <c r="C5380" s="1" t="s">
        <v>83</v>
      </c>
      <c r="D5380" s="1">
        <v>1969</v>
      </c>
      <c r="E5380" s="6">
        <v>0</v>
      </c>
      <c r="G5380" s="1">
        <v>0</v>
      </c>
      <c r="H5380" s="1">
        <v>0</v>
      </c>
      <c r="I5380" s="1">
        <v>30</v>
      </c>
      <c r="J5380" s="1">
        <v>8.8041085840058694E-2</v>
      </c>
      <c r="M5380" s="1" t="s">
        <v>677</v>
      </c>
      <c r="N5380" s="1" t="s">
        <v>420</v>
      </c>
      <c r="O5380" s="1" t="s">
        <v>666</v>
      </c>
      <c r="P5380" s="1" t="s">
        <v>421</v>
      </c>
      <c r="Q5380" s="1">
        <v>0</v>
      </c>
      <c r="S5380" s="1">
        <v>0</v>
      </c>
      <c r="T5380" s="1">
        <v>0</v>
      </c>
      <c r="V5380" s="1">
        <f t="shared" si="91"/>
        <v>0</v>
      </c>
      <c r="W5380" s="1">
        <v>0</v>
      </c>
      <c r="X5380" s="39">
        <v>2.9889234736215426</v>
      </c>
      <c r="Y5380" s="1">
        <v>1</v>
      </c>
      <c r="Z5380" s="6">
        <v>0</v>
      </c>
      <c r="AA5380" s="6">
        <v>0</v>
      </c>
    </row>
    <row r="5381" spans="1:27" x14ac:dyDescent="0.2">
      <c r="A5381" s="1">
        <v>25</v>
      </c>
      <c r="B5381" s="1" t="s">
        <v>82</v>
      </c>
      <c r="C5381" s="1" t="s">
        <v>83</v>
      </c>
      <c r="D5381" s="1">
        <v>1970</v>
      </c>
      <c r="E5381" s="6">
        <v>0</v>
      </c>
      <c r="G5381" s="1">
        <v>0</v>
      </c>
      <c r="H5381" s="1">
        <v>0</v>
      </c>
      <c r="I5381" s="1">
        <v>30</v>
      </c>
      <c r="J5381" s="1">
        <v>8.8041085840058694E-2</v>
      </c>
      <c r="M5381" s="1" t="s">
        <v>677</v>
      </c>
      <c r="N5381" s="1" t="s">
        <v>420</v>
      </c>
      <c r="O5381" s="1" t="s">
        <v>666</v>
      </c>
      <c r="P5381" s="1" t="s">
        <v>421</v>
      </c>
      <c r="Q5381" s="1">
        <v>0</v>
      </c>
      <c r="S5381" s="1">
        <v>0</v>
      </c>
      <c r="T5381" s="1">
        <v>0</v>
      </c>
      <c r="V5381" s="1">
        <f t="shared" si="91"/>
        <v>0</v>
      </c>
      <c r="W5381" s="1">
        <v>0</v>
      </c>
      <c r="X5381" s="39">
        <v>3.8375609408901692</v>
      </c>
      <c r="Y5381" s="1">
        <v>1</v>
      </c>
      <c r="Z5381" s="6">
        <v>0</v>
      </c>
      <c r="AA5381" s="6">
        <v>0</v>
      </c>
    </row>
    <row r="5382" spans="1:27" x14ac:dyDescent="0.2">
      <c r="A5382" s="1">
        <v>25</v>
      </c>
      <c r="B5382" s="1" t="s">
        <v>82</v>
      </c>
      <c r="C5382" s="1" t="s">
        <v>83</v>
      </c>
      <c r="D5382" s="1">
        <v>1971</v>
      </c>
      <c r="E5382" s="6">
        <v>0</v>
      </c>
      <c r="G5382" s="1">
        <v>0</v>
      </c>
      <c r="H5382" s="1">
        <v>0</v>
      </c>
      <c r="I5382" s="1">
        <v>30</v>
      </c>
      <c r="J5382" s="1">
        <v>8.8041085840058694E-2</v>
      </c>
      <c r="M5382" s="1" t="s">
        <v>677</v>
      </c>
      <c r="N5382" s="1" t="s">
        <v>420</v>
      </c>
      <c r="O5382" s="1" t="s">
        <v>666</v>
      </c>
      <c r="P5382" s="1" t="s">
        <v>421</v>
      </c>
      <c r="Q5382" s="1">
        <v>0</v>
      </c>
      <c r="S5382" s="1">
        <v>0</v>
      </c>
      <c r="T5382" s="1">
        <v>0</v>
      </c>
      <c r="V5382" s="1">
        <f t="shared" si="91"/>
        <v>0</v>
      </c>
      <c r="W5382" s="1">
        <v>0</v>
      </c>
      <c r="X5382" s="39">
        <v>3.6145870617745914</v>
      </c>
      <c r="Y5382" s="1">
        <v>1</v>
      </c>
      <c r="Z5382" s="6">
        <v>0</v>
      </c>
      <c r="AA5382" s="6">
        <v>0</v>
      </c>
    </row>
    <row r="5383" spans="1:27" x14ac:dyDescent="0.2">
      <c r="A5383" s="1">
        <v>25</v>
      </c>
      <c r="B5383" s="1" t="s">
        <v>82</v>
      </c>
      <c r="C5383" s="1" t="s">
        <v>83</v>
      </c>
      <c r="D5383" s="1">
        <v>1972</v>
      </c>
      <c r="E5383" s="6">
        <v>0</v>
      </c>
      <c r="G5383" s="1">
        <v>0</v>
      </c>
      <c r="H5383" s="1">
        <v>0</v>
      </c>
      <c r="I5383" s="1">
        <v>30</v>
      </c>
      <c r="J5383" s="1">
        <v>8.8041085840058694E-2</v>
      </c>
      <c r="M5383" s="1" t="s">
        <v>677</v>
      </c>
      <c r="N5383" s="1" t="s">
        <v>420</v>
      </c>
      <c r="O5383" s="1" t="s">
        <v>666</v>
      </c>
      <c r="P5383" s="1" t="s">
        <v>421</v>
      </c>
      <c r="Q5383" s="1">
        <v>0</v>
      </c>
      <c r="S5383" s="1">
        <v>0</v>
      </c>
      <c r="T5383" s="1">
        <v>0</v>
      </c>
      <c r="V5383" s="1">
        <f t="shared" si="91"/>
        <v>0</v>
      </c>
      <c r="W5383" s="1">
        <v>0</v>
      </c>
      <c r="X5383" s="39">
        <v>5.9877645569325191</v>
      </c>
      <c r="Y5383" s="1">
        <v>1</v>
      </c>
      <c r="Z5383" s="6">
        <v>0</v>
      </c>
      <c r="AA5383" s="6">
        <v>0</v>
      </c>
    </row>
    <row r="5384" spans="1:27" x14ac:dyDescent="0.2">
      <c r="A5384" s="1">
        <v>25</v>
      </c>
      <c r="B5384" s="1" t="s">
        <v>82</v>
      </c>
      <c r="C5384" s="1" t="s">
        <v>83</v>
      </c>
      <c r="D5384" s="1">
        <v>1973</v>
      </c>
      <c r="E5384" s="6">
        <v>0</v>
      </c>
      <c r="G5384" s="1">
        <v>0</v>
      </c>
      <c r="H5384" s="1">
        <v>0</v>
      </c>
      <c r="I5384" s="1">
        <v>30</v>
      </c>
      <c r="J5384" s="1">
        <v>8.8041085840058694E-2</v>
      </c>
      <c r="M5384" s="1" t="s">
        <v>677</v>
      </c>
      <c r="N5384" s="1" t="s">
        <v>420</v>
      </c>
      <c r="O5384" s="1" t="s">
        <v>666</v>
      </c>
      <c r="P5384" s="1" t="s">
        <v>421</v>
      </c>
      <c r="Q5384" s="1">
        <v>0</v>
      </c>
      <c r="S5384" s="1">
        <v>0</v>
      </c>
      <c r="T5384" s="1">
        <v>0</v>
      </c>
      <c r="V5384" s="1">
        <f t="shared" si="91"/>
        <v>0</v>
      </c>
      <c r="W5384" s="1">
        <v>0</v>
      </c>
      <c r="X5384" s="39">
        <v>18.786643617121999</v>
      </c>
      <c r="Y5384" s="1">
        <v>1</v>
      </c>
      <c r="Z5384" s="6">
        <v>0</v>
      </c>
      <c r="AA5384" s="6">
        <v>0</v>
      </c>
    </row>
    <row r="5385" spans="1:27" x14ac:dyDescent="0.2">
      <c r="A5385" s="1">
        <v>25</v>
      </c>
      <c r="B5385" s="1" t="s">
        <v>82</v>
      </c>
      <c r="C5385" s="1" t="s">
        <v>83</v>
      </c>
      <c r="D5385" s="1">
        <v>1974</v>
      </c>
      <c r="E5385" s="6">
        <v>0</v>
      </c>
      <c r="G5385" s="1">
        <v>0</v>
      </c>
      <c r="H5385" s="1">
        <v>0</v>
      </c>
      <c r="I5385" s="1">
        <v>30</v>
      </c>
      <c r="J5385" s="1">
        <v>8.8041085840058694E-2</v>
      </c>
      <c r="M5385" s="1" t="s">
        <v>677</v>
      </c>
      <c r="N5385" s="1" t="s">
        <v>420</v>
      </c>
      <c r="O5385" s="1" t="s">
        <v>666</v>
      </c>
      <c r="P5385" s="1" t="s">
        <v>421</v>
      </c>
      <c r="Q5385" s="1">
        <v>0</v>
      </c>
      <c r="S5385" s="1">
        <v>0</v>
      </c>
      <c r="T5385" s="1">
        <v>0</v>
      </c>
      <c r="V5385" s="1">
        <f t="shared" si="91"/>
        <v>0</v>
      </c>
      <c r="W5385" s="1">
        <v>0</v>
      </c>
      <c r="X5385" s="39">
        <v>13.065390923643754</v>
      </c>
      <c r="Y5385" s="1">
        <v>1</v>
      </c>
      <c r="Z5385" s="6">
        <v>0</v>
      </c>
      <c r="AA5385" s="6">
        <v>0</v>
      </c>
    </row>
    <row r="5386" spans="1:27" x14ac:dyDescent="0.2">
      <c r="A5386" s="1">
        <v>25</v>
      </c>
      <c r="B5386" s="1" t="s">
        <v>82</v>
      </c>
      <c r="C5386" s="1" t="s">
        <v>83</v>
      </c>
      <c r="D5386" s="1">
        <v>1975</v>
      </c>
      <c r="E5386" s="6">
        <v>0</v>
      </c>
      <c r="G5386" s="1">
        <v>0</v>
      </c>
      <c r="H5386" s="1">
        <v>0</v>
      </c>
      <c r="I5386" s="1">
        <v>30</v>
      </c>
      <c r="J5386" s="1">
        <v>8.8041085840058694E-2</v>
      </c>
      <c r="M5386" s="1" t="s">
        <v>677</v>
      </c>
      <c r="N5386" s="1" t="s">
        <v>420</v>
      </c>
      <c r="O5386" s="1" t="s">
        <v>666</v>
      </c>
      <c r="P5386" s="1" t="s">
        <v>421</v>
      </c>
      <c r="Q5386" s="1">
        <v>0</v>
      </c>
      <c r="S5386" s="1">
        <v>0</v>
      </c>
      <c r="T5386" s="1">
        <v>0</v>
      </c>
      <c r="V5386" s="1">
        <f t="shared" si="91"/>
        <v>0</v>
      </c>
      <c r="W5386" s="1">
        <v>0</v>
      </c>
      <c r="X5386" s="39">
        <v>14.253661673445219</v>
      </c>
      <c r="Y5386" s="1">
        <v>1</v>
      </c>
      <c r="Z5386" s="6">
        <v>0</v>
      </c>
      <c r="AA5386" s="6">
        <v>0</v>
      </c>
    </row>
    <row r="5387" spans="1:27" x14ac:dyDescent="0.2">
      <c r="A5387" s="1">
        <v>25</v>
      </c>
      <c r="B5387" s="1" t="s">
        <v>82</v>
      </c>
      <c r="C5387" s="1" t="s">
        <v>83</v>
      </c>
      <c r="D5387" s="1">
        <v>1976</v>
      </c>
      <c r="E5387" s="6">
        <v>0</v>
      </c>
      <c r="G5387" s="1">
        <v>0</v>
      </c>
      <c r="H5387" s="1">
        <v>0</v>
      </c>
      <c r="I5387" s="1">
        <v>39</v>
      </c>
      <c r="J5387" s="1">
        <v>0.108877476155539</v>
      </c>
      <c r="M5387" s="1" t="s">
        <v>677</v>
      </c>
      <c r="N5387" s="1" t="s">
        <v>420</v>
      </c>
      <c r="O5387" s="1" t="s">
        <v>666</v>
      </c>
      <c r="P5387" s="1" t="s">
        <v>421</v>
      </c>
      <c r="Q5387" s="1">
        <v>0</v>
      </c>
      <c r="S5387" s="1">
        <v>0</v>
      </c>
      <c r="T5387" s="1">
        <v>0</v>
      </c>
      <c r="V5387" s="1">
        <f t="shared" si="91"/>
        <v>0</v>
      </c>
      <c r="W5387" s="1">
        <v>0</v>
      </c>
      <c r="X5387" s="39">
        <v>10.465680698363936</v>
      </c>
      <c r="Y5387" s="1">
        <v>1</v>
      </c>
      <c r="Z5387" s="6">
        <v>1</v>
      </c>
      <c r="AA5387" s="6">
        <v>0</v>
      </c>
    </row>
    <row r="5388" spans="1:27" x14ac:dyDescent="0.2">
      <c r="A5388" s="1">
        <v>25</v>
      </c>
      <c r="B5388" s="1" t="s">
        <v>82</v>
      </c>
      <c r="C5388" s="1" t="s">
        <v>83</v>
      </c>
      <c r="D5388" s="1">
        <v>1977</v>
      </c>
      <c r="E5388" s="6">
        <v>0</v>
      </c>
      <c r="G5388" s="1">
        <v>0</v>
      </c>
      <c r="H5388" s="1">
        <v>0</v>
      </c>
      <c r="I5388" s="1">
        <v>39.799999999999997</v>
      </c>
      <c r="J5388" s="1">
        <v>0.105179750550257</v>
      </c>
      <c r="M5388" s="1" t="s">
        <v>677</v>
      </c>
      <c r="N5388" s="1" t="s">
        <v>420</v>
      </c>
      <c r="O5388" s="1" t="s">
        <v>666</v>
      </c>
      <c r="P5388" s="1" t="s">
        <v>421</v>
      </c>
      <c r="Q5388" s="1">
        <v>0</v>
      </c>
      <c r="S5388" s="1">
        <v>0</v>
      </c>
      <c r="T5388" s="1">
        <v>0</v>
      </c>
      <c r="V5388" s="1">
        <f t="shared" si="91"/>
        <v>0</v>
      </c>
      <c r="W5388" s="1">
        <v>0</v>
      </c>
      <c r="X5388" s="39">
        <v>9.9234665478362167</v>
      </c>
      <c r="Y5388" s="1">
        <v>1</v>
      </c>
      <c r="Z5388" s="6">
        <v>0</v>
      </c>
      <c r="AA5388" s="6">
        <v>0</v>
      </c>
    </row>
    <row r="5389" spans="1:27" x14ac:dyDescent="0.2">
      <c r="A5389" s="1">
        <v>25</v>
      </c>
      <c r="B5389" s="1" t="s">
        <v>82</v>
      </c>
      <c r="C5389" s="1" t="s">
        <v>83</v>
      </c>
      <c r="D5389" s="1">
        <v>1978</v>
      </c>
      <c r="E5389" s="6">
        <v>0</v>
      </c>
      <c r="G5389" s="1">
        <v>0</v>
      </c>
      <c r="H5389" s="1">
        <v>0</v>
      </c>
      <c r="I5389" s="1">
        <v>36.005000000000003</v>
      </c>
      <c r="J5389" s="1">
        <v>0.10236243580337499</v>
      </c>
      <c r="M5389" s="1" t="s">
        <v>677</v>
      </c>
      <c r="N5389" s="1" t="s">
        <v>420</v>
      </c>
      <c r="O5389" s="1" t="s">
        <v>666</v>
      </c>
      <c r="P5389" s="1" t="s">
        <v>421</v>
      </c>
      <c r="Q5389" s="1">
        <v>0</v>
      </c>
      <c r="S5389" s="1">
        <v>0</v>
      </c>
      <c r="T5389" s="1">
        <v>0</v>
      </c>
      <c r="V5389" s="1">
        <f t="shared" si="91"/>
        <v>0</v>
      </c>
      <c r="W5389" s="1">
        <v>0</v>
      </c>
      <c r="X5389" s="39">
        <v>7.9978398212245825</v>
      </c>
      <c r="Y5389" s="1">
        <v>1</v>
      </c>
      <c r="Z5389" s="6">
        <v>0</v>
      </c>
      <c r="AA5389" s="6">
        <v>0</v>
      </c>
    </row>
    <row r="5390" spans="1:27" x14ac:dyDescent="0.2">
      <c r="A5390" s="1">
        <v>25</v>
      </c>
      <c r="B5390" s="1" t="s">
        <v>82</v>
      </c>
      <c r="C5390" s="1" t="s">
        <v>83</v>
      </c>
      <c r="D5390" s="1">
        <v>1979</v>
      </c>
      <c r="E5390" s="6">
        <v>0</v>
      </c>
      <c r="G5390" s="1">
        <v>0</v>
      </c>
      <c r="H5390" s="1">
        <v>0</v>
      </c>
      <c r="I5390" s="1">
        <v>38.283000000000001</v>
      </c>
      <c r="J5390" s="1">
        <v>0.105091709464417</v>
      </c>
      <c r="M5390" s="1" t="s">
        <v>677</v>
      </c>
      <c r="N5390" s="1" t="s">
        <v>420</v>
      </c>
      <c r="O5390" s="1" t="s">
        <v>666</v>
      </c>
      <c r="P5390" s="1" t="s">
        <v>421</v>
      </c>
      <c r="Q5390" s="1">
        <v>0</v>
      </c>
      <c r="S5390" s="1">
        <v>0</v>
      </c>
      <c r="T5390" s="1">
        <v>0</v>
      </c>
      <c r="V5390" s="1">
        <f t="shared" si="91"/>
        <v>0</v>
      </c>
      <c r="W5390" s="1">
        <v>1</v>
      </c>
      <c r="X5390" s="39">
        <v>14.610464086352746</v>
      </c>
      <c r="Y5390" s="1">
        <v>1</v>
      </c>
      <c r="Z5390" s="6">
        <v>0</v>
      </c>
      <c r="AA5390" s="6">
        <v>0</v>
      </c>
    </row>
    <row r="5391" spans="1:27" x14ac:dyDescent="0.2">
      <c r="A5391" s="1">
        <v>25</v>
      </c>
      <c r="B5391" s="1" t="s">
        <v>82</v>
      </c>
      <c r="C5391" s="1" t="s">
        <v>83</v>
      </c>
      <c r="D5391" s="1">
        <v>1980</v>
      </c>
      <c r="E5391" s="6">
        <v>0</v>
      </c>
      <c r="G5391" s="1">
        <v>0</v>
      </c>
      <c r="H5391" s="1">
        <v>0</v>
      </c>
      <c r="I5391" s="1">
        <v>46.534999999999997</v>
      </c>
      <c r="J5391" s="1">
        <v>0.13813646368305199</v>
      </c>
      <c r="M5391" s="1" t="s">
        <v>677</v>
      </c>
      <c r="N5391" s="1" t="s">
        <v>420</v>
      </c>
      <c r="O5391" s="1" t="s">
        <v>666</v>
      </c>
      <c r="P5391" s="1" t="s">
        <v>421</v>
      </c>
      <c r="Q5391" s="1">
        <v>0</v>
      </c>
      <c r="S5391" s="1">
        <v>0</v>
      </c>
      <c r="T5391" s="1">
        <v>0</v>
      </c>
      <c r="V5391" s="1">
        <f t="shared" si="91"/>
        <v>0</v>
      </c>
      <c r="W5391" s="1">
        <v>1</v>
      </c>
      <c r="X5391" s="39">
        <v>24.667999999999999</v>
      </c>
      <c r="Y5391" s="1">
        <v>1</v>
      </c>
      <c r="Z5391" s="6">
        <v>1</v>
      </c>
      <c r="AA5391" s="6">
        <v>0</v>
      </c>
    </row>
    <row r="5392" spans="1:27" x14ac:dyDescent="0.2">
      <c r="A5392" s="1">
        <v>25</v>
      </c>
      <c r="B5392" s="1" t="s">
        <v>82</v>
      </c>
      <c r="C5392" s="1" t="s">
        <v>83</v>
      </c>
      <c r="D5392" s="1">
        <v>1981</v>
      </c>
      <c r="E5392" s="6">
        <v>0</v>
      </c>
      <c r="G5392" s="1">
        <v>0</v>
      </c>
      <c r="H5392" s="1">
        <v>0</v>
      </c>
      <c r="I5392" s="1">
        <v>57.63</v>
      </c>
      <c r="J5392" s="1">
        <v>0.169919295671313</v>
      </c>
      <c r="M5392" s="1" t="s">
        <v>677</v>
      </c>
      <c r="N5392" s="1" t="s">
        <v>420</v>
      </c>
      <c r="O5392" s="1" t="s">
        <v>666</v>
      </c>
      <c r="P5392" s="1" t="s">
        <v>421</v>
      </c>
      <c r="Q5392" s="1">
        <v>0</v>
      </c>
      <c r="S5392" s="1">
        <v>0</v>
      </c>
      <c r="T5392" s="1">
        <v>0</v>
      </c>
      <c r="V5392" s="1">
        <f t="shared" si="91"/>
        <v>0</v>
      </c>
      <c r="W5392" s="1">
        <v>1</v>
      </c>
      <c r="X5392" s="39">
        <v>24.353000000000002</v>
      </c>
      <c r="Y5392" s="1">
        <v>1</v>
      </c>
      <c r="Z5392" s="6">
        <v>0</v>
      </c>
      <c r="AA5392" s="6">
        <v>0</v>
      </c>
    </row>
    <row r="5393" spans="1:27" x14ac:dyDescent="0.2">
      <c r="A5393" s="1">
        <v>25</v>
      </c>
      <c r="B5393" s="1" t="s">
        <v>82</v>
      </c>
      <c r="C5393" s="1" t="s">
        <v>83</v>
      </c>
      <c r="D5393" s="1">
        <v>1982</v>
      </c>
      <c r="E5393" s="6">
        <v>0</v>
      </c>
      <c r="G5393" s="1">
        <v>0</v>
      </c>
      <c r="H5393" s="1">
        <v>0</v>
      </c>
      <c r="I5393" s="1">
        <v>70.569999999999993</v>
      </c>
      <c r="J5393" s="1">
        <v>0.207043286867205</v>
      </c>
      <c r="M5393" s="1" t="s">
        <v>677</v>
      </c>
      <c r="N5393" s="1" t="s">
        <v>420</v>
      </c>
      <c r="O5393" s="1" t="s">
        <v>666</v>
      </c>
      <c r="P5393" s="1" t="s">
        <v>421</v>
      </c>
      <c r="Q5393" s="1">
        <v>0</v>
      </c>
      <c r="S5393" s="1">
        <v>0</v>
      </c>
      <c r="T5393" s="1">
        <v>0</v>
      </c>
      <c r="V5393" s="1">
        <f t="shared" si="91"/>
        <v>0</v>
      </c>
      <c r="W5393" s="1">
        <v>0</v>
      </c>
      <c r="X5393" s="39">
        <v>21.42</v>
      </c>
      <c r="Y5393" s="1">
        <v>1</v>
      </c>
      <c r="Z5393" s="6">
        <v>0</v>
      </c>
      <c r="AA5393" s="6">
        <v>0</v>
      </c>
    </row>
    <row r="5394" spans="1:27" ht="12.75" customHeight="1" x14ac:dyDescent="0.2">
      <c r="A5394" s="1">
        <v>25</v>
      </c>
      <c r="B5394" s="1" t="s">
        <v>82</v>
      </c>
      <c r="C5394" s="1" t="s">
        <v>83</v>
      </c>
      <c r="D5394" s="1">
        <v>1983</v>
      </c>
      <c r="E5394" s="6">
        <v>0</v>
      </c>
      <c r="G5394" s="1">
        <v>0</v>
      </c>
      <c r="H5394" s="1">
        <v>0</v>
      </c>
      <c r="I5394" s="1">
        <v>98.67</v>
      </c>
      <c r="J5394" s="1">
        <v>0.29038884812912702</v>
      </c>
      <c r="M5394" s="1" t="s">
        <v>677</v>
      </c>
      <c r="N5394" s="1" t="s">
        <v>420</v>
      </c>
      <c r="O5394" s="1" t="s">
        <v>666</v>
      </c>
      <c r="P5394" s="1" t="s">
        <v>421</v>
      </c>
      <c r="Q5394" s="1">
        <v>0</v>
      </c>
      <c r="S5394" s="1">
        <v>0</v>
      </c>
      <c r="T5394" s="1">
        <v>0</v>
      </c>
      <c r="V5394" s="1">
        <f t="shared" si="91"/>
        <v>0</v>
      </c>
      <c r="W5394" s="1">
        <v>1</v>
      </c>
      <c r="X5394" s="39">
        <v>19.859000000000002</v>
      </c>
      <c r="Y5394" s="1">
        <v>1</v>
      </c>
      <c r="Z5394" s="6">
        <v>1</v>
      </c>
      <c r="AA5394" s="6">
        <v>0</v>
      </c>
    </row>
    <row r="5395" spans="1:27" x14ac:dyDescent="0.2">
      <c r="A5395" s="1">
        <v>25</v>
      </c>
      <c r="B5395" s="1" t="s">
        <v>82</v>
      </c>
      <c r="C5395" s="1" t="s">
        <v>83</v>
      </c>
      <c r="D5395" s="1">
        <v>1984</v>
      </c>
      <c r="E5395" s="6">
        <v>0</v>
      </c>
      <c r="G5395" s="1">
        <v>0</v>
      </c>
      <c r="H5395" s="1">
        <v>0</v>
      </c>
      <c r="I5395" s="1">
        <v>128.47999999999999</v>
      </c>
      <c r="J5395" s="1">
        <v>0.37681584739545099</v>
      </c>
      <c r="M5395" s="1" t="s">
        <v>677</v>
      </c>
      <c r="N5395" s="1" t="s">
        <v>420</v>
      </c>
      <c r="O5395" s="1" t="s">
        <v>666</v>
      </c>
      <c r="P5395" s="1" t="s">
        <v>421</v>
      </c>
      <c r="Q5395" s="1">
        <v>0</v>
      </c>
      <c r="S5395" s="1">
        <v>0</v>
      </c>
      <c r="T5395" s="1">
        <v>0</v>
      </c>
      <c r="V5395" s="1">
        <f t="shared" si="91"/>
        <v>0</v>
      </c>
      <c r="W5395" s="1">
        <v>0</v>
      </c>
      <c r="X5395" s="39">
        <v>18.419</v>
      </c>
      <c r="Y5395" s="1">
        <v>1</v>
      </c>
      <c r="Z5395" s="6">
        <v>0</v>
      </c>
      <c r="AA5395" s="6">
        <v>0</v>
      </c>
    </row>
    <row r="5396" spans="1:27" x14ac:dyDescent="0.2">
      <c r="A5396" s="1">
        <v>25</v>
      </c>
      <c r="B5396" s="1" t="s">
        <v>82</v>
      </c>
      <c r="C5396" s="1" t="s">
        <v>83</v>
      </c>
      <c r="D5396" s="1">
        <v>1985</v>
      </c>
      <c r="E5396" s="6">
        <v>0</v>
      </c>
      <c r="G5396" s="1">
        <v>0</v>
      </c>
      <c r="H5396" s="1">
        <v>0</v>
      </c>
      <c r="I5396" s="1">
        <v>147.76</v>
      </c>
      <c r="J5396" s="1">
        <v>0.43433602347762301</v>
      </c>
      <c r="M5396" s="1" t="s">
        <v>677</v>
      </c>
      <c r="N5396" s="1" t="s">
        <v>420</v>
      </c>
      <c r="O5396" s="1" t="s">
        <v>666</v>
      </c>
      <c r="P5396" s="1" t="s">
        <v>421</v>
      </c>
      <c r="Q5396" s="1">
        <v>0</v>
      </c>
      <c r="S5396" s="1">
        <v>0</v>
      </c>
      <c r="T5396" s="1">
        <v>0</v>
      </c>
      <c r="V5396" s="1">
        <f t="shared" si="91"/>
        <v>0</v>
      </c>
      <c r="W5396" s="1">
        <v>0</v>
      </c>
      <c r="X5396" s="39">
        <v>19.530999999999999</v>
      </c>
      <c r="Y5396" s="1">
        <v>1</v>
      </c>
      <c r="Z5396" s="6">
        <v>1</v>
      </c>
      <c r="AA5396" s="6">
        <v>0</v>
      </c>
    </row>
    <row r="5397" spans="1:27" x14ac:dyDescent="0.2">
      <c r="A5397" s="1">
        <v>25</v>
      </c>
      <c r="B5397" s="1" t="s">
        <v>82</v>
      </c>
      <c r="C5397" s="1" t="s">
        <v>83</v>
      </c>
      <c r="D5397" s="1">
        <v>1986</v>
      </c>
      <c r="E5397" s="6">
        <v>0</v>
      </c>
      <c r="G5397" s="1">
        <v>0</v>
      </c>
      <c r="H5397" s="1">
        <v>0</v>
      </c>
      <c r="I5397" s="1">
        <v>138.76</v>
      </c>
      <c r="J5397" s="1">
        <v>0.40557593543653703</v>
      </c>
      <c r="M5397" s="1" t="s">
        <v>677</v>
      </c>
      <c r="N5397" s="1" t="s">
        <v>420</v>
      </c>
      <c r="O5397" s="1" t="s">
        <v>666</v>
      </c>
      <c r="P5397" s="1" t="s">
        <v>421</v>
      </c>
      <c r="Q5397" s="1">
        <v>0</v>
      </c>
      <c r="S5397" s="1">
        <v>0</v>
      </c>
      <c r="T5397" s="1">
        <v>0</v>
      </c>
      <c r="V5397" s="1">
        <f t="shared" si="91"/>
        <v>0</v>
      </c>
      <c r="W5397" s="1">
        <v>0</v>
      </c>
      <c r="X5397" s="39">
        <v>23.113</v>
      </c>
      <c r="Y5397" s="1">
        <v>1</v>
      </c>
      <c r="Z5397" s="6">
        <v>1</v>
      </c>
      <c r="AA5397" s="6">
        <v>1</v>
      </c>
    </row>
    <row r="5398" spans="1:27" x14ac:dyDescent="0.2">
      <c r="A5398" s="1">
        <v>25</v>
      </c>
      <c r="B5398" s="1" t="s">
        <v>82</v>
      </c>
      <c r="C5398" s="1" t="s">
        <v>83</v>
      </c>
      <c r="D5398" s="1">
        <v>1987</v>
      </c>
      <c r="E5398" s="6">
        <v>0</v>
      </c>
      <c r="G5398" s="1">
        <v>0</v>
      </c>
      <c r="H5398" s="1">
        <v>0</v>
      </c>
      <c r="I5398" s="1">
        <v>125.925</v>
      </c>
      <c r="J5398" s="1">
        <v>0.36698459280997803</v>
      </c>
      <c r="M5398" s="1" t="s">
        <v>677</v>
      </c>
      <c r="N5398" s="1" t="s">
        <v>420</v>
      </c>
      <c r="O5398" s="1" t="s">
        <v>666</v>
      </c>
      <c r="P5398" s="1" t="s">
        <v>421</v>
      </c>
      <c r="Q5398" s="1">
        <v>0</v>
      </c>
      <c r="S5398" s="1">
        <v>0</v>
      </c>
      <c r="T5398" s="1">
        <v>0</v>
      </c>
      <c r="V5398" s="1">
        <f t="shared" si="91"/>
        <v>0</v>
      </c>
      <c r="W5398" s="1">
        <v>0</v>
      </c>
      <c r="X5398" s="39">
        <v>16.361000000000001</v>
      </c>
      <c r="Y5398" s="1">
        <v>1</v>
      </c>
      <c r="Z5398" s="6">
        <v>0</v>
      </c>
      <c r="AA5398" s="6">
        <v>0</v>
      </c>
    </row>
    <row r="5399" spans="1:27" x14ac:dyDescent="0.2">
      <c r="A5399" s="1">
        <v>25</v>
      </c>
      <c r="B5399" s="1" t="s">
        <v>82</v>
      </c>
      <c r="C5399" s="1" t="s">
        <v>83</v>
      </c>
      <c r="D5399" s="1">
        <v>1988</v>
      </c>
      <c r="E5399" s="6">
        <v>0</v>
      </c>
      <c r="G5399" s="1">
        <v>0</v>
      </c>
      <c r="H5399" s="1">
        <v>0</v>
      </c>
      <c r="I5399" s="1">
        <v>148.1</v>
      </c>
      <c r="J5399" s="1">
        <v>0.43536316947908998</v>
      </c>
      <c r="M5399" s="1" t="s">
        <v>677</v>
      </c>
      <c r="N5399" s="1" t="s">
        <v>420</v>
      </c>
      <c r="O5399" s="1" t="s">
        <v>666</v>
      </c>
      <c r="P5399" s="1" t="s">
        <v>421</v>
      </c>
      <c r="Q5399" s="1">
        <v>0</v>
      </c>
      <c r="S5399" s="1">
        <v>0</v>
      </c>
      <c r="T5399" s="1">
        <v>0</v>
      </c>
      <c r="V5399" s="1">
        <f t="shared" si="91"/>
        <v>0</v>
      </c>
      <c r="W5399" s="1">
        <v>0</v>
      </c>
      <c r="X5399" s="39">
        <v>13.48</v>
      </c>
      <c r="Y5399" s="1">
        <v>1</v>
      </c>
      <c r="Z5399" s="6">
        <v>0</v>
      </c>
      <c r="AA5399" s="6">
        <v>0</v>
      </c>
    </row>
    <row r="5400" spans="1:27" x14ac:dyDescent="0.2">
      <c r="A5400" s="1">
        <v>25</v>
      </c>
      <c r="B5400" s="1" t="s">
        <v>82</v>
      </c>
      <c r="C5400" s="1" t="s">
        <v>83</v>
      </c>
      <c r="D5400" s="1">
        <v>1989</v>
      </c>
      <c r="E5400" s="6">
        <v>0</v>
      </c>
      <c r="G5400" s="1">
        <v>0</v>
      </c>
      <c r="H5400" s="1">
        <v>0</v>
      </c>
      <c r="I5400" s="1">
        <v>157.79</v>
      </c>
      <c r="J5400" s="1">
        <v>0.46118855465884101</v>
      </c>
      <c r="M5400" s="1" t="s">
        <v>677</v>
      </c>
      <c r="N5400" s="1" t="s">
        <v>420</v>
      </c>
      <c r="O5400" s="1" t="s">
        <v>666</v>
      </c>
      <c r="P5400" s="1" t="s">
        <v>421</v>
      </c>
      <c r="Q5400" s="1">
        <v>0</v>
      </c>
      <c r="S5400" s="1">
        <v>0</v>
      </c>
      <c r="T5400" s="1">
        <v>0</v>
      </c>
      <c r="V5400" s="1">
        <f t="shared" si="91"/>
        <v>0</v>
      </c>
      <c r="W5400" s="1">
        <v>0</v>
      </c>
      <c r="X5400" s="39">
        <v>13.706</v>
      </c>
      <c r="Y5400" s="1">
        <v>1</v>
      </c>
      <c r="Z5400" s="6">
        <v>0</v>
      </c>
      <c r="AA5400" s="6">
        <v>0</v>
      </c>
    </row>
    <row r="5401" spans="1:27" x14ac:dyDescent="0.2">
      <c r="A5401" s="1">
        <v>25</v>
      </c>
      <c r="B5401" s="1" t="s">
        <v>82</v>
      </c>
      <c r="C5401" s="1" t="s">
        <v>83</v>
      </c>
      <c r="D5401" s="1">
        <v>1990</v>
      </c>
      <c r="E5401" s="6">
        <v>0</v>
      </c>
      <c r="G5401" s="1">
        <v>0</v>
      </c>
      <c r="H5401" s="1">
        <v>0</v>
      </c>
      <c r="I5401" s="1">
        <v>157.625</v>
      </c>
      <c r="J5401" s="1">
        <v>0.46955245781364602</v>
      </c>
      <c r="M5401" s="1" t="s">
        <v>677</v>
      </c>
      <c r="N5401" s="1" t="s">
        <v>420</v>
      </c>
      <c r="O5401" s="1" t="s">
        <v>666</v>
      </c>
      <c r="P5401" s="1" t="s">
        <v>421</v>
      </c>
      <c r="Q5401" s="1">
        <v>0</v>
      </c>
      <c r="S5401" s="1">
        <v>0</v>
      </c>
      <c r="T5401" s="1">
        <v>0</v>
      </c>
      <c r="V5401" s="1">
        <f t="shared" si="91"/>
        <v>0</v>
      </c>
      <c r="W5401" s="1">
        <v>0</v>
      </c>
      <c r="X5401" s="39">
        <v>20.347000000000001</v>
      </c>
      <c r="Y5401" s="1">
        <v>1</v>
      </c>
      <c r="Z5401" s="6">
        <v>1</v>
      </c>
      <c r="AA5401" s="6">
        <v>1</v>
      </c>
    </row>
    <row r="5402" spans="1:27" x14ac:dyDescent="0.2">
      <c r="A5402" s="1">
        <v>25</v>
      </c>
      <c r="B5402" s="1" t="s">
        <v>82</v>
      </c>
      <c r="C5402" s="1" t="s">
        <v>83</v>
      </c>
      <c r="D5402" s="1">
        <v>1991</v>
      </c>
      <c r="E5402" s="7">
        <v>1</v>
      </c>
      <c r="F5402" s="1" t="s">
        <v>251</v>
      </c>
      <c r="G5402" s="1">
        <v>0</v>
      </c>
      <c r="H5402" s="1">
        <v>0</v>
      </c>
      <c r="I5402" s="1">
        <v>175.28</v>
      </c>
      <c r="J5402" s="1">
        <v>0.51606749816581099</v>
      </c>
      <c r="M5402" s="1" t="s">
        <v>677</v>
      </c>
      <c r="N5402" s="1" t="s">
        <v>420</v>
      </c>
      <c r="O5402" s="1" t="s">
        <v>666</v>
      </c>
      <c r="P5402" s="1" t="s">
        <v>421</v>
      </c>
      <c r="Q5402" s="1">
        <v>0</v>
      </c>
      <c r="S5402" s="1">
        <v>0</v>
      </c>
      <c r="T5402" s="1">
        <v>0</v>
      </c>
      <c r="V5402" s="1">
        <f t="shared" si="91"/>
        <v>0</v>
      </c>
      <c r="W5402" s="1">
        <v>1</v>
      </c>
      <c r="X5402" s="39">
        <v>19.498000000000001</v>
      </c>
      <c r="Y5402" s="1">
        <v>1</v>
      </c>
      <c r="Z5402" s="6">
        <v>0</v>
      </c>
      <c r="AA5402" s="6">
        <v>0</v>
      </c>
    </row>
    <row r="5403" spans="1:27" x14ac:dyDescent="0.2">
      <c r="A5403" s="1">
        <v>25</v>
      </c>
      <c r="B5403" s="1" t="s">
        <v>82</v>
      </c>
      <c r="C5403" s="1" t="s">
        <v>83</v>
      </c>
      <c r="D5403" s="1">
        <v>1992</v>
      </c>
      <c r="E5403" s="7">
        <v>1</v>
      </c>
      <c r="F5403" s="1" t="s">
        <v>251</v>
      </c>
      <c r="G5403" s="1">
        <v>0</v>
      </c>
      <c r="H5403" s="1">
        <v>0</v>
      </c>
      <c r="I5403" s="1">
        <v>214.58</v>
      </c>
      <c r="J5403" s="1">
        <v>0.63286867204695496</v>
      </c>
      <c r="M5403" s="1" t="s">
        <v>677</v>
      </c>
      <c r="N5403" s="1" t="s">
        <v>420</v>
      </c>
      <c r="O5403" s="1" t="s">
        <v>666</v>
      </c>
      <c r="P5403" s="1" t="s">
        <v>421</v>
      </c>
      <c r="Q5403" s="1">
        <v>0</v>
      </c>
      <c r="S5403" s="1">
        <v>0</v>
      </c>
      <c r="T5403" s="1">
        <v>0</v>
      </c>
      <c r="V5403" s="1">
        <f t="shared" ref="V5403:V5427" si="92">0.32*S5403</f>
        <v>0</v>
      </c>
      <c r="W5403" s="1">
        <v>1</v>
      </c>
      <c r="X5403" s="39">
        <v>15.869</v>
      </c>
      <c r="Y5403" s="1">
        <v>1</v>
      </c>
      <c r="Z5403" s="6">
        <v>0</v>
      </c>
      <c r="AA5403" s="6">
        <v>0</v>
      </c>
    </row>
    <row r="5404" spans="1:27" x14ac:dyDescent="0.2">
      <c r="A5404" s="1">
        <v>25</v>
      </c>
      <c r="B5404" s="1" t="s">
        <v>82</v>
      </c>
      <c r="C5404" s="1" t="s">
        <v>83</v>
      </c>
      <c r="D5404" s="1">
        <v>1993</v>
      </c>
      <c r="E5404" s="7">
        <v>1</v>
      </c>
      <c r="F5404" s="1" t="s">
        <v>251</v>
      </c>
      <c r="G5404" s="1">
        <v>0</v>
      </c>
      <c r="H5404" s="1">
        <v>0</v>
      </c>
      <c r="I5404" s="1">
        <v>249.22</v>
      </c>
      <c r="J5404" s="1">
        <v>0.73364636830520902</v>
      </c>
      <c r="M5404" s="1" t="s">
        <v>677</v>
      </c>
      <c r="N5404" s="1" t="s">
        <v>420</v>
      </c>
      <c r="O5404" s="1" t="s">
        <v>666</v>
      </c>
      <c r="P5404" s="1" t="s">
        <v>421</v>
      </c>
      <c r="Q5404" s="1">
        <v>0</v>
      </c>
      <c r="S5404" s="1">
        <v>0</v>
      </c>
      <c r="T5404" s="1">
        <v>0</v>
      </c>
      <c r="V5404" s="1">
        <f t="shared" si="92"/>
        <v>0</v>
      </c>
      <c r="W5404" s="1">
        <v>0</v>
      </c>
      <c r="X5404" s="39">
        <v>14.352</v>
      </c>
      <c r="Y5404" s="1">
        <v>1</v>
      </c>
      <c r="Z5404" s="6">
        <v>0</v>
      </c>
      <c r="AA5404" s="6">
        <v>0</v>
      </c>
    </row>
    <row r="5405" spans="1:27" x14ac:dyDescent="0.2">
      <c r="A5405" s="1">
        <v>25</v>
      </c>
      <c r="B5405" s="1" t="s">
        <v>82</v>
      </c>
      <c r="C5405" s="1" t="s">
        <v>83</v>
      </c>
      <c r="D5405" s="1">
        <v>1994</v>
      </c>
      <c r="E5405" s="7">
        <v>1</v>
      </c>
      <c r="F5405" s="1" t="s">
        <v>251</v>
      </c>
      <c r="G5405" s="1">
        <v>0</v>
      </c>
      <c r="H5405" s="1">
        <v>0</v>
      </c>
      <c r="I5405" s="1">
        <v>240.1</v>
      </c>
      <c r="J5405" s="1">
        <v>0.70570799706529697</v>
      </c>
      <c r="M5405" s="1" t="s">
        <v>677</v>
      </c>
      <c r="N5405" s="1" t="s">
        <v>420</v>
      </c>
      <c r="O5405" s="1" t="s">
        <v>666</v>
      </c>
      <c r="P5405" s="1" t="s">
        <v>421</v>
      </c>
      <c r="Q5405" s="1">
        <v>0</v>
      </c>
      <c r="S5405" s="1">
        <v>0</v>
      </c>
      <c r="T5405" s="1">
        <v>0</v>
      </c>
      <c r="V5405" s="1">
        <f t="shared" si="92"/>
        <v>0</v>
      </c>
      <c r="W5405" s="1">
        <v>0</v>
      </c>
      <c r="X5405" s="39">
        <v>10.881</v>
      </c>
      <c r="Y5405" s="1">
        <v>1</v>
      </c>
      <c r="Z5405" s="6">
        <v>0</v>
      </c>
      <c r="AA5405" s="6">
        <v>0</v>
      </c>
    </row>
    <row r="5406" spans="1:27" x14ac:dyDescent="0.2">
      <c r="A5406" s="1">
        <v>25</v>
      </c>
      <c r="B5406" s="1" t="s">
        <v>82</v>
      </c>
      <c r="C5406" s="1" t="s">
        <v>83</v>
      </c>
      <c r="D5406" s="1">
        <v>1995</v>
      </c>
      <c r="E5406" s="7">
        <v>1</v>
      </c>
      <c r="F5406" s="1" t="s">
        <v>251</v>
      </c>
      <c r="G5406" s="1">
        <v>0</v>
      </c>
      <c r="H5406" s="1">
        <v>0</v>
      </c>
      <c r="I5406" s="1">
        <v>237.04</v>
      </c>
      <c r="J5406" s="1">
        <v>0.69581804842259698</v>
      </c>
      <c r="M5406" s="1" t="s">
        <v>677</v>
      </c>
      <c r="N5406" s="1" t="s">
        <v>420</v>
      </c>
      <c r="O5406" s="1" t="s">
        <v>666</v>
      </c>
      <c r="P5406" s="1" t="s">
        <v>421</v>
      </c>
      <c r="Q5406" s="1">
        <v>0</v>
      </c>
      <c r="S5406" s="1">
        <v>0</v>
      </c>
      <c r="T5406" s="1">
        <v>0</v>
      </c>
      <c r="V5406" s="1">
        <f t="shared" si="92"/>
        <v>0</v>
      </c>
      <c r="W5406" s="1">
        <v>0</v>
      </c>
      <c r="X5406" s="39">
        <v>8.9760000000000009</v>
      </c>
      <c r="Y5406" s="1">
        <v>1</v>
      </c>
      <c r="Z5406" s="6">
        <v>0</v>
      </c>
      <c r="AA5406" s="6">
        <v>0</v>
      </c>
    </row>
    <row r="5407" spans="1:27" x14ac:dyDescent="0.2">
      <c r="A5407" s="1">
        <v>25</v>
      </c>
      <c r="B5407" s="1" t="s">
        <v>82</v>
      </c>
      <c r="C5407" s="1" t="s">
        <v>83</v>
      </c>
      <c r="D5407" s="1">
        <v>1996</v>
      </c>
      <c r="E5407" s="11">
        <v>0</v>
      </c>
      <c r="G5407" s="1">
        <v>0</v>
      </c>
      <c r="H5407" s="1">
        <v>0</v>
      </c>
      <c r="I5407" s="1">
        <v>247.02</v>
      </c>
      <c r="J5407" s="1">
        <v>0.72475421863536305</v>
      </c>
      <c r="M5407" s="1" t="s">
        <v>677</v>
      </c>
      <c r="N5407" s="1" t="s">
        <v>420</v>
      </c>
      <c r="O5407" s="1" t="s">
        <v>666</v>
      </c>
      <c r="P5407" s="1" t="s">
        <v>421</v>
      </c>
      <c r="Q5407" s="1">
        <v>0</v>
      </c>
      <c r="S5407" s="1">
        <v>0</v>
      </c>
      <c r="T5407" s="1">
        <v>0</v>
      </c>
      <c r="V5407" s="1">
        <f t="shared" si="92"/>
        <v>0</v>
      </c>
      <c r="W5407" s="1">
        <v>0</v>
      </c>
      <c r="X5407" s="39">
        <v>8.2089999999999996</v>
      </c>
      <c r="Y5407" s="1">
        <v>1</v>
      </c>
      <c r="Z5407" s="6">
        <v>0</v>
      </c>
      <c r="AA5407" s="6">
        <v>0</v>
      </c>
    </row>
    <row r="5408" spans="1:27" x14ac:dyDescent="0.2">
      <c r="A5408" s="1">
        <v>25</v>
      </c>
      <c r="B5408" s="1" t="s">
        <v>82</v>
      </c>
      <c r="C5408" s="1" t="s">
        <v>83</v>
      </c>
      <c r="D5408" s="1">
        <v>1997</v>
      </c>
      <c r="E5408" s="11">
        <v>0</v>
      </c>
      <c r="G5408" s="1">
        <v>0</v>
      </c>
      <c r="H5408" s="1">
        <v>0</v>
      </c>
      <c r="I5408" s="1">
        <v>282.61</v>
      </c>
      <c r="J5408" s="1">
        <v>0.83286867204695503</v>
      </c>
      <c r="M5408" s="1" t="s">
        <v>677</v>
      </c>
      <c r="N5408" s="1" t="s">
        <v>420</v>
      </c>
      <c r="O5408" s="1" t="s">
        <v>666</v>
      </c>
      <c r="P5408" s="1" t="s">
        <v>421</v>
      </c>
      <c r="Q5408" s="1">
        <v>0</v>
      </c>
      <c r="S5408" s="1">
        <v>0</v>
      </c>
      <c r="T5408" s="1">
        <v>0</v>
      </c>
      <c r="V5408" s="1">
        <f t="shared" si="92"/>
        <v>0</v>
      </c>
      <c r="W5408" s="1">
        <v>0</v>
      </c>
      <c r="X5408" s="39">
        <v>5.5350000000000001</v>
      </c>
      <c r="Y5408" s="1">
        <v>1</v>
      </c>
      <c r="Z5408" s="6">
        <v>0</v>
      </c>
      <c r="AA5408" s="6">
        <v>0</v>
      </c>
    </row>
    <row r="5409" spans="1:27" x14ac:dyDescent="0.2">
      <c r="A5409" s="1">
        <v>25</v>
      </c>
      <c r="B5409" s="1" t="s">
        <v>82</v>
      </c>
      <c r="C5409" s="1" t="s">
        <v>83</v>
      </c>
      <c r="D5409" s="1">
        <v>1998</v>
      </c>
      <c r="E5409" s="11">
        <v>0</v>
      </c>
      <c r="G5409" s="1">
        <v>0</v>
      </c>
      <c r="H5409" s="1">
        <v>0</v>
      </c>
      <c r="I5409" s="1">
        <v>282.57</v>
      </c>
      <c r="J5409" s="1">
        <v>0.822157006603081</v>
      </c>
      <c r="M5409" s="1" t="s">
        <v>677</v>
      </c>
      <c r="N5409" s="1" t="s">
        <v>420</v>
      </c>
      <c r="O5409" s="1" t="s">
        <v>666</v>
      </c>
      <c r="P5409" s="1" t="s">
        <v>421</v>
      </c>
      <c r="Q5409" s="1">
        <v>0</v>
      </c>
      <c r="S5409" s="1">
        <v>0</v>
      </c>
      <c r="T5409" s="1">
        <v>0</v>
      </c>
      <c r="V5409" s="1">
        <f t="shared" si="92"/>
        <v>0</v>
      </c>
      <c r="W5409" s="1">
        <v>0</v>
      </c>
      <c r="X5409" s="39">
        <v>4.7679999999999998</v>
      </c>
      <c r="Y5409" s="1">
        <v>1</v>
      </c>
      <c r="Z5409" s="6">
        <v>0</v>
      </c>
      <c r="AA5409" s="6">
        <v>0</v>
      </c>
    </row>
    <row r="5410" spans="1:27" x14ac:dyDescent="0.2">
      <c r="A5410" s="1">
        <v>25</v>
      </c>
      <c r="B5410" s="1" t="s">
        <v>82</v>
      </c>
      <c r="C5410" s="1" t="s">
        <v>83</v>
      </c>
      <c r="D5410" s="1">
        <v>1999</v>
      </c>
      <c r="E5410" s="11">
        <v>0</v>
      </c>
      <c r="G5410" s="1">
        <v>0</v>
      </c>
      <c r="H5410" s="1">
        <v>0</v>
      </c>
      <c r="I5410" s="102">
        <v>0.99542106310969503</v>
      </c>
      <c r="J5410" s="1">
        <v>0.96220102714600197</v>
      </c>
      <c r="M5410" s="1" t="s">
        <v>677</v>
      </c>
      <c r="N5410" s="1" t="s">
        <v>420</v>
      </c>
      <c r="O5410" s="1" t="s">
        <v>666</v>
      </c>
      <c r="P5410" s="1" t="s">
        <v>421</v>
      </c>
      <c r="Q5410" s="1">
        <v>0</v>
      </c>
      <c r="S5410" s="1">
        <v>0</v>
      </c>
      <c r="T5410" s="1">
        <v>0</v>
      </c>
      <c r="V5410" s="1">
        <f t="shared" si="92"/>
        <v>0</v>
      </c>
      <c r="W5410" s="1">
        <v>0</v>
      </c>
      <c r="X5410" s="39">
        <v>2.63</v>
      </c>
      <c r="Y5410" s="1">
        <v>1</v>
      </c>
      <c r="Z5410" s="6">
        <v>1</v>
      </c>
      <c r="AA5410" s="6">
        <v>0</v>
      </c>
    </row>
    <row r="5411" spans="1:27" x14ac:dyDescent="0.2">
      <c r="A5411" s="1">
        <v>25</v>
      </c>
      <c r="B5411" s="1" t="s">
        <v>82</v>
      </c>
      <c r="C5411" s="1" t="s">
        <v>83</v>
      </c>
      <c r="D5411" s="1">
        <v>2000</v>
      </c>
      <c r="E5411" s="11">
        <v>0</v>
      </c>
      <c r="G5411" s="1">
        <v>0</v>
      </c>
      <c r="H5411" s="1">
        <v>0</v>
      </c>
      <c r="I5411" s="102">
        <v>1.0746910263299301</v>
      </c>
      <c r="J5411" s="1">
        <v>1.0607483492296399</v>
      </c>
      <c r="M5411" s="1" t="s">
        <v>677</v>
      </c>
      <c r="N5411" s="1" t="s">
        <v>420</v>
      </c>
      <c r="O5411" s="1" t="s">
        <v>666</v>
      </c>
      <c r="P5411" s="1" t="s">
        <v>421</v>
      </c>
      <c r="Q5411" s="1">
        <v>0</v>
      </c>
      <c r="S5411" s="1">
        <v>0</v>
      </c>
      <c r="T5411" s="1">
        <v>0</v>
      </c>
      <c r="V5411" s="1">
        <f t="shared" si="92"/>
        <v>0</v>
      </c>
      <c r="W5411" s="1">
        <v>1</v>
      </c>
      <c r="X5411" s="39">
        <v>3.1509999999999998</v>
      </c>
      <c r="Y5411" s="1">
        <v>1</v>
      </c>
      <c r="Z5411" s="6">
        <v>1</v>
      </c>
      <c r="AA5411" s="6">
        <v>0</v>
      </c>
    </row>
    <row r="5412" spans="1:27" x14ac:dyDescent="0.2">
      <c r="A5412" s="1">
        <v>25</v>
      </c>
      <c r="B5412" s="1" t="s">
        <v>82</v>
      </c>
      <c r="C5412" s="1" t="s">
        <v>83</v>
      </c>
      <c r="D5412" s="1">
        <v>2001</v>
      </c>
      <c r="E5412" s="11">
        <v>0</v>
      </c>
      <c r="G5412" s="1">
        <v>0</v>
      </c>
      <c r="H5412" s="1">
        <v>0</v>
      </c>
      <c r="I5412" s="102">
        <v>1.1346873936230599</v>
      </c>
      <c r="J5412" s="1">
        <v>1.1231</v>
      </c>
      <c r="K5412" s="1">
        <v>1.1231</v>
      </c>
      <c r="M5412" s="1" t="s">
        <v>677</v>
      </c>
      <c r="N5412" s="1" t="s">
        <v>420</v>
      </c>
      <c r="O5412" s="1" t="s">
        <v>666</v>
      </c>
      <c r="P5412" s="1" t="s">
        <v>421</v>
      </c>
      <c r="Q5412" s="1">
        <v>0</v>
      </c>
      <c r="S5412" s="1">
        <v>0</v>
      </c>
      <c r="T5412" s="1">
        <v>0</v>
      </c>
      <c r="V5412" s="1">
        <f t="shared" si="92"/>
        <v>0</v>
      </c>
      <c r="W5412" s="1">
        <v>1</v>
      </c>
      <c r="X5412" s="39">
        <v>3.3740000000000001</v>
      </c>
      <c r="Y5412" s="1">
        <v>1</v>
      </c>
      <c r="Z5412" s="6">
        <v>1</v>
      </c>
      <c r="AA5412" s="6">
        <v>0</v>
      </c>
    </row>
    <row r="5413" spans="1:27" x14ac:dyDescent="0.2">
      <c r="A5413" s="1">
        <v>25</v>
      </c>
      <c r="B5413" s="1" t="s">
        <v>82</v>
      </c>
      <c r="C5413" s="1" t="s">
        <v>83</v>
      </c>
      <c r="D5413" s="1">
        <v>2002</v>
      </c>
      <c r="E5413" s="11">
        <v>0</v>
      </c>
      <c r="G5413" s="1">
        <v>0</v>
      </c>
      <c r="H5413" s="1">
        <v>0</v>
      </c>
      <c r="I5413" s="102">
        <v>0.95356155239820695</v>
      </c>
      <c r="J5413" s="1">
        <v>0.95269999999999999</v>
      </c>
      <c r="K5413" s="1">
        <v>0.95269999999999999</v>
      </c>
      <c r="M5413" s="1" t="s">
        <v>677</v>
      </c>
      <c r="N5413" s="1" t="s">
        <v>420</v>
      </c>
      <c r="O5413" s="1" t="s">
        <v>666</v>
      </c>
      <c r="P5413" s="1" t="s">
        <v>421</v>
      </c>
      <c r="Q5413" s="1">
        <v>0</v>
      </c>
      <c r="S5413" s="1">
        <v>0</v>
      </c>
      <c r="T5413" s="1">
        <v>0</v>
      </c>
      <c r="V5413" s="1">
        <f t="shared" si="92"/>
        <v>0</v>
      </c>
      <c r="W5413" s="1">
        <v>1</v>
      </c>
      <c r="X5413" s="39">
        <v>3.63</v>
      </c>
      <c r="Y5413" s="1">
        <v>1</v>
      </c>
      <c r="Z5413" s="6">
        <v>0</v>
      </c>
      <c r="AA5413" s="6">
        <v>0</v>
      </c>
    </row>
    <row r="5414" spans="1:27" x14ac:dyDescent="0.2">
      <c r="A5414" s="1">
        <v>25</v>
      </c>
      <c r="B5414" s="1" t="s">
        <v>82</v>
      </c>
      <c r="C5414" s="1" t="s">
        <v>83</v>
      </c>
      <c r="D5414" s="1">
        <v>2003</v>
      </c>
      <c r="E5414" s="11">
        <v>0</v>
      </c>
      <c r="G5414" s="1">
        <v>0</v>
      </c>
      <c r="H5414" s="1">
        <v>0</v>
      </c>
      <c r="I5414" s="102">
        <v>0.79176563737133798</v>
      </c>
      <c r="J5414" s="1">
        <v>0.7944</v>
      </c>
      <c r="K5414" s="1">
        <v>0.7944</v>
      </c>
      <c r="M5414" s="1" t="s">
        <v>677</v>
      </c>
      <c r="N5414" s="1" t="s">
        <v>420</v>
      </c>
      <c r="O5414" s="1" t="s">
        <v>666</v>
      </c>
      <c r="P5414" s="1" t="s">
        <v>421</v>
      </c>
      <c r="Q5414" s="1">
        <v>0</v>
      </c>
      <c r="S5414" s="1">
        <v>0</v>
      </c>
      <c r="T5414" s="1">
        <v>0</v>
      </c>
      <c r="V5414" s="1">
        <f t="shared" si="92"/>
        <v>0</v>
      </c>
      <c r="W5414" s="1">
        <v>0</v>
      </c>
      <c r="X5414" s="39">
        <v>3.5310000000000001</v>
      </c>
      <c r="Y5414" s="1">
        <v>1</v>
      </c>
      <c r="Z5414" s="6">
        <v>0</v>
      </c>
      <c r="AA5414" s="6">
        <v>0</v>
      </c>
    </row>
    <row r="5415" spans="1:27" x14ac:dyDescent="0.2">
      <c r="A5415" s="1">
        <v>25</v>
      </c>
      <c r="B5415" s="1" t="s">
        <v>82</v>
      </c>
      <c r="C5415" s="1" t="s">
        <v>83</v>
      </c>
      <c r="D5415" s="1">
        <v>2004</v>
      </c>
      <c r="E5415" s="11">
        <v>0</v>
      </c>
      <c r="G5415" s="1">
        <v>0</v>
      </c>
      <c r="H5415" s="1">
        <v>0</v>
      </c>
      <c r="I5415" s="102">
        <v>0.73416048748256402</v>
      </c>
      <c r="J5415" s="1">
        <v>0.73750000000000004</v>
      </c>
      <c r="K5415" s="1">
        <v>0.73750000000000004</v>
      </c>
      <c r="M5415" s="1" t="s">
        <v>677</v>
      </c>
      <c r="N5415" s="1" t="s">
        <v>420</v>
      </c>
      <c r="O5415" s="1" t="s">
        <v>666</v>
      </c>
      <c r="P5415" s="1" t="s">
        <v>421</v>
      </c>
      <c r="Q5415" s="1">
        <v>0</v>
      </c>
      <c r="S5415" s="1">
        <v>0</v>
      </c>
      <c r="T5415" s="1">
        <v>0</v>
      </c>
      <c r="V5415" s="1">
        <f t="shared" si="92"/>
        <v>0</v>
      </c>
      <c r="W5415" s="1">
        <v>0</v>
      </c>
      <c r="X5415" s="39">
        <v>2.899</v>
      </c>
      <c r="Y5415" s="1">
        <v>1</v>
      </c>
      <c r="Z5415" s="6">
        <v>0</v>
      </c>
      <c r="AA5415" s="6">
        <v>0</v>
      </c>
    </row>
    <row r="5416" spans="1:27" x14ac:dyDescent="0.2">
      <c r="A5416" s="1">
        <v>25</v>
      </c>
      <c r="B5416" s="1" t="s">
        <v>82</v>
      </c>
      <c r="C5416" s="1" t="s">
        <v>83</v>
      </c>
      <c r="D5416" s="1">
        <v>2005</v>
      </c>
      <c r="E5416" s="11">
        <v>0</v>
      </c>
      <c r="G5416" s="1">
        <v>0</v>
      </c>
      <c r="H5416" s="1">
        <v>0</v>
      </c>
      <c r="I5416" s="102">
        <v>0.84767313723828097</v>
      </c>
      <c r="J5416" s="1">
        <v>0.84399999999999997</v>
      </c>
      <c r="K5416" s="1">
        <v>0.84399999999999997</v>
      </c>
      <c r="M5416" s="1" t="s">
        <v>677</v>
      </c>
      <c r="N5416" s="1" t="s">
        <v>420</v>
      </c>
      <c r="O5416" s="1" t="s">
        <v>666</v>
      </c>
      <c r="P5416" s="1" t="s">
        <v>421</v>
      </c>
      <c r="Q5416" s="1">
        <v>0</v>
      </c>
      <c r="S5416" s="1">
        <v>0</v>
      </c>
      <c r="T5416" s="1">
        <v>0</v>
      </c>
      <c r="V5416" s="1">
        <f t="shared" si="92"/>
        <v>0</v>
      </c>
      <c r="W5416" s="1">
        <v>0</v>
      </c>
      <c r="X5416" s="26">
        <v>3.5449999999999999</v>
      </c>
      <c r="Y5416" s="1">
        <v>1</v>
      </c>
      <c r="Z5416" s="6">
        <v>1</v>
      </c>
      <c r="AA5416" s="6">
        <v>0</v>
      </c>
    </row>
    <row r="5417" spans="1:27" ht="12.75" customHeight="1" x14ac:dyDescent="0.2">
      <c r="A5417" s="1">
        <v>25</v>
      </c>
      <c r="B5417" s="1" t="s">
        <v>82</v>
      </c>
      <c r="C5417" s="1" t="s">
        <v>83</v>
      </c>
      <c r="D5417" s="1">
        <v>2006</v>
      </c>
      <c r="E5417" s="11">
        <v>0</v>
      </c>
      <c r="G5417" s="1">
        <v>0</v>
      </c>
      <c r="H5417" s="1">
        <v>0</v>
      </c>
      <c r="I5417" s="102">
        <v>0.75930144267274102</v>
      </c>
      <c r="J5417" s="1">
        <v>0.75739999999999996</v>
      </c>
      <c r="K5417" s="1">
        <v>0.75739999999999996</v>
      </c>
      <c r="M5417" s="1" t="s">
        <v>677</v>
      </c>
      <c r="N5417" s="1" t="s">
        <v>420</v>
      </c>
      <c r="O5417" s="1" t="s">
        <v>666</v>
      </c>
      <c r="P5417" s="1" t="s">
        <v>421</v>
      </c>
      <c r="Q5417" s="1">
        <v>0</v>
      </c>
      <c r="S5417" s="1">
        <v>0</v>
      </c>
      <c r="T5417" s="1">
        <v>0</v>
      </c>
      <c r="V5417" s="1">
        <f t="shared" si="92"/>
        <v>0</v>
      </c>
      <c r="W5417" s="1">
        <v>0</v>
      </c>
      <c r="X5417" s="29">
        <v>3.1960000000000002</v>
      </c>
      <c r="Y5417" s="1">
        <v>1</v>
      </c>
      <c r="Z5417" s="6">
        <v>0</v>
      </c>
      <c r="AA5417" s="6">
        <v>0</v>
      </c>
    </row>
    <row r="5418" spans="1:27" ht="12.75" customHeight="1" x14ac:dyDescent="0.2">
      <c r="A5418" s="1">
        <v>25</v>
      </c>
      <c r="B5418" s="1" t="s">
        <v>82</v>
      </c>
      <c r="C5418" s="1" t="s">
        <v>83</v>
      </c>
      <c r="D5418" s="1">
        <v>2007</v>
      </c>
      <c r="E5418" s="11">
        <v>0</v>
      </c>
      <c r="G5418" s="1">
        <v>0</v>
      </c>
      <c r="H5418" s="1">
        <v>0</v>
      </c>
      <c r="I5418" s="102">
        <v>0.67930167787514395</v>
      </c>
      <c r="J5418" s="1">
        <v>0.68530000000000002</v>
      </c>
      <c r="K5418" s="1">
        <v>0.68530000000000002</v>
      </c>
      <c r="M5418" s="1" t="s">
        <v>677</v>
      </c>
      <c r="N5418" s="1" t="s">
        <v>420</v>
      </c>
      <c r="O5418" s="1" t="s">
        <v>666</v>
      </c>
      <c r="P5418" s="1" t="s">
        <v>421</v>
      </c>
      <c r="Q5418" s="1">
        <v>0</v>
      </c>
      <c r="S5418" s="1">
        <v>0</v>
      </c>
      <c r="T5418" s="1">
        <v>0</v>
      </c>
      <c r="V5418" s="1">
        <f t="shared" si="92"/>
        <v>0</v>
      </c>
      <c r="W5418" s="1">
        <v>0</v>
      </c>
      <c r="X5418" s="29">
        <v>2.895</v>
      </c>
      <c r="Y5418" s="1">
        <v>1</v>
      </c>
      <c r="Z5418" s="6">
        <v>0</v>
      </c>
      <c r="AA5418" s="6">
        <v>0</v>
      </c>
    </row>
    <row r="5419" spans="1:27" ht="12.75" customHeight="1" x14ac:dyDescent="0.2">
      <c r="A5419" s="1">
        <v>25</v>
      </c>
      <c r="B5419" s="1" t="s">
        <v>82</v>
      </c>
      <c r="C5419" s="1" t="s">
        <v>83</v>
      </c>
      <c r="D5419" s="1">
        <v>2008</v>
      </c>
      <c r="E5419" s="5">
        <v>1</v>
      </c>
      <c r="G5419" s="1">
        <v>1</v>
      </c>
      <c r="H5419" s="1">
        <v>0</v>
      </c>
      <c r="I5419" s="102">
        <v>0.71854566357691996</v>
      </c>
      <c r="J5419" s="1">
        <v>0.71509999999999996</v>
      </c>
      <c r="K5419" s="1">
        <v>0.71509999999999996</v>
      </c>
      <c r="M5419" s="1" t="s">
        <v>677</v>
      </c>
      <c r="N5419" s="1" t="s">
        <v>420</v>
      </c>
      <c r="O5419" s="1" t="s">
        <v>666</v>
      </c>
      <c r="P5419" s="1" t="s">
        <v>421</v>
      </c>
      <c r="Q5419" s="1">
        <v>0</v>
      </c>
      <c r="S5419" s="1">
        <v>0</v>
      </c>
      <c r="T5419" s="1">
        <v>0</v>
      </c>
      <c r="V5419" s="1">
        <f t="shared" si="92"/>
        <v>0</v>
      </c>
      <c r="W5419" s="1">
        <v>1</v>
      </c>
      <c r="X5419" s="29">
        <v>4.1529999999999996</v>
      </c>
      <c r="Y5419" s="1">
        <v>1</v>
      </c>
      <c r="Z5419" s="6">
        <v>0</v>
      </c>
      <c r="AA5419" s="6">
        <v>0</v>
      </c>
    </row>
    <row r="5420" spans="1:27" ht="12.75" customHeight="1" x14ac:dyDescent="0.2">
      <c r="A5420" s="1">
        <v>25</v>
      </c>
      <c r="B5420" s="1" t="s">
        <v>82</v>
      </c>
      <c r="C5420" s="1" t="s">
        <v>83</v>
      </c>
      <c r="D5420" s="1">
        <v>2009</v>
      </c>
      <c r="E5420" s="5">
        <v>1</v>
      </c>
      <c r="G5420" s="1">
        <v>1</v>
      </c>
      <c r="H5420" s="1">
        <v>0</v>
      </c>
      <c r="I5420" s="102">
        <v>0.69415521310564998</v>
      </c>
      <c r="J5420" s="1">
        <v>0.69830000000000003</v>
      </c>
      <c r="K5420" s="1">
        <v>0.69830000000000003</v>
      </c>
      <c r="M5420" s="1" t="s">
        <v>677</v>
      </c>
      <c r="N5420" s="1" t="s">
        <v>420</v>
      </c>
      <c r="O5420" s="1" t="s">
        <v>666</v>
      </c>
      <c r="P5420" s="1" t="s">
        <v>421</v>
      </c>
      <c r="Q5420" s="1">
        <v>0</v>
      </c>
      <c r="S5420" s="1">
        <v>0</v>
      </c>
      <c r="T5420" s="1">
        <v>0</v>
      </c>
      <c r="V5420" s="1">
        <f t="shared" si="92"/>
        <v>0</v>
      </c>
      <c r="W5420" s="1">
        <v>0</v>
      </c>
      <c r="X5420" s="29">
        <v>1.21</v>
      </c>
      <c r="Y5420" s="1">
        <v>1</v>
      </c>
      <c r="Z5420" s="6">
        <v>0</v>
      </c>
      <c r="AA5420" s="6">
        <v>0</v>
      </c>
    </row>
    <row r="5421" spans="1:27" ht="12.75" customHeight="1" x14ac:dyDescent="0.2">
      <c r="A5421" s="1">
        <v>25</v>
      </c>
      <c r="B5421" s="1" t="s">
        <v>82</v>
      </c>
      <c r="C5421" s="1" t="s">
        <v>83</v>
      </c>
      <c r="D5421" s="1">
        <v>2010</v>
      </c>
      <c r="E5421" s="5">
        <v>1</v>
      </c>
      <c r="G5421" s="1">
        <v>1</v>
      </c>
      <c r="H5421" s="1">
        <v>0</v>
      </c>
      <c r="I5421" s="102">
        <v>0.74839095943721001</v>
      </c>
      <c r="J5421" s="1">
        <v>0.74729999999999996</v>
      </c>
      <c r="K5421" s="1">
        <v>0.74729999999999996</v>
      </c>
      <c r="M5421" s="1" t="s">
        <v>677</v>
      </c>
      <c r="N5421" s="1" t="s">
        <v>420</v>
      </c>
      <c r="O5421" s="1" t="s">
        <v>666</v>
      </c>
      <c r="P5421" s="1" t="s">
        <v>421</v>
      </c>
      <c r="Q5421" s="1">
        <v>0</v>
      </c>
      <c r="S5421" s="1">
        <v>0</v>
      </c>
      <c r="T5421" s="1">
        <v>0</v>
      </c>
      <c r="V5421" s="1">
        <f t="shared" si="92"/>
        <v>0</v>
      </c>
      <c r="W5421" s="1">
        <v>1</v>
      </c>
      <c r="X5421" s="29">
        <v>4.7130000000000001</v>
      </c>
      <c r="Y5421" s="1">
        <v>1</v>
      </c>
      <c r="Z5421" s="6">
        <v>0</v>
      </c>
      <c r="AA5421" s="6">
        <v>0</v>
      </c>
    </row>
    <row r="5422" spans="1:27" ht="12.75" customHeight="1" x14ac:dyDescent="0.2">
      <c r="A5422" s="1">
        <v>25</v>
      </c>
      <c r="B5422" s="1" t="s">
        <v>82</v>
      </c>
      <c r="C5422" s="1" t="s">
        <v>83</v>
      </c>
      <c r="D5422" s="1">
        <v>2011</v>
      </c>
      <c r="E5422" s="5">
        <v>1</v>
      </c>
      <c r="G5422" s="1">
        <v>1</v>
      </c>
      <c r="H5422" s="1">
        <v>0</v>
      </c>
      <c r="I5422" s="102">
        <v>0.77285725326532195</v>
      </c>
      <c r="J5422" s="1">
        <v>0.77270000000000005</v>
      </c>
      <c r="K5422" s="1">
        <v>0.77270000000000005</v>
      </c>
      <c r="M5422" s="1" t="s">
        <v>677</v>
      </c>
      <c r="N5422" s="1" t="s">
        <v>420</v>
      </c>
      <c r="O5422" s="1" t="s">
        <v>666</v>
      </c>
      <c r="P5422" s="1" t="s">
        <v>421</v>
      </c>
      <c r="Q5422" s="1">
        <v>0</v>
      </c>
      <c r="S5422" s="1">
        <v>0</v>
      </c>
      <c r="T5422" s="1">
        <v>0</v>
      </c>
      <c r="V5422" s="1">
        <f t="shared" si="92"/>
        <v>0</v>
      </c>
      <c r="W5422" s="1">
        <v>1</v>
      </c>
      <c r="X5422" s="29">
        <v>3.33</v>
      </c>
      <c r="Y5422" s="1">
        <v>1</v>
      </c>
      <c r="Z5422" s="6">
        <v>0</v>
      </c>
      <c r="AA5422" s="6">
        <v>0</v>
      </c>
    </row>
    <row r="5423" spans="1:27" ht="12.75" customHeight="1" x14ac:dyDescent="0.25">
      <c r="A5423" s="1">
        <v>25</v>
      </c>
      <c r="B5423" s="1" t="s">
        <v>82</v>
      </c>
      <c r="C5423" s="1" t="s">
        <v>83</v>
      </c>
      <c r="D5423" s="1">
        <v>2012</v>
      </c>
      <c r="E5423" s="5">
        <v>1</v>
      </c>
      <c r="G5423" s="1">
        <v>1</v>
      </c>
      <c r="H5423" s="1">
        <v>0</v>
      </c>
      <c r="I5423" s="102">
        <v>0.757920266787934</v>
      </c>
      <c r="J5423" s="1">
        <v>0.75770000000000004</v>
      </c>
      <c r="K5423" s="1">
        <v>0.75770000000000004</v>
      </c>
      <c r="M5423" s="1" t="s">
        <v>677</v>
      </c>
      <c r="N5423" s="1" t="s">
        <v>420</v>
      </c>
      <c r="O5423" s="1" t="s">
        <v>666</v>
      </c>
      <c r="P5423" s="1" t="s">
        <v>421</v>
      </c>
      <c r="Q5423" s="1">
        <v>1</v>
      </c>
      <c r="S5423" s="1">
        <v>1</v>
      </c>
      <c r="T5423" s="1">
        <v>1</v>
      </c>
      <c r="V5423" s="1">
        <f t="shared" si="92"/>
        <v>0.32</v>
      </c>
      <c r="W5423" s="1">
        <v>0</v>
      </c>
      <c r="X5423" s="42">
        <v>1.0349999999999999</v>
      </c>
      <c r="Y5423" s="1">
        <v>1</v>
      </c>
      <c r="Z5423" s="6">
        <v>0</v>
      </c>
      <c r="AA5423" s="6">
        <v>0</v>
      </c>
    </row>
    <row r="5424" spans="1:27" ht="15" customHeight="1" x14ac:dyDescent="0.25">
      <c r="A5424" s="1">
        <v>25</v>
      </c>
      <c r="B5424" s="1" t="s">
        <v>82</v>
      </c>
      <c r="C5424" s="1" t="s">
        <v>83</v>
      </c>
      <c r="D5424" s="1">
        <v>2013</v>
      </c>
      <c r="E5424" s="5">
        <v>1</v>
      </c>
      <c r="G5424" s="1">
        <v>1</v>
      </c>
      <c r="H5424" s="1">
        <v>0</v>
      </c>
      <c r="I5424" s="102">
        <v>0.72511057936335299</v>
      </c>
      <c r="J5424" s="1">
        <v>0.72740000000000005</v>
      </c>
      <c r="K5424" s="1">
        <v>0.72740000000000005</v>
      </c>
      <c r="M5424" s="1" t="s">
        <v>677</v>
      </c>
      <c r="N5424" s="1" t="s">
        <v>420</v>
      </c>
      <c r="O5424" s="1" t="s">
        <v>666</v>
      </c>
      <c r="P5424" s="1" t="s">
        <v>421</v>
      </c>
      <c r="Q5424" s="1">
        <v>0</v>
      </c>
      <c r="S5424" s="1">
        <v>0</v>
      </c>
      <c r="T5424" s="1">
        <v>1</v>
      </c>
      <c r="V5424" s="1">
        <f t="shared" si="92"/>
        <v>0</v>
      </c>
      <c r="W5424" s="1">
        <v>0</v>
      </c>
      <c r="X5424" s="42">
        <v>-0.85399999999999998</v>
      </c>
      <c r="Y5424" s="1">
        <v>1</v>
      </c>
      <c r="Z5424" s="6">
        <v>0</v>
      </c>
      <c r="AA5424" s="6">
        <v>0</v>
      </c>
    </row>
    <row r="5425" spans="1:27" ht="15" customHeight="1" x14ac:dyDescent="0.25">
      <c r="A5425" s="1">
        <v>25</v>
      </c>
      <c r="B5425" s="1" t="s">
        <v>82</v>
      </c>
      <c r="C5425" s="1" t="s">
        <v>83</v>
      </c>
      <c r="D5425" s="1">
        <v>2014</v>
      </c>
      <c r="E5425" s="5">
        <v>1</v>
      </c>
      <c r="G5425" s="1">
        <v>1</v>
      </c>
      <c r="H5425" s="1">
        <v>0</v>
      </c>
      <c r="I5425" s="102">
        <v>0.82365538258792503</v>
      </c>
      <c r="J5425" s="1">
        <v>0.82640000000000002</v>
      </c>
      <c r="K5425" s="1">
        <v>0.82640000000000002</v>
      </c>
      <c r="M5425" s="1" t="s">
        <v>677</v>
      </c>
      <c r="N5425" s="1" t="s">
        <v>420</v>
      </c>
      <c r="O5425" s="1" t="s">
        <v>666</v>
      </c>
      <c r="P5425" s="1" t="s">
        <v>421</v>
      </c>
      <c r="Q5425" s="1">
        <v>0</v>
      </c>
      <c r="S5425" s="1">
        <v>0</v>
      </c>
      <c r="T5425" s="1">
        <v>0</v>
      </c>
      <c r="V5425" s="1">
        <f t="shared" si="92"/>
        <v>0</v>
      </c>
      <c r="W5425" s="1">
        <v>1</v>
      </c>
      <c r="X5425" s="42">
        <v>-1.3939999999999999</v>
      </c>
      <c r="Y5425" s="1">
        <v>1</v>
      </c>
      <c r="Z5425" s="6">
        <v>0</v>
      </c>
      <c r="AA5425" s="6">
        <v>0</v>
      </c>
    </row>
    <row r="5426" spans="1:27" ht="15" customHeight="1" x14ac:dyDescent="0.25">
      <c r="A5426" s="1">
        <v>25</v>
      </c>
      <c r="B5426" s="1" t="s">
        <v>82</v>
      </c>
      <c r="C5426" s="1" t="s">
        <v>83</v>
      </c>
      <c r="D5426" s="1">
        <v>2015</v>
      </c>
      <c r="E5426" s="1" t="s">
        <v>5</v>
      </c>
      <c r="G5426" s="1">
        <v>1</v>
      </c>
      <c r="H5426" s="1">
        <v>0</v>
      </c>
      <c r="I5426" s="103">
        <v>0.9</v>
      </c>
      <c r="J5426" s="1">
        <v>0.9</v>
      </c>
      <c r="K5426" s="1">
        <v>0.9</v>
      </c>
      <c r="M5426" s="1" t="s">
        <v>677</v>
      </c>
      <c r="N5426" s="1" t="s">
        <v>420</v>
      </c>
      <c r="O5426" s="1" t="s">
        <v>666</v>
      </c>
      <c r="P5426" s="1" t="s">
        <v>421</v>
      </c>
      <c r="Q5426" s="1">
        <v>0</v>
      </c>
      <c r="S5426" s="1">
        <v>0</v>
      </c>
      <c r="T5426" s="1">
        <v>1</v>
      </c>
      <c r="V5426" s="1">
        <f t="shared" si="92"/>
        <v>0</v>
      </c>
      <c r="W5426" s="1">
        <v>1</v>
      </c>
      <c r="X5426" s="42">
        <v>-1.0920000000000001</v>
      </c>
      <c r="Y5426" s="1">
        <v>1</v>
      </c>
      <c r="Z5426" s="1">
        <v>0</v>
      </c>
      <c r="AA5426" s="6">
        <v>0</v>
      </c>
    </row>
    <row r="5427" spans="1:27" ht="15" customHeight="1" x14ac:dyDescent="0.25">
      <c r="A5427" s="1">
        <v>25</v>
      </c>
      <c r="B5427" s="1" t="s">
        <v>82</v>
      </c>
      <c r="C5427" s="1" t="s">
        <v>83</v>
      </c>
      <c r="D5427" s="1">
        <v>2016</v>
      </c>
      <c r="E5427" s="1" t="s">
        <v>5</v>
      </c>
      <c r="G5427" s="1">
        <v>1</v>
      </c>
      <c r="H5427" s="1">
        <v>0</v>
      </c>
      <c r="I5427" s="1">
        <v>0.89419999999999999</v>
      </c>
      <c r="J5427" s="1">
        <v>0.9</v>
      </c>
      <c r="K5427" s="1">
        <v>0.9</v>
      </c>
      <c r="M5427" s="1" t="s">
        <v>677</v>
      </c>
      <c r="N5427" s="1" t="s">
        <v>420</v>
      </c>
      <c r="O5427" s="1" t="s">
        <v>666</v>
      </c>
      <c r="P5427" s="1" t="s">
        <v>684</v>
      </c>
      <c r="Q5427" s="1" t="s">
        <v>5</v>
      </c>
      <c r="S5427" s="1">
        <v>0</v>
      </c>
      <c r="T5427" s="1">
        <v>1</v>
      </c>
      <c r="V5427" s="1">
        <f t="shared" si="92"/>
        <v>0</v>
      </c>
      <c r="W5427" s="1" t="s">
        <v>5</v>
      </c>
      <c r="X5427" s="42">
        <v>2.4E-2</v>
      </c>
      <c r="Y5427" s="1">
        <v>1</v>
      </c>
      <c r="Z5427" s="1">
        <v>0</v>
      </c>
      <c r="AA5427" s="6">
        <v>0</v>
      </c>
    </row>
    <row r="5862" spans="1:27" ht="15" customHeight="1" x14ac:dyDescent="0.2">
      <c r="A5862" s="1">
        <v>28</v>
      </c>
      <c r="B5862" s="1" t="s">
        <v>90</v>
      </c>
      <c r="C5862" s="1" t="s">
        <v>91</v>
      </c>
      <c r="D5862" s="1">
        <v>1800</v>
      </c>
      <c r="E5862" s="6">
        <v>0</v>
      </c>
      <c r="G5862" s="1">
        <v>0</v>
      </c>
      <c r="H5862" s="1">
        <v>0</v>
      </c>
      <c r="M5862" s="1" t="s">
        <v>677</v>
      </c>
      <c r="N5862" s="1" t="s">
        <v>425</v>
      </c>
      <c r="O5862" s="1" t="s">
        <v>625</v>
      </c>
      <c r="P5862" s="1" t="s">
        <v>423</v>
      </c>
      <c r="Q5862" s="1">
        <v>0</v>
      </c>
      <c r="S5862" s="1">
        <v>0</v>
      </c>
      <c r="T5862" s="1">
        <v>0</v>
      </c>
      <c r="V5862" s="1">
        <f t="shared" ref="V5862:V5925" si="100">0.6*S5862</f>
        <v>0</v>
      </c>
      <c r="W5862" s="1" t="s">
        <v>5</v>
      </c>
      <c r="X5862" s="50"/>
      <c r="Y5862" s="1">
        <v>0</v>
      </c>
      <c r="Z5862" s="6">
        <v>0</v>
      </c>
      <c r="AA5862" s="6">
        <v>0</v>
      </c>
    </row>
    <row r="5863" spans="1:27" ht="12.75" customHeight="1" x14ac:dyDescent="0.2">
      <c r="A5863" s="1">
        <v>28</v>
      </c>
      <c r="B5863" s="1" t="s">
        <v>90</v>
      </c>
      <c r="C5863" s="1" t="s">
        <v>91</v>
      </c>
      <c r="D5863" s="1">
        <v>1801</v>
      </c>
      <c r="E5863" s="6">
        <v>0</v>
      </c>
      <c r="G5863" s="1">
        <v>0</v>
      </c>
      <c r="H5863" s="1">
        <v>0</v>
      </c>
      <c r="M5863" s="1" t="s">
        <v>677</v>
      </c>
      <c r="N5863" s="1" t="s">
        <v>425</v>
      </c>
      <c r="O5863" s="1" t="s">
        <v>625</v>
      </c>
      <c r="P5863" s="1" t="s">
        <v>423</v>
      </c>
      <c r="Q5863" s="1">
        <v>0</v>
      </c>
      <c r="S5863" s="1">
        <v>0</v>
      </c>
      <c r="T5863" s="1">
        <v>0</v>
      </c>
      <c r="V5863" s="1">
        <f t="shared" si="100"/>
        <v>0</v>
      </c>
      <c r="W5863" s="1" t="s">
        <v>5</v>
      </c>
      <c r="X5863" s="50"/>
      <c r="Y5863" s="1">
        <v>0</v>
      </c>
      <c r="Z5863" s="6">
        <v>0</v>
      </c>
      <c r="AA5863" s="6">
        <v>0</v>
      </c>
    </row>
    <row r="5864" spans="1:27" ht="12.75" customHeight="1" x14ac:dyDescent="0.2">
      <c r="A5864" s="1">
        <v>28</v>
      </c>
      <c r="B5864" s="1" t="s">
        <v>90</v>
      </c>
      <c r="C5864" s="1" t="s">
        <v>91</v>
      </c>
      <c r="D5864" s="1">
        <v>1802</v>
      </c>
      <c r="E5864" s="6">
        <v>0</v>
      </c>
      <c r="G5864" s="1">
        <v>0</v>
      </c>
      <c r="H5864" s="1">
        <v>0</v>
      </c>
      <c r="M5864" s="1" t="s">
        <v>677</v>
      </c>
      <c r="N5864" s="1" t="s">
        <v>425</v>
      </c>
      <c r="O5864" s="1" t="s">
        <v>625</v>
      </c>
      <c r="P5864" s="1" t="s">
        <v>423</v>
      </c>
      <c r="Q5864" s="1">
        <v>0</v>
      </c>
      <c r="S5864" s="1">
        <v>0</v>
      </c>
      <c r="T5864" s="1">
        <v>0</v>
      </c>
      <c r="V5864" s="1">
        <f t="shared" si="100"/>
        <v>0</v>
      </c>
      <c r="W5864" s="1" t="s">
        <v>5</v>
      </c>
      <c r="X5864" s="50"/>
      <c r="Y5864" s="1">
        <v>0</v>
      </c>
      <c r="Z5864" s="6">
        <v>0</v>
      </c>
      <c r="AA5864" s="6">
        <v>0</v>
      </c>
    </row>
    <row r="5865" spans="1:27" ht="12.75" customHeight="1" x14ac:dyDescent="0.2">
      <c r="A5865" s="1">
        <v>28</v>
      </c>
      <c r="B5865" s="1" t="s">
        <v>90</v>
      </c>
      <c r="C5865" s="1" t="s">
        <v>91</v>
      </c>
      <c r="D5865" s="1">
        <v>1803</v>
      </c>
      <c r="E5865" s="6">
        <v>0</v>
      </c>
      <c r="G5865" s="1">
        <v>0</v>
      </c>
      <c r="H5865" s="1">
        <v>0</v>
      </c>
      <c r="M5865" s="1" t="s">
        <v>677</v>
      </c>
      <c r="N5865" s="1" t="s">
        <v>425</v>
      </c>
      <c r="O5865" s="1" t="s">
        <v>625</v>
      </c>
      <c r="P5865" s="1" t="s">
        <v>423</v>
      </c>
      <c r="Q5865" s="1">
        <v>0</v>
      </c>
      <c r="S5865" s="1">
        <v>0</v>
      </c>
      <c r="T5865" s="1">
        <v>0</v>
      </c>
      <c r="V5865" s="1">
        <f t="shared" si="100"/>
        <v>0</v>
      </c>
      <c r="W5865" s="1" t="s">
        <v>5</v>
      </c>
      <c r="X5865" s="50"/>
      <c r="Y5865" s="1">
        <v>0</v>
      </c>
      <c r="Z5865" s="6">
        <v>0</v>
      </c>
      <c r="AA5865" s="6">
        <v>0</v>
      </c>
    </row>
    <row r="5866" spans="1:27" ht="12.75" customHeight="1" x14ac:dyDescent="0.2">
      <c r="A5866" s="1">
        <v>28</v>
      </c>
      <c r="B5866" s="1" t="s">
        <v>90</v>
      </c>
      <c r="C5866" s="1" t="s">
        <v>91</v>
      </c>
      <c r="D5866" s="1">
        <v>1804</v>
      </c>
      <c r="E5866" s="6">
        <v>0</v>
      </c>
      <c r="G5866" s="1">
        <v>0</v>
      </c>
      <c r="H5866" s="1">
        <v>0</v>
      </c>
      <c r="M5866" s="1" t="s">
        <v>677</v>
      </c>
      <c r="N5866" s="1" t="s">
        <v>425</v>
      </c>
      <c r="O5866" s="1" t="s">
        <v>625</v>
      </c>
      <c r="P5866" s="1" t="s">
        <v>423</v>
      </c>
      <c r="Q5866" s="1">
        <v>0</v>
      </c>
      <c r="S5866" s="1">
        <v>0</v>
      </c>
      <c r="T5866" s="1">
        <v>0</v>
      </c>
      <c r="V5866" s="1">
        <f t="shared" si="100"/>
        <v>0</v>
      </c>
      <c r="W5866" s="1" t="s">
        <v>5</v>
      </c>
      <c r="X5866" s="50"/>
      <c r="Y5866" s="1">
        <v>0</v>
      </c>
      <c r="Z5866" s="6">
        <v>0</v>
      </c>
      <c r="AA5866" s="6">
        <v>0</v>
      </c>
    </row>
    <row r="5867" spans="1:27" ht="12.75" customHeight="1" x14ac:dyDescent="0.2">
      <c r="A5867" s="1">
        <v>28</v>
      </c>
      <c r="B5867" s="1" t="s">
        <v>90</v>
      </c>
      <c r="C5867" s="1" t="s">
        <v>91</v>
      </c>
      <c r="D5867" s="1">
        <v>1805</v>
      </c>
      <c r="E5867" s="6">
        <v>0</v>
      </c>
      <c r="G5867" s="1">
        <v>0</v>
      </c>
      <c r="H5867" s="1">
        <v>0</v>
      </c>
      <c r="M5867" s="1" t="s">
        <v>677</v>
      </c>
      <c r="N5867" s="1" t="s">
        <v>425</v>
      </c>
      <c r="O5867" s="1" t="s">
        <v>625</v>
      </c>
      <c r="P5867" s="1" t="s">
        <v>423</v>
      </c>
      <c r="Q5867" s="1">
        <v>0</v>
      </c>
      <c r="S5867" s="1">
        <v>0</v>
      </c>
      <c r="T5867" s="1">
        <v>0</v>
      </c>
      <c r="V5867" s="1">
        <f t="shared" si="100"/>
        <v>0</v>
      </c>
      <c r="W5867" s="1" t="s">
        <v>5</v>
      </c>
      <c r="X5867" s="50"/>
      <c r="Y5867" s="1">
        <v>0</v>
      </c>
      <c r="Z5867" s="6">
        <v>0</v>
      </c>
      <c r="AA5867" s="6">
        <v>0</v>
      </c>
    </row>
    <row r="5868" spans="1:27" x14ac:dyDescent="0.2">
      <c r="A5868" s="1">
        <v>28</v>
      </c>
      <c r="B5868" s="1" t="s">
        <v>90</v>
      </c>
      <c r="C5868" s="1" t="s">
        <v>91</v>
      </c>
      <c r="D5868" s="1">
        <v>1806</v>
      </c>
      <c r="E5868" s="6">
        <v>0</v>
      </c>
      <c r="G5868" s="1">
        <v>0</v>
      </c>
      <c r="H5868" s="1">
        <v>0</v>
      </c>
      <c r="M5868" s="1" t="s">
        <v>677</v>
      </c>
      <c r="N5868" s="1" t="s">
        <v>425</v>
      </c>
      <c r="O5868" s="1" t="s">
        <v>625</v>
      </c>
      <c r="P5868" s="1" t="s">
        <v>423</v>
      </c>
      <c r="Q5868" s="1">
        <v>0</v>
      </c>
      <c r="S5868" s="1">
        <v>0</v>
      </c>
      <c r="T5868" s="1">
        <v>0</v>
      </c>
      <c r="V5868" s="1">
        <f t="shared" si="100"/>
        <v>0</v>
      </c>
      <c r="W5868" s="1" t="s">
        <v>5</v>
      </c>
      <c r="X5868" s="50"/>
      <c r="Y5868" s="1">
        <v>0</v>
      </c>
      <c r="Z5868" s="6">
        <v>0</v>
      </c>
      <c r="AA5868" s="6">
        <v>0</v>
      </c>
    </row>
    <row r="5869" spans="1:27" x14ac:dyDescent="0.2">
      <c r="A5869" s="1">
        <v>28</v>
      </c>
      <c r="B5869" s="1" t="s">
        <v>90</v>
      </c>
      <c r="C5869" s="1" t="s">
        <v>91</v>
      </c>
      <c r="D5869" s="1">
        <v>1807</v>
      </c>
      <c r="E5869" s="6">
        <v>0</v>
      </c>
      <c r="G5869" s="1">
        <v>0</v>
      </c>
      <c r="H5869" s="1">
        <v>0</v>
      </c>
      <c r="M5869" s="1" t="s">
        <v>677</v>
      </c>
      <c r="N5869" s="1" t="s">
        <v>425</v>
      </c>
      <c r="O5869" s="1" t="s">
        <v>625</v>
      </c>
      <c r="P5869" s="1" t="s">
        <v>423</v>
      </c>
      <c r="Q5869" s="1">
        <v>0</v>
      </c>
      <c r="S5869" s="1">
        <v>0</v>
      </c>
      <c r="T5869" s="1">
        <v>0</v>
      </c>
      <c r="V5869" s="1">
        <f t="shared" si="100"/>
        <v>0</v>
      </c>
      <c r="W5869" s="1" t="s">
        <v>5</v>
      </c>
      <c r="X5869" s="50"/>
      <c r="Y5869" s="1">
        <v>0</v>
      </c>
      <c r="Z5869" s="6">
        <v>0</v>
      </c>
      <c r="AA5869" s="6">
        <v>0</v>
      </c>
    </row>
    <row r="5870" spans="1:27" x14ac:dyDescent="0.2">
      <c r="A5870" s="1">
        <v>28</v>
      </c>
      <c r="B5870" s="1" t="s">
        <v>90</v>
      </c>
      <c r="C5870" s="1" t="s">
        <v>91</v>
      </c>
      <c r="D5870" s="1">
        <v>1808</v>
      </c>
      <c r="E5870" s="6">
        <v>0</v>
      </c>
      <c r="G5870" s="1">
        <v>0</v>
      </c>
      <c r="H5870" s="1">
        <v>0</v>
      </c>
      <c r="M5870" s="1" t="s">
        <v>677</v>
      </c>
      <c r="N5870" s="1" t="s">
        <v>425</v>
      </c>
      <c r="O5870" s="1" t="s">
        <v>625</v>
      </c>
      <c r="P5870" s="1" t="s">
        <v>423</v>
      </c>
      <c r="Q5870" s="1">
        <v>0</v>
      </c>
      <c r="S5870" s="1">
        <v>0</v>
      </c>
      <c r="T5870" s="1">
        <v>0</v>
      </c>
      <c r="V5870" s="1">
        <f t="shared" si="100"/>
        <v>0</v>
      </c>
      <c r="W5870" s="1" t="s">
        <v>5</v>
      </c>
      <c r="X5870" s="50"/>
      <c r="Y5870" s="1">
        <v>0</v>
      </c>
      <c r="Z5870" s="6">
        <v>0</v>
      </c>
      <c r="AA5870" s="6">
        <v>0</v>
      </c>
    </row>
    <row r="5871" spans="1:27" x14ac:dyDescent="0.2">
      <c r="A5871" s="1">
        <v>28</v>
      </c>
      <c r="B5871" s="1" t="s">
        <v>90</v>
      </c>
      <c r="C5871" s="1" t="s">
        <v>91</v>
      </c>
      <c r="D5871" s="1">
        <v>1809</v>
      </c>
      <c r="E5871" s="6">
        <v>0</v>
      </c>
      <c r="G5871" s="1">
        <v>0</v>
      </c>
      <c r="H5871" s="1">
        <v>0</v>
      </c>
      <c r="M5871" s="1" t="s">
        <v>677</v>
      </c>
      <c r="N5871" s="1" t="s">
        <v>425</v>
      </c>
      <c r="O5871" s="1" t="s">
        <v>625</v>
      </c>
      <c r="P5871" s="1" t="s">
        <v>423</v>
      </c>
      <c r="Q5871" s="1">
        <v>0</v>
      </c>
      <c r="S5871" s="1">
        <v>0</v>
      </c>
      <c r="T5871" s="1">
        <v>0</v>
      </c>
      <c r="V5871" s="1">
        <f t="shared" si="100"/>
        <v>0</v>
      </c>
      <c r="W5871" s="1" t="s">
        <v>5</v>
      </c>
      <c r="X5871" s="50"/>
      <c r="Y5871" s="1">
        <v>0</v>
      </c>
      <c r="Z5871" s="6">
        <v>0</v>
      </c>
      <c r="AA5871" s="6">
        <v>0</v>
      </c>
    </row>
    <row r="5872" spans="1:27" x14ac:dyDescent="0.2">
      <c r="A5872" s="1">
        <v>28</v>
      </c>
      <c r="B5872" s="1" t="s">
        <v>90</v>
      </c>
      <c r="C5872" s="1" t="s">
        <v>91</v>
      </c>
      <c r="D5872" s="1">
        <v>1810</v>
      </c>
      <c r="E5872" s="6">
        <v>0</v>
      </c>
      <c r="G5872" s="1">
        <v>0</v>
      </c>
      <c r="H5872" s="1">
        <v>0</v>
      </c>
      <c r="M5872" s="1" t="s">
        <v>677</v>
      </c>
      <c r="N5872" s="1" t="s">
        <v>425</v>
      </c>
      <c r="O5872" s="1" t="s">
        <v>625</v>
      </c>
      <c r="P5872" s="1" t="s">
        <v>423</v>
      </c>
      <c r="Q5872" s="1">
        <v>0</v>
      </c>
      <c r="S5872" s="1">
        <v>0</v>
      </c>
      <c r="T5872" s="1">
        <v>0</v>
      </c>
      <c r="V5872" s="1">
        <f t="shared" si="100"/>
        <v>0</v>
      </c>
      <c r="W5872" s="1" t="s">
        <v>5</v>
      </c>
      <c r="X5872" s="50"/>
      <c r="Y5872" s="1">
        <v>0</v>
      </c>
      <c r="Z5872" s="6">
        <v>0</v>
      </c>
      <c r="AA5872" s="6">
        <v>0</v>
      </c>
    </row>
    <row r="5873" spans="1:27" x14ac:dyDescent="0.2">
      <c r="A5873" s="1">
        <v>28</v>
      </c>
      <c r="B5873" s="1" t="s">
        <v>90</v>
      </c>
      <c r="C5873" s="1" t="s">
        <v>91</v>
      </c>
      <c r="D5873" s="1">
        <v>1811</v>
      </c>
      <c r="E5873" s="6">
        <v>0</v>
      </c>
      <c r="G5873" s="1">
        <v>0</v>
      </c>
      <c r="H5873" s="1">
        <v>0</v>
      </c>
      <c r="M5873" s="1" t="s">
        <v>677</v>
      </c>
      <c r="N5873" s="1" t="s">
        <v>425</v>
      </c>
      <c r="O5873" s="1" t="s">
        <v>625</v>
      </c>
      <c r="P5873" s="1" t="s">
        <v>423</v>
      </c>
      <c r="Q5873" s="1">
        <v>0</v>
      </c>
      <c r="S5873" s="1">
        <v>0</v>
      </c>
      <c r="T5873" s="1">
        <v>0</v>
      </c>
      <c r="V5873" s="1">
        <f t="shared" si="100"/>
        <v>0</v>
      </c>
      <c r="W5873" s="1" t="s">
        <v>5</v>
      </c>
      <c r="X5873" s="50"/>
      <c r="Y5873" s="1">
        <v>0</v>
      </c>
      <c r="Z5873" s="6">
        <v>0</v>
      </c>
      <c r="AA5873" s="6">
        <v>0</v>
      </c>
    </row>
    <row r="5874" spans="1:27" x14ac:dyDescent="0.2">
      <c r="A5874" s="1">
        <v>28</v>
      </c>
      <c r="B5874" s="1" t="s">
        <v>90</v>
      </c>
      <c r="C5874" s="1" t="s">
        <v>91</v>
      </c>
      <c r="D5874" s="1">
        <v>1812</v>
      </c>
      <c r="E5874" s="6">
        <v>0</v>
      </c>
      <c r="G5874" s="1">
        <v>0</v>
      </c>
      <c r="H5874" s="1">
        <v>0</v>
      </c>
      <c r="M5874" s="1" t="s">
        <v>677</v>
      </c>
      <c r="N5874" s="1" t="s">
        <v>425</v>
      </c>
      <c r="O5874" s="1" t="s">
        <v>625</v>
      </c>
      <c r="P5874" s="1" t="s">
        <v>423</v>
      </c>
      <c r="Q5874" s="1">
        <v>0</v>
      </c>
      <c r="S5874" s="1">
        <v>0</v>
      </c>
      <c r="T5874" s="1">
        <v>0</v>
      </c>
      <c r="V5874" s="1">
        <f t="shared" si="100"/>
        <v>0</v>
      </c>
      <c r="W5874" s="1" t="s">
        <v>5</v>
      </c>
      <c r="X5874" s="50"/>
      <c r="Y5874" s="1">
        <v>0</v>
      </c>
      <c r="Z5874" s="6">
        <v>0</v>
      </c>
      <c r="AA5874" s="6">
        <v>0</v>
      </c>
    </row>
    <row r="5875" spans="1:27" x14ac:dyDescent="0.2">
      <c r="A5875" s="1">
        <v>28</v>
      </c>
      <c r="B5875" s="1" t="s">
        <v>90</v>
      </c>
      <c r="C5875" s="1" t="s">
        <v>91</v>
      </c>
      <c r="D5875" s="1">
        <v>1813</v>
      </c>
      <c r="E5875" s="6">
        <v>0</v>
      </c>
      <c r="G5875" s="1">
        <v>0</v>
      </c>
      <c r="H5875" s="1">
        <v>0</v>
      </c>
      <c r="M5875" s="1" t="s">
        <v>677</v>
      </c>
      <c r="N5875" s="1" t="s">
        <v>425</v>
      </c>
      <c r="O5875" s="1" t="s">
        <v>625</v>
      </c>
      <c r="P5875" s="1" t="s">
        <v>423</v>
      </c>
      <c r="Q5875" s="1">
        <v>0</v>
      </c>
      <c r="S5875" s="1">
        <v>0</v>
      </c>
      <c r="T5875" s="1">
        <v>0</v>
      </c>
      <c r="V5875" s="1">
        <f t="shared" si="100"/>
        <v>0</v>
      </c>
      <c r="W5875" s="1" t="s">
        <v>5</v>
      </c>
      <c r="X5875" s="50"/>
      <c r="Y5875" s="1">
        <v>0</v>
      </c>
      <c r="Z5875" s="6">
        <v>0</v>
      </c>
      <c r="AA5875" s="6">
        <v>0</v>
      </c>
    </row>
    <row r="5876" spans="1:27" x14ac:dyDescent="0.2">
      <c r="A5876" s="1">
        <v>28</v>
      </c>
      <c r="B5876" s="1" t="s">
        <v>90</v>
      </c>
      <c r="C5876" s="1" t="s">
        <v>91</v>
      </c>
      <c r="D5876" s="1">
        <v>1814</v>
      </c>
      <c r="E5876" s="6">
        <v>0</v>
      </c>
      <c r="G5876" s="1">
        <v>0</v>
      </c>
      <c r="H5876" s="1">
        <v>0</v>
      </c>
      <c r="M5876" s="1" t="s">
        <v>677</v>
      </c>
      <c r="N5876" s="1" t="s">
        <v>425</v>
      </c>
      <c r="O5876" s="1" t="s">
        <v>625</v>
      </c>
      <c r="P5876" s="1" t="s">
        <v>423</v>
      </c>
      <c r="Q5876" s="1">
        <v>0</v>
      </c>
      <c r="S5876" s="1">
        <v>0</v>
      </c>
      <c r="T5876" s="1">
        <v>0</v>
      </c>
      <c r="V5876" s="1">
        <f t="shared" si="100"/>
        <v>0</v>
      </c>
      <c r="W5876" s="1" t="s">
        <v>5</v>
      </c>
      <c r="X5876" s="50"/>
      <c r="Y5876" s="1">
        <v>0</v>
      </c>
      <c r="Z5876" s="6">
        <v>0</v>
      </c>
      <c r="AA5876" s="6">
        <v>0</v>
      </c>
    </row>
    <row r="5877" spans="1:27" x14ac:dyDescent="0.2">
      <c r="A5877" s="1">
        <v>28</v>
      </c>
      <c r="B5877" s="1" t="s">
        <v>90</v>
      </c>
      <c r="C5877" s="1" t="s">
        <v>91</v>
      </c>
      <c r="D5877" s="1">
        <v>1815</v>
      </c>
      <c r="E5877" s="6">
        <v>0</v>
      </c>
      <c r="G5877" s="1">
        <v>0</v>
      </c>
      <c r="H5877" s="1">
        <v>0</v>
      </c>
      <c r="M5877" s="1" t="s">
        <v>677</v>
      </c>
      <c r="N5877" s="1" t="s">
        <v>425</v>
      </c>
      <c r="O5877" s="1" t="s">
        <v>625</v>
      </c>
      <c r="P5877" s="1" t="s">
        <v>423</v>
      </c>
      <c r="Q5877" s="1">
        <v>0</v>
      </c>
      <c r="S5877" s="1">
        <v>0</v>
      </c>
      <c r="T5877" s="1">
        <v>0</v>
      </c>
      <c r="V5877" s="1">
        <f t="shared" si="100"/>
        <v>0</v>
      </c>
      <c r="W5877" s="1" t="s">
        <v>5</v>
      </c>
      <c r="X5877" s="50"/>
      <c r="Y5877" s="1">
        <v>0</v>
      </c>
      <c r="Z5877" s="6">
        <v>0</v>
      </c>
      <c r="AA5877" s="6">
        <v>0</v>
      </c>
    </row>
    <row r="5878" spans="1:27" x14ac:dyDescent="0.2">
      <c r="A5878" s="1">
        <v>28</v>
      </c>
      <c r="B5878" s="1" t="s">
        <v>90</v>
      </c>
      <c r="C5878" s="1" t="s">
        <v>91</v>
      </c>
      <c r="D5878" s="1">
        <v>1816</v>
      </c>
      <c r="E5878" s="6">
        <v>0</v>
      </c>
      <c r="G5878" s="1">
        <v>0</v>
      </c>
      <c r="H5878" s="1">
        <v>0</v>
      </c>
      <c r="M5878" s="1" t="s">
        <v>677</v>
      </c>
      <c r="N5878" s="1" t="s">
        <v>425</v>
      </c>
      <c r="O5878" s="1" t="s">
        <v>625</v>
      </c>
      <c r="P5878" s="1" t="s">
        <v>423</v>
      </c>
      <c r="Q5878" s="1">
        <v>0</v>
      </c>
      <c r="S5878" s="1">
        <v>0</v>
      </c>
      <c r="T5878" s="1">
        <v>0</v>
      </c>
      <c r="V5878" s="1">
        <f t="shared" si="100"/>
        <v>0</v>
      </c>
      <c r="W5878" s="1" t="s">
        <v>5</v>
      </c>
      <c r="X5878" s="50"/>
      <c r="Y5878" s="1">
        <v>0</v>
      </c>
      <c r="Z5878" s="6">
        <v>0</v>
      </c>
      <c r="AA5878" s="6">
        <v>0</v>
      </c>
    </row>
    <row r="5879" spans="1:27" x14ac:dyDescent="0.2">
      <c r="A5879" s="1">
        <v>28</v>
      </c>
      <c r="B5879" s="1" t="s">
        <v>90</v>
      </c>
      <c r="C5879" s="1" t="s">
        <v>91</v>
      </c>
      <c r="D5879" s="1">
        <v>1817</v>
      </c>
      <c r="E5879" s="6">
        <v>0</v>
      </c>
      <c r="G5879" s="1">
        <v>0</v>
      </c>
      <c r="H5879" s="1">
        <v>0</v>
      </c>
      <c r="M5879" s="1" t="s">
        <v>677</v>
      </c>
      <c r="N5879" s="1" t="s">
        <v>425</v>
      </c>
      <c r="O5879" s="1" t="s">
        <v>625</v>
      </c>
      <c r="P5879" s="1" t="s">
        <v>423</v>
      </c>
      <c r="Q5879" s="1">
        <v>0</v>
      </c>
      <c r="S5879" s="1">
        <v>0</v>
      </c>
      <c r="T5879" s="1">
        <v>0</v>
      </c>
      <c r="V5879" s="1">
        <f t="shared" si="100"/>
        <v>0</v>
      </c>
      <c r="W5879" s="1" t="s">
        <v>5</v>
      </c>
      <c r="X5879" s="50"/>
      <c r="Y5879" s="1">
        <v>0</v>
      </c>
      <c r="Z5879" s="6">
        <v>0</v>
      </c>
      <c r="AA5879" s="6">
        <v>0</v>
      </c>
    </row>
    <row r="5880" spans="1:27" x14ac:dyDescent="0.2">
      <c r="A5880" s="1">
        <v>28</v>
      </c>
      <c r="B5880" s="1" t="s">
        <v>90</v>
      </c>
      <c r="C5880" s="1" t="s">
        <v>91</v>
      </c>
      <c r="D5880" s="1">
        <v>1818</v>
      </c>
      <c r="E5880" s="6">
        <v>0</v>
      </c>
      <c r="G5880" s="1">
        <v>0</v>
      </c>
      <c r="H5880" s="1">
        <v>0</v>
      </c>
      <c r="M5880" s="1" t="s">
        <v>677</v>
      </c>
      <c r="N5880" s="1" t="s">
        <v>425</v>
      </c>
      <c r="O5880" s="1" t="s">
        <v>625</v>
      </c>
      <c r="P5880" s="1" t="s">
        <v>423</v>
      </c>
      <c r="Q5880" s="1">
        <v>0</v>
      </c>
      <c r="S5880" s="1">
        <v>0</v>
      </c>
      <c r="T5880" s="1">
        <v>0</v>
      </c>
      <c r="V5880" s="1">
        <f t="shared" si="100"/>
        <v>0</v>
      </c>
      <c r="W5880" s="1" t="s">
        <v>5</v>
      </c>
      <c r="X5880" s="50"/>
      <c r="Y5880" s="1">
        <v>0</v>
      </c>
      <c r="Z5880" s="6">
        <v>0</v>
      </c>
      <c r="AA5880" s="6">
        <v>0</v>
      </c>
    </row>
    <row r="5881" spans="1:27" x14ac:dyDescent="0.2">
      <c r="A5881" s="1">
        <v>28</v>
      </c>
      <c r="B5881" s="1" t="s">
        <v>90</v>
      </c>
      <c r="C5881" s="1" t="s">
        <v>91</v>
      </c>
      <c r="D5881" s="1">
        <v>1819</v>
      </c>
      <c r="E5881" s="6">
        <v>0</v>
      </c>
      <c r="G5881" s="1">
        <v>0</v>
      </c>
      <c r="H5881" s="1">
        <v>0</v>
      </c>
      <c r="M5881" s="1" t="s">
        <v>677</v>
      </c>
      <c r="N5881" s="1" t="s">
        <v>425</v>
      </c>
      <c r="O5881" s="1" t="s">
        <v>625</v>
      </c>
      <c r="P5881" s="1" t="s">
        <v>423</v>
      </c>
      <c r="Q5881" s="1">
        <v>0</v>
      </c>
      <c r="S5881" s="1">
        <v>0</v>
      </c>
      <c r="T5881" s="1">
        <v>0</v>
      </c>
      <c r="V5881" s="1">
        <f t="shared" si="100"/>
        <v>0</v>
      </c>
      <c r="W5881" s="1" t="s">
        <v>5</v>
      </c>
      <c r="X5881" s="50"/>
      <c r="Y5881" s="1">
        <v>0</v>
      </c>
      <c r="Z5881" s="6">
        <v>0</v>
      </c>
      <c r="AA5881" s="6">
        <v>0</v>
      </c>
    </row>
    <row r="5882" spans="1:27" x14ac:dyDescent="0.2">
      <c r="A5882" s="1">
        <v>28</v>
      </c>
      <c r="B5882" s="1" t="s">
        <v>90</v>
      </c>
      <c r="C5882" s="1" t="s">
        <v>91</v>
      </c>
      <c r="D5882" s="1">
        <v>1820</v>
      </c>
      <c r="E5882" s="6">
        <v>0</v>
      </c>
      <c r="G5882" s="1">
        <v>0</v>
      </c>
      <c r="H5882" s="1">
        <v>0</v>
      </c>
      <c r="M5882" s="1" t="s">
        <v>677</v>
      </c>
      <c r="N5882" s="1" t="s">
        <v>425</v>
      </c>
      <c r="O5882" s="1" t="s">
        <v>625</v>
      </c>
      <c r="P5882" s="1" t="s">
        <v>423</v>
      </c>
      <c r="Q5882" s="1">
        <v>0</v>
      </c>
      <c r="S5882" s="1">
        <v>0</v>
      </c>
      <c r="T5882" s="1">
        <v>0</v>
      </c>
      <c r="V5882" s="1">
        <f t="shared" si="100"/>
        <v>0</v>
      </c>
      <c r="W5882" s="1" t="s">
        <v>5</v>
      </c>
      <c r="X5882" s="50"/>
      <c r="Y5882" s="1">
        <v>0</v>
      </c>
      <c r="Z5882" s="6">
        <v>0</v>
      </c>
      <c r="AA5882" s="6">
        <v>0</v>
      </c>
    </row>
    <row r="5883" spans="1:27" x14ac:dyDescent="0.2">
      <c r="A5883" s="1">
        <v>28</v>
      </c>
      <c r="B5883" s="1" t="s">
        <v>90</v>
      </c>
      <c r="C5883" s="1" t="s">
        <v>91</v>
      </c>
      <c r="D5883" s="1">
        <v>1821</v>
      </c>
      <c r="E5883" s="6">
        <v>0</v>
      </c>
      <c r="G5883" s="1">
        <v>0</v>
      </c>
      <c r="H5883" s="1">
        <v>0</v>
      </c>
      <c r="M5883" s="1" t="s">
        <v>677</v>
      </c>
      <c r="N5883" s="1" t="s">
        <v>425</v>
      </c>
      <c r="O5883" s="1" t="s">
        <v>625</v>
      </c>
      <c r="P5883" s="1" t="s">
        <v>423</v>
      </c>
      <c r="Q5883" s="1">
        <v>0</v>
      </c>
      <c r="S5883" s="1">
        <v>0</v>
      </c>
      <c r="T5883" s="1">
        <v>0</v>
      </c>
      <c r="V5883" s="1">
        <f t="shared" si="100"/>
        <v>0</v>
      </c>
      <c r="W5883" s="1" t="s">
        <v>5</v>
      </c>
      <c r="X5883" s="50"/>
      <c r="Y5883" s="1">
        <v>0</v>
      </c>
      <c r="Z5883" s="6">
        <v>0</v>
      </c>
      <c r="AA5883" s="6">
        <v>0</v>
      </c>
    </row>
    <row r="5884" spans="1:27" ht="12.75" customHeight="1" x14ac:dyDescent="0.2">
      <c r="A5884" s="1">
        <v>28</v>
      </c>
      <c r="B5884" s="1" t="s">
        <v>90</v>
      </c>
      <c r="C5884" s="1" t="s">
        <v>91</v>
      </c>
      <c r="D5884" s="1">
        <v>1822</v>
      </c>
      <c r="E5884" s="6">
        <v>0</v>
      </c>
      <c r="G5884" s="1">
        <v>0</v>
      </c>
      <c r="H5884" s="1">
        <v>0</v>
      </c>
      <c r="M5884" s="1" t="s">
        <v>677</v>
      </c>
      <c r="N5884" s="1" t="s">
        <v>425</v>
      </c>
      <c r="O5884" s="1" t="s">
        <v>625</v>
      </c>
      <c r="P5884" s="1" t="s">
        <v>423</v>
      </c>
      <c r="Q5884" s="1">
        <v>0</v>
      </c>
      <c r="S5884" s="1">
        <v>0</v>
      </c>
      <c r="T5884" s="1">
        <v>0</v>
      </c>
      <c r="V5884" s="1">
        <f t="shared" si="100"/>
        <v>0</v>
      </c>
      <c r="W5884" s="1" t="s">
        <v>5</v>
      </c>
      <c r="X5884" s="50"/>
      <c r="Y5884" s="1">
        <v>0</v>
      </c>
      <c r="Z5884" s="6">
        <v>0</v>
      </c>
      <c r="AA5884" s="6">
        <v>0</v>
      </c>
    </row>
    <row r="5885" spans="1:27" x14ac:dyDescent="0.2">
      <c r="A5885" s="1">
        <v>28</v>
      </c>
      <c r="B5885" s="1" t="s">
        <v>90</v>
      </c>
      <c r="C5885" s="1" t="s">
        <v>91</v>
      </c>
      <c r="D5885" s="1">
        <v>1823</v>
      </c>
      <c r="E5885" s="6">
        <v>0</v>
      </c>
      <c r="G5885" s="1">
        <v>0</v>
      </c>
      <c r="H5885" s="1">
        <v>0</v>
      </c>
      <c r="M5885" s="1" t="s">
        <v>677</v>
      </c>
      <c r="N5885" s="1" t="s">
        <v>425</v>
      </c>
      <c r="O5885" s="1" t="s">
        <v>625</v>
      </c>
      <c r="P5885" s="1" t="s">
        <v>423</v>
      </c>
      <c r="Q5885" s="1">
        <v>0</v>
      </c>
      <c r="S5885" s="1">
        <v>0</v>
      </c>
      <c r="T5885" s="1">
        <v>0</v>
      </c>
      <c r="V5885" s="1">
        <f t="shared" si="100"/>
        <v>0</v>
      </c>
      <c r="W5885" s="1" t="s">
        <v>5</v>
      </c>
      <c r="X5885" s="50"/>
      <c r="Y5885" s="1">
        <v>0</v>
      </c>
      <c r="Z5885" s="6">
        <v>0</v>
      </c>
      <c r="AA5885" s="6">
        <v>0</v>
      </c>
    </row>
    <row r="5886" spans="1:27" x14ac:dyDescent="0.2">
      <c r="A5886" s="1">
        <v>28</v>
      </c>
      <c r="B5886" s="1" t="s">
        <v>90</v>
      </c>
      <c r="C5886" s="1" t="s">
        <v>91</v>
      </c>
      <c r="D5886" s="1">
        <v>1824</v>
      </c>
      <c r="E5886" s="6">
        <v>0</v>
      </c>
      <c r="G5886" s="1">
        <v>0</v>
      </c>
      <c r="H5886" s="1">
        <v>0</v>
      </c>
      <c r="M5886" s="1" t="s">
        <v>677</v>
      </c>
      <c r="N5886" s="1" t="s">
        <v>425</v>
      </c>
      <c r="O5886" s="1" t="s">
        <v>625</v>
      </c>
      <c r="P5886" s="1" t="s">
        <v>423</v>
      </c>
      <c r="Q5886" s="1">
        <v>0</v>
      </c>
      <c r="S5886" s="1">
        <v>0</v>
      </c>
      <c r="T5886" s="1">
        <v>0</v>
      </c>
      <c r="V5886" s="1">
        <f t="shared" si="100"/>
        <v>0</v>
      </c>
      <c r="W5886" s="1" t="s">
        <v>5</v>
      </c>
      <c r="X5886" s="50"/>
      <c r="Y5886" s="1">
        <v>0</v>
      </c>
      <c r="Z5886" s="6">
        <v>0</v>
      </c>
      <c r="AA5886" s="6">
        <v>0</v>
      </c>
    </row>
    <row r="5887" spans="1:27" x14ac:dyDescent="0.2">
      <c r="A5887" s="1">
        <v>28</v>
      </c>
      <c r="B5887" s="1" t="s">
        <v>90</v>
      </c>
      <c r="C5887" s="1" t="s">
        <v>91</v>
      </c>
      <c r="D5887" s="1">
        <v>1825</v>
      </c>
      <c r="E5887" s="6">
        <v>0</v>
      </c>
      <c r="G5887" s="1">
        <v>0</v>
      </c>
      <c r="H5887" s="1">
        <v>0</v>
      </c>
      <c r="M5887" s="1" t="s">
        <v>677</v>
      </c>
      <c r="N5887" s="1" t="s">
        <v>425</v>
      </c>
      <c r="O5887" s="1" t="s">
        <v>625</v>
      </c>
      <c r="P5887" s="1" t="s">
        <v>423</v>
      </c>
      <c r="Q5887" s="1">
        <v>0</v>
      </c>
      <c r="S5887" s="1">
        <v>0</v>
      </c>
      <c r="T5887" s="1">
        <v>0</v>
      </c>
      <c r="V5887" s="1">
        <f t="shared" si="100"/>
        <v>0</v>
      </c>
      <c r="W5887" s="1" t="s">
        <v>5</v>
      </c>
      <c r="X5887" s="50"/>
      <c r="Y5887" s="1">
        <v>0</v>
      </c>
      <c r="Z5887" s="6">
        <v>0</v>
      </c>
      <c r="AA5887" s="6">
        <v>0</v>
      </c>
    </row>
    <row r="5888" spans="1:27" x14ac:dyDescent="0.2">
      <c r="A5888" s="1">
        <v>28</v>
      </c>
      <c r="B5888" s="1" t="s">
        <v>90</v>
      </c>
      <c r="C5888" s="1" t="s">
        <v>91</v>
      </c>
      <c r="D5888" s="1">
        <v>1826</v>
      </c>
      <c r="E5888" s="6">
        <v>0</v>
      </c>
      <c r="G5888" s="1">
        <v>0</v>
      </c>
      <c r="H5888" s="1">
        <v>0</v>
      </c>
      <c r="M5888" s="1" t="s">
        <v>677</v>
      </c>
      <c r="N5888" s="1" t="s">
        <v>425</v>
      </c>
      <c r="O5888" s="1" t="s">
        <v>625</v>
      </c>
      <c r="P5888" s="1" t="s">
        <v>423</v>
      </c>
      <c r="Q5888" s="1">
        <v>0</v>
      </c>
      <c r="S5888" s="1">
        <v>0</v>
      </c>
      <c r="T5888" s="1">
        <v>0</v>
      </c>
      <c r="V5888" s="1">
        <f t="shared" si="100"/>
        <v>0</v>
      </c>
      <c r="W5888" s="1" t="s">
        <v>5</v>
      </c>
      <c r="X5888" s="50"/>
      <c r="Y5888" s="1">
        <v>0</v>
      </c>
      <c r="Z5888" s="6">
        <v>0</v>
      </c>
      <c r="AA5888" s="6">
        <v>0</v>
      </c>
    </row>
    <row r="5889" spans="1:27" x14ac:dyDescent="0.2">
      <c r="A5889" s="1">
        <v>28</v>
      </c>
      <c r="B5889" s="1" t="s">
        <v>90</v>
      </c>
      <c r="C5889" s="1" t="s">
        <v>91</v>
      </c>
      <c r="D5889" s="1">
        <v>1827</v>
      </c>
      <c r="E5889" s="6">
        <v>0</v>
      </c>
      <c r="G5889" s="1">
        <v>0</v>
      </c>
      <c r="H5889" s="1">
        <v>0</v>
      </c>
      <c r="M5889" s="1" t="s">
        <v>677</v>
      </c>
      <c r="N5889" s="1" t="s">
        <v>425</v>
      </c>
      <c r="O5889" s="1" t="s">
        <v>625</v>
      </c>
      <c r="P5889" s="1" t="s">
        <v>423</v>
      </c>
      <c r="Q5889" s="1">
        <v>0</v>
      </c>
      <c r="S5889" s="1">
        <v>0</v>
      </c>
      <c r="T5889" s="1">
        <v>0</v>
      </c>
      <c r="V5889" s="1">
        <f t="shared" si="100"/>
        <v>0</v>
      </c>
      <c r="W5889" s="1" t="s">
        <v>5</v>
      </c>
      <c r="X5889" s="50"/>
      <c r="Y5889" s="1">
        <v>0</v>
      </c>
      <c r="Z5889" s="6">
        <v>0</v>
      </c>
      <c r="AA5889" s="6">
        <v>0</v>
      </c>
    </row>
    <row r="5890" spans="1:27" x14ac:dyDescent="0.2">
      <c r="A5890" s="1">
        <v>28</v>
      </c>
      <c r="B5890" s="1" t="s">
        <v>90</v>
      </c>
      <c r="C5890" s="1" t="s">
        <v>91</v>
      </c>
      <c r="D5890" s="1">
        <v>1828</v>
      </c>
      <c r="E5890" s="6">
        <v>0</v>
      </c>
      <c r="G5890" s="1">
        <v>0</v>
      </c>
      <c r="H5890" s="1">
        <v>0</v>
      </c>
      <c r="M5890" s="1" t="s">
        <v>677</v>
      </c>
      <c r="N5890" s="1" t="s">
        <v>425</v>
      </c>
      <c r="O5890" s="1" t="s">
        <v>625</v>
      </c>
      <c r="P5890" s="1" t="s">
        <v>423</v>
      </c>
      <c r="Q5890" s="1">
        <v>0</v>
      </c>
      <c r="S5890" s="1">
        <v>0</v>
      </c>
      <c r="T5890" s="1">
        <v>0</v>
      </c>
      <c r="V5890" s="1">
        <f t="shared" si="100"/>
        <v>0</v>
      </c>
      <c r="W5890" s="1" t="s">
        <v>5</v>
      </c>
      <c r="X5890" s="50"/>
      <c r="Y5890" s="1">
        <v>0</v>
      </c>
      <c r="Z5890" s="6">
        <v>0</v>
      </c>
      <c r="AA5890" s="6">
        <v>0</v>
      </c>
    </row>
    <row r="5891" spans="1:27" x14ac:dyDescent="0.2">
      <c r="A5891" s="1">
        <v>28</v>
      </c>
      <c r="B5891" s="1" t="s">
        <v>90</v>
      </c>
      <c r="C5891" s="1" t="s">
        <v>91</v>
      </c>
      <c r="D5891" s="1">
        <v>1829</v>
      </c>
      <c r="E5891" s="6">
        <v>0</v>
      </c>
      <c r="G5891" s="1">
        <v>0</v>
      </c>
      <c r="H5891" s="1">
        <v>0</v>
      </c>
      <c r="M5891" s="1" t="s">
        <v>677</v>
      </c>
      <c r="N5891" s="1" t="s">
        <v>425</v>
      </c>
      <c r="O5891" s="1" t="s">
        <v>625</v>
      </c>
      <c r="P5891" s="1" t="s">
        <v>423</v>
      </c>
      <c r="Q5891" s="1">
        <v>0</v>
      </c>
      <c r="S5891" s="1">
        <v>0</v>
      </c>
      <c r="T5891" s="1">
        <v>0</v>
      </c>
      <c r="V5891" s="1">
        <f t="shared" si="100"/>
        <v>0</v>
      </c>
      <c r="W5891" s="1" t="s">
        <v>5</v>
      </c>
      <c r="X5891" s="50"/>
      <c r="Y5891" s="1">
        <v>0</v>
      </c>
      <c r="Z5891" s="6">
        <v>0</v>
      </c>
      <c r="AA5891" s="6">
        <v>0</v>
      </c>
    </row>
    <row r="5892" spans="1:27" x14ac:dyDescent="0.2">
      <c r="A5892" s="1">
        <v>28</v>
      </c>
      <c r="B5892" s="1" t="s">
        <v>90</v>
      </c>
      <c r="C5892" s="1" t="s">
        <v>91</v>
      </c>
      <c r="D5892" s="1">
        <v>1830</v>
      </c>
      <c r="E5892" s="6">
        <v>0</v>
      </c>
      <c r="G5892" s="1">
        <v>0</v>
      </c>
      <c r="H5892" s="1">
        <v>0</v>
      </c>
      <c r="M5892" s="1" t="s">
        <v>677</v>
      </c>
      <c r="N5892" s="1" t="s">
        <v>425</v>
      </c>
      <c r="O5892" s="1" t="s">
        <v>625</v>
      </c>
      <c r="P5892" s="1" t="s">
        <v>423</v>
      </c>
      <c r="Q5892" s="1">
        <v>0</v>
      </c>
      <c r="S5892" s="1">
        <v>0</v>
      </c>
      <c r="T5892" s="1">
        <v>0</v>
      </c>
      <c r="V5892" s="1">
        <f t="shared" si="100"/>
        <v>0</v>
      </c>
      <c r="W5892" s="1" t="s">
        <v>5</v>
      </c>
      <c r="X5892" s="50"/>
      <c r="Y5892" s="1">
        <v>0</v>
      </c>
      <c r="Z5892" s="6">
        <v>0</v>
      </c>
      <c r="AA5892" s="6">
        <v>0</v>
      </c>
    </row>
    <row r="5893" spans="1:27" x14ac:dyDescent="0.2">
      <c r="A5893" s="1">
        <v>28</v>
      </c>
      <c r="B5893" s="1" t="s">
        <v>90</v>
      </c>
      <c r="C5893" s="1" t="s">
        <v>91</v>
      </c>
      <c r="D5893" s="1">
        <v>1831</v>
      </c>
      <c r="E5893" s="6">
        <v>0</v>
      </c>
      <c r="G5893" s="1">
        <v>0</v>
      </c>
      <c r="H5893" s="1">
        <v>0</v>
      </c>
      <c r="M5893" s="1" t="s">
        <v>677</v>
      </c>
      <c r="N5893" s="1" t="s">
        <v>425</v>
      </c>
      <c r="O5893" s="1" t="s">
        <v>625</v>
      </c>
      <c r="P5893" s="1" t="s">
        <v>423</v>
      </c>
      <c r="Q5893" s="1">
        <v>0</v>
      </c>
      <c r="S5893" s="1">
        <v>0</v>
      </c>
      <c r="T5893" s="1">
        <v>0</v>
      </c>
      <c r="V5893" s="1">
        <f t="shared" si="100"/>
        <v>0</v>
      </c>
      <c r="W5893" s="1" t="s">
        <v>5</v>
      </c>
      <c r="X5893" s="50"/>
      <c r="Y5893" s="1">
        <v>0</v>
      </c>
      <c r="Z5893" s="6">
        <v>0</v>
      </c>
      <c r="AA5893" s="6">
        <v>0</v>
      </c>
    </row>
    <row r="5894" spans="1:27" x14ac:dyDescent="0.2">
      <c r="A5894" s="1">
        <v>28</v>
      </c>
      <c r="B5894" s="1" t="s">
        <v>90</v>
      </c>
      <c r="C5894" s="1" t="s">
        <v>91</v>
      </c>
      <c r="D5894" s="1">
        <v>1832</v>
      </c>
      <c r="E5894" s="6">
        <v>0</v>
      </c>
      <c r="G5894" s="1">
        <v>0</v>
      </c>
      <c r="H5894" s="1">
        <v>0</v>
      </c>
      <c r="M5894" s="1" t="s">
        <v>677</v>
      </c>
      <c r="N5894" s="1" t="s">
        <v>425</v>
      </c>
      <c r="O5894" s="1" t="s">
        <v>625</v>
      </c>
      <c r="P5894" s="1" t="s">
        <v>423</v>
      </c>
      <c r="Q5894" s="1">
        <v>0</v>
      </c>
      <c r="S5894" s="1">
        <v>0</v>
      </c>
      <c r="T5894" s="1">
        <v>0</v>
      </c>
      <c r="V5894" s="1">
        <f t="shared" si="100"/>
        <v>0</v>
      </c>
      <c r="W5894" s="1" t="s">
        <v>5</v>
      </c>
      <c r="X5894" s="50"/>
      <c r="Y5894" s="1">
        <v>0</v>
      </c>
      <c r="Z5894" s="6">
        <v>0</v>
      </c>
      <c r="AA5894" s="6">
        <v>0</v>
      </c>
    </row>
    <row r="5895" spans="1:27" x14ac:dyDescent="0.2">
      <c r="A5895" s="1">
        <v>28</v>
      </c>
      <c r="B5895" s="1" t="s">
        <v>90</v>
      </c>
      <c r="C5895" s="1" t="s">
        <v>91</v>
      </c>
      <c r="D5895" s="1">
        <v>1833</v>
      </c>
      <c r="E5895" s="6">
        <v>0</v>
      </c>
      <c r="G5895" s="1">
        <v>0</v>
      </c>
      <c r="H5895" s="1">
        <v>0</v>
      </c>
      <c r="M5895" s="1" t="s">
        <v>677</v>
      </c>
      <c r="N5895" s="1" t="s">
        <v>425</v>
      </c>
      <c r="O5895" s="1" t="s">
        <v>625</v>
      </c>
      <c r="P5895" s="1" t="s">
        <v>423</v>
      </c>
      <c r="Q5895" s="1">
        <v>0</v>
      </c>
      <c r="S5895" s="1">
        <v>0</v>
      </c>
      <c r="T5895" s="1">
        <v>0</v>
      </c>
      <c r="V5895" s="1">
        <f t="shared" si="100"/>
        <v>0</v>
      </c>
      <c r="W5895" s="1" t="s">
        <v>5</v>
      </c>
      <c r="X5895" s="50"/>
      <c r="Y5895" s="1">
        <v>0</v>
      </c>
      <c r="Z5895" s="6">
        <v>0</v>
      </c>
      <c r="AA5895" s="6">
        <v>0</v>
      </c>
    </row>
    <row r="5896" spans="1:27" x14ac:dyDescent="0.2">
      <c r="A5896" s="1">
        <v>28</v>
      </c>
      <c r="B5896" s="1" t="s">
        <v>90</v>
      </c>
      <c r="C5896" s="1" t="s">
        <v>91</v>
      </c>
      <c r="D5896" s="1">
        <v>1834</v>
      </c>
      <c r="E5896" s="6">
        <v>0</v>
      </c>
      <c r="G5896" s="1">
        <v>0</v>
      </c>
      <c r="H5896" s="1">
        <v>0</v>
      </c>
      <c r="M5896" s="1" t="s">
        <v>677</v>
      </c>
      <c r="N5896" s="1" t="s">
        <v>425</v>
      </c>
      <c r="O5896" s="1" t="s">
        <v>625</v>
      </c>
      <c r="P5896" s="1" t="s">
        <v>423</v>
      </c>
      <c r="Q5896" s="1">
        <v>0</v>
      </c>
      <c r="S5896" s="1">
        <v>0</v>
      </c>
      <c r="T5896" s="1">
        <v>0</v>
      </c>
      <c r="V5896" s="1">
        <f t="shared" si="100"/>
        <v>0</v>
      </c>
      <c r="W5896" s="1" t="s">
        <v>5</v>
      </c>
      <c r="X5896" s="50"/>
      <c r="Y5896" s="1">
        <v>0</v>
      </c>
      <c r="Z5896" s="6">
        <v>0</v>
      </c>
      <c r="AA5896" s="6">
        <v>0</v>
      </c>
    </row>
    <row r="5897" spans="1:27" x14ac:dyDescent="0.2">
      <c r="A5897" s="1">
        <v>28</v>
      </c>
      <c r="B5897" s="1" t="s">
        <v>90</v>
      </c>
      <c r="C5897" s="1" t="s">
        <v>91</v>
      </c>
      <c r="D5897" s="1">
        <v>1835</v>
      </c>
      <c r="E5897" s="6">
        <v>0</v>
      </c>
      <c r="G5897" s="1">
        <v>0</v>
      </c>
      <c r="H5897" s="1">
        <v>0</v>
      </c>
      <c r="M5897" s="1" t="s">
        <v>677</v>
      </c>
      <c r="N5897" s="1" t="s">
        <v>425</v>
      </c>
      <c r="O5897" s="1" t="s">
        <v>625</v>
      </c>
      <c r="P5897" s="1" t="s">
        <v>423</v>
      </c>
      <c r="Q5897" s="1">
        <v>0</v>
      </c>
      <c r="S5897" s="1">
        <v>0</v>
      </c>
      <c r="T5897" s="1">
        <v>0</v>
      </c>
      <c r="V5897" s="1">
        <f t="shared" si="100"/>
        <v>0</v>
      </c>
      <c r="W5897" s="1" t="s">
        <v>5</v>
      </c>
      <c r="X5897" s="50"/>
      <c r="Y5897" s="1">
        <v>0</v>
      </c>
      <c r="Z5897" s="6">
        <v>0</v>
      </c>
      <c r="AA5897" s="6">
        <v>0</v>
      </c>
    </row>
    <row r="5898" spans="1:27" x14ac:dyDescent="0.2">
      <c r="A5898" s="1">
        <v>28</v>
      </c>
      <c r="B5898" s="1" t="s">
        <v>90</v>
      </c>
      <c r="C5898" s="1" t="s">
        <v>91</v>
      </c>
      <c r="D5898" s="1">
        <v>1836</v>
      </c>
      <c r="E5898" s="6">
        <v>0</v>
      </c>
      <c r="G5898" s="1">
        <v>0</v>
      </c>
      <c r="H5898" s="1">
        <v>0</v>
      </c>
      <c r="M5898" s="1" t="s">
        <v>677</v>
      </c>
      <c r="N5898" s="1" t="s">
        <v>425</v>
      </c>
      <c r="O5898" s="1" t="s">
        <v>625</v>
      </c>
      <c r="P5898" s="1" t="s">
        <v>423</v>
      </c>
      <c r="Q5898" s="1">
        <v>0</v>
      </c>
      <c r="S5898" s="1">
        <v>0</v>
      </c>
      <c r="T5898" s="1">
        <v>0</v>
      </c>
      <c r="V5898" s="1">
        <f t="shared" si="100"/>
        <v>0</v>
      </c>
      <c r="W5898" s="1" t="s">
        <v>5</v>
      </c>
      <c r="X5898" s="50"/>
      <c r="Y5898" s="1">
        <v>0</v>
      </c>
      <c r="Z5898" s="6">
        <v>0</v>
      </c>
      <c r="AA5898" s="6">
        <v>0</v>
      </c>
    </row>
    <row r="5899" spans="1:27" x14ac:dyDescent="0.2">
      <c r="A5899" s="1">
        <v>28</v>
      </c>
      <c r="B5899" s="1" t="s">
        <v>90</v>
      </c>
      <c r="C5899" s="1" t="s">
        <v>91</v>
      </c>
      <c r="D5899" s="1">
        <v>1837</v>
      </c>
      <c r="E5899" s="6">
        <v>0</v>
      </c>
      <c r="G5899" s="1">
        <v>0</v>
      </c>
      <c r="H5899" s="1">
        <v>0</v>
      </c>
      <c r="M5899" s="1" t="s">
        <v>677</v>
      </c>
      <c r="N5899" s="1" t="s">
        <v>425</v>
      </c>
      <c r="O5899" s="1" t="s">
        <v>625</v>
      </c>
      <c r="P5899" s="1" t="s">
        <v>423</v>
      </c>
      <c r="Q5899" s="1">
        <v>0</v>
      </c>
      <c r="S5899" s="1">
        <v>0</v>
      </c>
      <c r="T5899" s="1">
        <v>0</v>
      </c>
      <c r="V5899" s="1">
        <f t="shared" si="100"/>
        <v>0</v>
      </c>
      <c r="W5899" s="1" t="s">
        <v>5</v>
      </c>
      <c r="X5899" s="50"/>
      <c r="Y5899" s="1">
        <v>0</v>
      </c>
      <c r="Z5899" s="6">
        <v>0</v>
      </c>
      <c r="AA5899" s="6">
        <v>0</v>
      </c>
    </row>
    <row r="5900" spans="1:27" x14ac:dyDescent="0.2">
      <c r="A5900" s="1">
        <v>28</v>
      </c>
      <c r="B5900" s="1" t="s">
        <v>90</v>
      </c>
      <c r="C5900" s="1" t="s">
        <v>91</v>
      </c>
      <c r="D5900" s="1">
        <v>1838</v>
      </c>
      <c r="E5900" s="6">
        <v>0</v>
      </c>
      <c r="G5900" s="1">
        <v>0</v>
      </c>
      <c r="H5900" s="1">
        <v>0</v>
      </c>
      <c r="M5900" s="1" t="s">
        <v>677</v>
      </c>
      <c r="N5900" s="1" t="s">
        <v>425</v>
      </c>
      <c r="O5900" s="1" t="s">
        <v>625</v>
      </c>
      <c r="P5900" s="1" t="s">
        <v>423</v>
      </c>
      <c r="Q5900" s="1">
        <v>0</v>
      </c>
      <c r="S5900" s="1">
        <v>0</v>
      </c>
      <c r="T5900" s="1">
        <v>0</v>
      </c>
      <c r="V5900" s="1">
        <f t="shared" si="100"/>
        <v>0</v>
      </c>
      <c r="W5900" s="1" t="s">
        <v>5</v>
      </c>
      <c r="X5900" s="50"/>
      <c r="Y5900" s="1">
        <v>0</v>
      </c>
      <c r="Z5900" s="6">
        <v>0</v>
      </c>
      <c r="AA5900" s="6">
        <v>0</v>
      </c>
    </row>
    <row r="5901" spans="1:27" x14ac:dyDescent="0.2">
      <c r="A5901" s="1">
        <v>28</v>
      </c>
      <c r="B5901" s="1" t="s">
        <v>90</v>
      </c>
      <c r="C5901" s="1" t="s">
        <v>91</v>
      </c>
      <c r="D5901" s="1">
        <v>1839</v>
      </c>
      <c r="E5901" s="6">
        <v>0</v>
      </c>
      <c r="G5901" s="1">
        <v>0</v>
      </c>
      <c r="H5901" s="1">
        <v>0</v>
      </c>
      <c r="M5901" s="1" t="s">
        <v>677</v>
      </c>
      <c r="N5901" s="1" t="s">
        <v>425</v>
      </c>
      <c r="O5901" s="1" t="s">
        <v>625</v>
      </c>
      <c r="P5901" s="1" t="s">
        <v>423</v>
      </c>
      <c r="Q5901" s="1">
        <v>0</v>
      </c>
      <c r="S5901" s="1">
        <v>0</v>
      </c>
      <c r="T5901" s="1">
        <v>0</v>
      </c>
      <c r="V5901" s="1">
        <f t="shared" si="100"/>
        <v>0</v>
      </c>
      <c r="W5901" s="1" t="s">
        <v>5</v>
      </c>
      <c r="X5901" s="50"/>
      <c r="Y5901" s="1">
        <v>0</v>
      </c>
      <c r="Z5901" s="6">
        <v>0</v>
      </c>
      <c r="AA5901" s="6">
        <v>0</v>
      </c>
    </row>
    <row r="5902" spans="1:27" x14ac:dyDescent="0.2">
      <c r="A5902" s="1">
        <v>28</v>
      </c>
      <c r="B5902" s="1" t="s">
        <v>90</v>
      </c>
      <c r="C5902" s="1" t="s">
        <v>91</v>
      </c>
      <c r="D5902" s="1">
        <v>1840</v>
      </c>
      <c r="E5902" s="6">
        <v>0</v>
      </c>
      <c r="G5902" s="1">
        <v>0</v>
      </c>
      <c r="H5902" s="1">
        <v>0</v>
      </c>
      <c r="M5902" s="1" t="s">
        <v>677</v>
      </c>
      <c r="N5902" s="1" t="s">
        <v>425</v>
      </c>
      <c r="O5902" s="1" t="s">
        <v>625</v>
      </c>
      <c r="P5902" s="1" t="s">
        <v>423</v>
      </c>
      <c r="Q5902" s="1">
        <v>0</v>
      </c>
      <c r="S5902" s="1">
        <v>0</v>
      </c>
      <c r="T5902" s="1">
        <v>0</v>
      </c>
      <c r="V5902" s="1">
        <f t="shared" si="100"/>
        <v>0</v>
      </c>
      <c r="W5902" s="1" t="s">
        <v>5</v>
      </c>
      <c r="X5902" s="50"/>
      <c r="Y5902" s="1">
        <v>0</v>
      </c>
      <c r="Z5902" s="6">
        <v>0</v>
      </c>
      <c r="AA5902" s="6">
        <v>0</v>
      </c>
    </row>
    <row r="5903" spans="1:27" x14ac:dyDescent="0.2">
      <c r="A5903" s="1">
        <v>28</v>
      </c>
      <c r="B5903" s="1" t="s">
        <v>90</v>
      </c>
      <c r="C5903" s="1" t="s">
        <v>91</v>
      </c>
      <c r="D5903" s="1">
        <v>1841</v>
      </c>
      <c r="E5903" s="6">
        <v>0</v>
      </c>
      <c r="G5903" s="1">
        <v>0</v>
      </c>
      <c r="H5903" s="1">
        <v>0</v>
      </c>
      <c r="M5903" s="1" t="s">
        <v>677</v>
      </c>
      <c r="N5903" s="1" t="s">
        <v>425</v>
      </c>
      <c r="O5903" s="1" t="s">
        <v>625</v>
      </c>
      <c r="P5903" s="1" t="s">
        <v>423</v>
      </c>
      <c r="Q5903" s="1">
        <v>0</v>
      </c>
      <c r="S5903" s="1">
        <v>0</v>
      </c>
      <c r="T5903" s="1">
        <v>0</v>
      </c>
      <c r="V5903" s="1">
        <f t="shared" si="100"/>
        <v>0</v>
      </c>
      <c r="W5903" s="1" t="s">
        <v>5</v>
      </c>
      <c r="X5903" s="50"/>
      <c r="Y5903" s="1">
        <v>0</v>
      </c>
      <c r="Z5903" s="6">
        <v>0</v>
      </c>
      <c r="AA5903" s="6">
        <v>0</v>
      </c>
    </row>
    <row r="5904" spans="1:27" x14ac:dyDescent="0.2">
      <c r="A5904" s="1">
        <v>28</v>
      </c>
      <c r="B5904" s="1" t="s">
        <v>90</v>
      </c>
      <c r="C5904" s="1" t="s">
        <v>91</v>
      </c>
      <c r="D5904" s="1">
        <v>1842</v>
      </c>
      <c r="E5904" s="6">
        <v>0</v>
      </c>
      <c r="G5904" s="1">
        <v>0</v>
      </c>
      <c r="H5904" s="1">
        <v>0</v>
      </c>
      <c r="M5904" s="1" t="s">
        <v>677</v>
      </c>
      <c r="N5904" s="1" t="s">
        <v>425</v>
      </c>
      <c r="O5904" s="1" t="s">
        <v>625</v>
      </c>
      <c r="P5904" s="1" t="s">
        <v>423</v>
      </c>
      <c r="Q5904" s="1">
        <v>0</v>
      </c>
      <c r="S5904" s="1">
        <v>0</v>
      </c>
      <c r="T5904" s="1">
        <v>0</v>
      </c>
      <c r="V5904" s="1">
        <f t="shared" si="100"/>
        <v>0</v>
      </c>
      <c r="W5904" s="1" t="s">
        <v>5</v>
      </c>
      <c r="X5904" s="50"/>
      <c r="Y5904" s="1">
        <v>0</v>
      </c>
      <c r="Z5904" s="6">
        <v>0</v>
      </c>
      <c r="AA5904" s="6">
        <v>0</v>
      </c>
    </row>
    <row r="5905" spans="1:27" x14ac:dyDescent="0.2">
      <c r="A5905" s="1">
        <v>28</v>
      </c>
      <c r="B5905" s="1" t="s">
        <v>90</v>
      </c>
      <c r="C5905" s="1" t="s">
        <v>91</v>
      </c>
      <c r="D5905" s="1">
        <v>1843</v>
      </c>
      <c r="E5905" s="6">
        <v>0</v>
      </c>
      <c r="G5905" s="1">
        <v>0</v>
      </c>
      <c r="H5905" s="1">
        <v>0</v>
      </c>
      <c r="M5905" s="1" t="s">
        <v>677</v>
      </c>
      <c r="N5905" s="1" t="s">
        <v>425</v>
      </c>
      <c r="O5905" s="1" t="s">
        <v>625</v>
      </c>
      <c r="P5905" s="1" t="s">
        <v>423</v>
      </c>
      <c r="Q5905" s="1">
        <v>0</v>
      </c>
      <c r="S5905" s="1">
        <v>0</v>
      </c>
      <c r="T5905" s="1">
        <v>0</v>
      </c>
      <c r="V5905" s="1">
        <f t="shared" si="100"/>
        <v>0</v>
      </c>
      <c r="W5905" s="1" t="s">
        <v>5</v>
      </c>
      <c r="X5905" s="50"/>
      <c r="Y5905" s="1">
        <v>0</v>
      </c>
      <c r="Z5905" s="6">
        <v>0</v>
      </c>
      <c r="AA5905" s="6">
        <v>0</v>
      </c>
    </row>
    <row r="5906" spans="1:27" x14ac:dyDescent="0.2">
      <c r="A5906" s="1">
        <v>28</v>
      </c>
      <c r="B5906" s="1" t="s">
        <v>90</v>
      </c>
      <c r="C5906" s="1" t="s">
        <v>91</v>
      </c>
      <c r="D5906" s="1">
        <v>1844</v>
      </c>
      <c r="E5906" s="6">
        <v>0</v>
      </c>
      <c r="G5906" s="1">
        <v>0</v>
      </c>
      <c r="H5906" s="1">
        <v>0</v>
      </c>
      <c r="M5906" s="1" t="s">
        <v>677</v>
      </c>
      <c r="N5906" s="1" t="s">
        <v>425</v>
      </c>
      <c r="O5906" s="1" t="s">
        <v>625</v>
      </c>
      <c r="P5906" s="1" t="s">
        <v>423</v>
      </c>
      <c r="Q5906" s="1">
        <v>0</v>
      </c>
      <c r="S5906" s="1">
        <v>0</v>
      </c>
      <c r="T5906" s="1">
        <v>0</v>
      </c>
      <c r="V5906" s="1">
        <f t="shared" si="100"/>
        <v>0</v>
      </c>
      <c r="W5906" s="1" t="s">
        <v>5</v>
      </c>
      <c r="X5906" s="50"/>
      <c r="Y5906" s="1">
        <v>0</v>
      </c>
      <c r="Z5906" s="6">
        <v>0</v>
      </c>
      <c r="AA5906" s="6">
        <v>0</v>
      </c>
    </row>
    <row r="5907" spans="1:27" x14ac:dyDescent="0.2">
      <c r="A5907" s="1">
        <v>28</v>
      </c>
      <c r="B5907" s="1" t="s">
        <v>90</v>
      </c>
      <c r="C5907" s="1" t="s">
        <v>91</v>
      </c>
      <c r="D5907" s="1">
        <v>1845</v>
      </c>
      <c r="E5907" s="6">
        <v>0</v>
      </c>
      <c r="G5907" s="1">
        <v>0</v>
      </c>
      <c r="H5907" s="1">
        <v>0</v>
      </c>
      <c r="M5907" s="1" t="s">
        <v>677</v>
      </c>
      <c r="N5907" s="1" t="s">
        <v>425</v>
      </c>
      <c r="O5907" s="1" t="s">
        <v>625</v>
      </c>
      <c r="P5907" s="1" t="s">
        <v>423</v>
      </c>
      <c r="Q5907" s="1">
        <v>0</v>
      </c>
      <c r="S5907" s="1">
        <v>0</v>
      </c>
      <c r="T5907" s="1">
        <v>0</v>
      </c>
      <c r="V5907" s="1">
        <f t="shared" si="100"/>
        <v>0</v>
      </c>
      <c r="W5907" s="1" t="s">
        <v>5</v>
      </c>
      <c r="X5907" s="50"/>
      <c r="Y5907" s="1">
        <v>0</v>
      </c>
      <c r="Z5907" s="6">
        <v>0</v>
      </c>
      <c r="AA5907" s="6">
        <v>0</v>
      </c>
    </row>
    <row r="5908" spans="1:27" x14ac:dyDescent="0.2">
      <c r="A5908" s="1">
        <v>28</v>
      </c>
      <c r="B5908" s="1" t="s">
        <v>90</v>
      </c>
      <c r="C5908" s="1" t="s">
        <v>91</v>
      </c>
      <c r="D5908" s="1">
        <v>1846</v>
      </c>
      <c r="E5908" s="6">
        <v>0</v>
      </c>
      <c r="G5908" s="1">
        <v>0</v>
      </c>
      <c r="H5908" s="1">
        <v>0</v>
      </c>
      <c r="M5908" s="1" t="s">
        <v>677</v>
      </c>
      <c r="N5908" s="1" t="s">
        <v>425</v>
      </c>
      <c r="O5908" s="1" t="s">
        <v>625</v>
      </c>
      <c r="P5908" s="1" t="s">
        <v>423</v>
      </c>
      <c r="Q5908" s="1">
        <v>0</v>
      </c>
      <c r="S5908" s="1">
        <v>0</v>
      </c>
      <c r="T5908" s="1">
        <v>0</v>
      </c>
      <c r="V5908" s="1">
        <f t="shared" si="100"/>
        <v>0</v>
      </c>
      <c r="W5908" s="1" t="s">
        <v>5</v>
      </c>
      <c r="X5908" s="50"/>
      <c r="Y5908" s="1">
        <v>0</v>
      </c>
      <c r="Z5908" s="6">
        <v>0</v>
      </c>
      <c r="AA5908" s="6">
        <v>0</v>
      </c>
    </row>
    <row r="5909" spans="1:27" x14ac:dyDescent="0.2">
      <c r="A5909" s="1">
        <v>28</v>
      </c>
      <c r="B5909" s="1" t="s">
        <v>90</v>
      </c>
      <c r="C5909" s="1" t="s">
        <v>91</v>
      </c>
      <c r="D5909" s="1">
        <v>1847</v>
      </c>
      <c r="E5909" s="6">
        <v>0</v>
      </c>
      <c r="G5909" s="1">
        <v>0</v>
      </c>
      <c r="H5909" s="1">
        <v>0</v>
      </c>
      <c r="M5909" s="1" t="s">
        <v>677</v>
      </c>
      <c r="N5909" s="1" t="s">
        <v>425</v>
      </c>
      <c r="O5909" s="1" t="s">
        <v>625</v>
      </c>
      <c r="P5909" s="1" t="s">
        <v>423</v>
      </c>
      <c r="Q5909" s="1">
        <v>0</v>
      </c>
      <c r="S5909" s="1">
        <v>0</v>
      </c>
      <c r="T5909" s="1">
        <v>0</v>
      </c>
      <c r="V5909" s="1">
        <f t="shared" si="100"/>
        <v>0</v>
      </c>
      <c r="W5909" s="1" t="s">
        <v>5</v>
      </c>
      <c r="X5909" s="50"/>
      <c r="Y5909" s="1">
        <v>0</v>
      </c>
      <c r="Z5909" s="6">
        <v>0</v>
      </c>
      <c r="AA5909" s="6">
        <v>0</v>
      </c>
    </row>
    <row r="5910" spans="1:27" x14ac:dyDescent="0.2">
      <c r="A5910" s="1">
        <v>28</v>
      </c>
      <c r="B5910" s="1" t="s">
        <v>90</v>
      </c>
      <c r="C5910" s="1" t="s">
        <v>91</v>
      </c>
      <c r="D5910" s="1">
        <v>1848</v>
      </c>
      <c r="E5910" s="6">
        <v>0</v>
      </c>
      <c r="G5910" s="1">
        <v>0</v>
      </c>
      <c r="H5910" s="1">
        <v>0</v>
      </c>
      <c r="M5910" s="1" t="s">
        <v>677</v>
      </c>
      <c r="N5910" s="1" t="s">
        <v>425</v>
      </c>
      <c r="O5910" s="1" t="s">
        <v>625</v>
      </c>
      <c r="P5910" s="1" t="s">
        <v>423</v>
      </c>
      <c r="Q5910" s="1">
        <v>0</v>
      </c>
      <c r="S5910" s="1">
        <v>0</v>
      </c>
      <c r="T5910" s="1">
        <v>0</v>
      </c>
      <c r="V5910" s="1">
        <f t="shared" si="100"/>
        <v>0</v>
      </c>
      <c r="W5910" s="1" t="s">
        <v>5</v>
      </c>
      <c r="X5910" s="50"/>
      <c r="Y5910" s="1">
        <v>0</v>
      </c>
      <c r="Z5910" s="6">
        <v>0</v>
      </c>
      <c r="AA5910" s="6">
        <v>0</v>
      </c>
    </row>
    <row r="5911" spans="1:27" x14ac:dyDescent="0.2">
      <c r="A5911" s="1">
        <v>28</v>
      </c>
      <c r="B5911" s="1" t="s">
        <v>90</v>
      </c>
      <c r="C5911" s="1" t="s">
        <v>91</v>
      </c>
      <c r="D5911" s="1">
        <v>1849</v>
      </c>
      <c r="E5911" s="6">
        <v>0</v>
      </c>
      <c r="G5911" s="1">
        <v>0</v>
      </c>
      <c r="H5911" s="1">
        <v>0</v>
      </c>
      <c r="M5911" s="1" t="s">
        <v>677</v>
      </c>
      <c r="N5911" s="1" t="s">
        <v>425</v>
      </c>
      <c r="O5911" s="1" t="s">
        <v>625</v>
      </c>
      <c r="P5911" s="1" t="s">
        <v>423</v>
      </c>
      <c r="Q5911" s="1">
        <v>0</v>
      </c>
      <c r="S5911" s="1">
        <v>0</v>
      </c>
      <c r="T5911" s="1">
        <v>0</v>
      </c>
      <c r="V5911" s="1">
        <f t="shared" si="100"/>
        <v>0</v>
      </c>
      <c r="W5911" s="1" t="s">
        <v>5</v>
      </c>
      <c r="X5911" s="50"/>
      <c r="Y5911" s="1">
        <v>0</v>
      </c>
      <c r="Z5911" s="6">
        <v>0</v>
      </c>
      <c r="AA5911" s="6">
        <v>0</v>
      </c>
    </row>
    <row r="5912" spans="1:27" x14ac:dyDescent="0.2">
      <c r="A5912" s="1">
        <v>28</v>
      </c>
      <c r="B5912" s="1" t="s">
        <v>90</v>
      </c>
      <c r="C5912" s="1" t="s">
        <v>91</v>
      </c>
      <c r="D5912" s="1">
        <v>1850</v>
      </c>
      <c r="E5912" s="6">
        <v>0</v>
      </c>
      <c r="G5912" s="1">
        <v>0</v>
      </c>
      <c r="H5912" s="1">
        <v>0</v>
      </c>
      <c r="M5912" s="1" t="s">
        <v>677</v>
      </c>
      <c r="N5912" s="1" t="s">
        <v>425</v>
      </c>
      <c r="O5912" s="1" t="s">
        <v>625</v>
      </c>
      <c r="P5912" s="1" t="s">
        <v>423</v>
      </c>
      <c r="Q5912" s="1">
        <v>0</v>
      </c>
      <c r="S5912" s="1">
        <v>0</v>
      </c>
      <c r="T5912" s="1">
        <v>0</v>
      </c>
      <c r="V5912" s="1">
        <f t="shared" si="100"/>
        <v>0</v>
      </c>
      <c r="W5912" s="1" t="s">
        <v>5</v>
      </c>
      <c r="X5912" s="50"/>
      <c r="Y5912" s="1">
        <v>0</v>
      </c>
      <c r="Z5912" s="6">
        <v>0</v>
      </c>
      <c r="AA5912" s="6">
        <v>0</v>
      </c>
    </row>
    <row r="5913" spans="1:27" x14ac:dyDescent="0.2">
      <c r="A5913" s="1">
        <v>28</v>
      </c>
      <c r="B5913" s="1" t="s">
        <v>90</v>
      </c>
      <c r="C5913" s="1" t="s">
        <v>91</v>
      </c>
      <c r="D5913" s="1">
        <v>1851</v>
      </c>
      <c r="E5913" s="6">
        <v>0</v>
      </c>
      <c r="G5913" s="1">
        <v>0</v>
      </c>
      <c r="H5913" s="1">
        <v>0</v>
      </c>
      <c r="M5913" s="1" t="s">
        <v>677</v>
      </c>
      <c r="N5913" s="1" t="s">
        <v>425</v>
      </c>
      <c r="O5913" s="1" t="s">
        <v>625</v>
      </c>
      <c r="P5913" s="1" t="s">
        <v>423</v>
      </c>
      <c r="Q5913" s="1">
        <v>0</v>
      </c>
      <c r="S5913" s="1">
        <v>0</v>
      </c>
      <c r="T5913" s="1">
        <v>0</v>
      </c>
      <c r="V5913" s="1">
        <f t="shared" si="100"/>
        <v>0</v>
      </c>
      <c r="W5913" s="1" t="s">
        <v>5</v>
      </c>
      <c r="X5913" s="50"/>
      <c r="Y5913" s="1">
        <v>0</v>
      </c>
      <c r="Z5913" s="6">
        <v>0</v>
      </c>
      <c r="AA5913" s="6">
        <v>0</v>
      </c>
    </row>
    <row r="5914" spans="1:27" x14ac:dyDescent="0.2">
      <c r="A5914" s="1">
        <v>28</v>
      </c>
      <c r="B5914" s="1" t="s">
        <v>90</v>
      </c>
      <c r="C5914" s="1" t="s">
        <v>91</v>
      </c>
      <c r="D5914" s="1">
        <v>1852</v>
      </c>
      <c r="E5914" s="6">
        <v>0</v>
      </c>
      <c r="G5914" s="1">
        <v>0</v>
      </c>
      <c r="H5914" s="1">
        <v>0</v>
      </c>
      <c r="M5914" s="1" t="s">
        <v>677</v>
      </c>
      <c r="N5914" s="1" t="s">
        <v>425</v>
      </c>
      <c r="O5914" s="1" t="s">
        <v>625</v>
      </c>
      <c r="P5914" s="1" t="s">
        <v>423</v>
      </c>
      <c r="Q5914" s="1">
        <v>0</v>
      </c>
      <c r="S5914" s="1">
        <v>0</v>
      </c>
      <c r="T5914" s="1">
        <v>0</v>
      </c>
      <c r="V5914" s="1">
        <f t="shared" si="100"/>
        <v>0</v>
      </c>
      <c r="W5914" s="1" t="s">
        <v>5</v>
      </c>
      <c r="X5914" s="50"/>
      <c r="Y5914" s="1">
        <v>0</v>
      </c>
      <c r="Z5914" s="6">
        <v>0</v>
      </c>
      <c r="AA5914" s="6">
        <v>0</v>
      </c>
    </row>
    <row r="5915" spans="1:27" x14ac:dyDescent="0.2">
      <c r="A5915" s="1">
        <v>28</v>
      </c>
      <c r="B5915" s="1" t="s">
        <v>90</v>
      </c>
      <c r="C5915" s="1" t="s">
        <v>91</v>
      </c>
      <c r="D5915" s="1">
        <v>1853</v>
      </c>
      <c r="E5915" s="6">
        <v>0</v>
      </c>
      <c r="G5915" s="1">
        <v>0</v>
      </c>
      <c r="H5915" s="1">
        <v>0</v>
      </c>
      <c r="M5915" s="1" t="s">
        <v>677</v>
      </c>
      <c r="N5915" s="1" t="s">
        <v>425</v>
      </c>
      <c r="O5915" s="1" t="s">
        <v>625</v>
      </c>
      <c r="P5915" s="1" t="s">
        <v>423</v>
      </c>
      <c r="Q5915" s="1">
        <v>0</v>
      </c>
      <c r="S5915" s="1">
        <v>0</v>
      </c>
      <c r="T5915" s="1">
        <v>0</v>
      </c>
      <c r="V5915" s="1">
        <f t="shared" si="100"/>
        <v>0</v>
      </c>
      <c r="W5915" s="1" t="s">
        <v>5</v>
      </c>
      <c r="X5915" s="50"/>
      <c r="Y5915" s="1">
        <v>0</v>
      </c>
      <c r="Z5915" s="6">
        <v>0</v>
      </c>
      <c r="AA5915" s="6">
        <v>0</v>
      </c>
    </row>
    <row r="5916" spans="1:27" x14ac:dyDescent="0.2">
      <c r="A5916" s="1">
        <v>28</v>
      </c>
      <c r="B5916" s="1" t="s">
        <v>90</v>
      </c>
      <c r="C5916" s="1" t="s">
        <v>91</v>
      </c>
      <c r="D5916" s="1">
        <v>1854</v>
      </c>
      <c r="E5916" s="6">
        <v>0</v>
      </c>
      <c r="G5916" s="1">
        <v>0</v>
      </c>
      <c r="H5916" s="1">
        <v>0</v>
      </c>
      <c r="M5916" s="1" t="s">
        <v>677</v>
      </c>
      <c r="N5916" s="1" t="s">
        <v>425</v>
      </c>
      <c r="O5916" s="1" t="s">
        <v>625</v>
      </c>
      <c r="P5916" s="1" t="s">
        <v>423</v>
      </c>
      <c r="Q5916" s="1">
        <v>0</v>
      </c>
      <c r="S5916" s="1">
        <v>0</v>
      </c>
      <c r="T5916" s="1">
        <v>0</v>
      </c>
      <c r="V5916" s="1">
        <f t="shared" si="100"/>
        <v>0</v>
      </c>
      <c r="W5916" s="1" t="s">
        <v>5</v>
      </c>
      <c r="X5916" s="50"/>
      <c r="Y5916" s="1">
        <v>0</v>
      </c>
      <c r="Z5916" s="6">
        <v>0</v>
      </c>
      <c r="AA5916" s="6">
        <v>0</v>
      </c>
    </row>
    <row r="5917" spans="1:27" x14ac:dyDescent="0.2">
      <c r="A5917" s="1">
        <v>28</v>
      </c>
      <c r="B5917" s="1" t="s">
        <v>90</v>
      </c>
      <c r="C5917" s="1" t="s">
        <v>91</v>
      </c>
      <c r="D5917" s="1">
        <v>1855</v>
      </c>
      <c r="E5917" s="6">
        <v>0</v>
      </c>
      <c r="G5917" s="1">
        <v>0</v>
      </c>
      <c r="H5917" s="1">
        <v>0</v>
      </c>
      <c r="M5917" s="1" t="s">
        <v>677</v>
      </c>
      <c r="N5917" s="1" t="s">
        <v>425</v>
      </c>
      <c r="O5917" s="1" t="s">
        <v>625</v>
      </c>
      <c r="P5917" s="1" t="s">
        <v>423</v>
      </c>
      <c r="Q5917" s="1">
        <v>0</v>
      </c>
      <c r="S5917" s="1">
        <v>0</v>
      </c>
      <c r="T5917" s="1">
        <v>0</v>
      </c>
      <c r="V5917" s="1">
        <f t="shared" si="100"/>
        <v>0</v>
      </c>
      <c r="W5917" s="1" t="s">
        <v>5</v>
      </c>
      <c r="X5917" s="50"/>
      <c r="Y5917" s="1">
        <v>0</v>
      </c>
      <c r="Z5917" s="6">
        <v>0</v>
      </c>
      <c r="AA5917" s="6">
        <v>0</v>
      </c>
    </row>
    <row r="5918" spans="1:27" x14ac:dyDescent="0.2">
      <c r="A5918" s="1">
        <v>28</v>
      </c>
      <c r="B5918" s="1" t="s">
        <v>90</v>
      </c>
      <c r="C5918" s="1" t="s">
        <v>91</v>
      </c>
      <c r="D5918" s="1">
        <v>1856</v>
      </c>
      <c r="E5918" s="6">
        <v>0</v>
      </c>
      <c r="G5918" s="1">
        <v>0</v>
      </c>
      <c r="H5918" s="1">
        <v>0</v>
      </c>
      <c r="M5918" s="1" t="s">
        <v>677</v>
      </c>
      <c r="N5918" s="1" t="s">
        <v>425</v>
      </c>
      <c r="O5918" s="1" t="s">
        <v>625</v>
      </c>
      <c r="P5918" s="1" t="s">
        <v>423</v>
      </c>
      <c r="Q5918" s="1">
        <v>0</v>
      </c>
      <c r="S5918" s="1">
        <v>0</v>
      </c>
      <c r="T5918" s="1">
        <v>0</v>
      </c>
      <c r="V5918" s="1">
        <f t="shared" si="100"/>
        <v>0</v>
      </c>
      <c r="W5918" s="1" t="s">
        <v>5</v>
      </c>
      <c r="X5918" s="50"/>
      <c r="Y5918" s="1">
        <v>0</v>
      </c>
      <c r="Z5918" s="6">
        <v>0</v>
      </c>
      <c r="AA5918" s="6">
        <v>0</v>
      </c>
    </row>
    <row r="5919" spans="1:27" x14ac:dyDescent="0.2">
      <c r="A5919" s="1">
        <v>28</v>
      </c>
      <c r="B5919" s="1" t="s">
        <v>90</v>
      </c>
      <c r="C5919" s="1" t="s">
        <v>91</v>
      </c>
      <c r="D5919" s="1">
        <v>1857</v>
      </c>
      <c r="E5919" s="6">
        <v>0</v>
      </c>
      <c r="G5919" s="1">
        <v>0</v>
      </c>
      <c r="H5919" s="1">
        <v>0</v>
      </c>
      <c r="M5919" s="1" t="s">
        <v>677</v>
      </c>
      <c r="N5919" s="1" t="s">
        <v>425</v>
      </c>
      <c r="O5919" s="1" t="s">
        <v>625</v>
      </c>
      <c r="P5919" s="1" t="s">
        <v>423</v>
      </c>
      <c r="Q5919" s="1">
        <v>0</v>
      </c>
      <c r="S5919" s="1">
        <v>0</v>
      </c>
      <c r="T5919" s="1">
        <v>0</v>
      </c>
      <c r="V5919" s="1">
        <f t="shared" si="100"/>
        <v>0</v>
      </c>
      <c r="W5919" s="1" t="s">
        <v>5</v>
      </c>
      <c r="X5919" s="50"/>
      <c r="Y5919" s="1">
        <v>0</v>
      </c>
      <c r="Z5919" s="6">
        <v>0</v>
      </c>
      <c r="AA5919" s="6">
        <v>0</v>
      </c>
    </row>
    <row r="5920" spans="1:27" x14ac:dyDescent="0.2">
      <c r="A5920" s="1">
        <v>28</v>
      </c>
      <c r="B5920" s="1" t="s">
        <v>90</v>
      </c>
      <c r="C5920" s="1" t="s">
        <v>91</v>
      </c>
      <c r="D5920" s="1">
        <v>1858</v>
      </c>
      <c r="E5920" s="6">
        <v>0</v>
      </c>
      <c r="G5920" s="1">
        <v>0</v>
      </c>
      <c r="H5920" s="1">
        <v>0</v>
      </c>
      <c r="M5920" s="1" t="s">
        <v>677</v>
      </c>
      <c r="N5920" s="1" t="s">
        <v>425</v>
      </c>
      <c r="O5920" s="1" t="s">
        <v>625</v>
      </c>
      <c r="P5920" s="1" t="s">
        <v>423</v>
      </c>
      <c r="Q5920" s="1">
        <v>0</v>
      </c>
      <c r="S5920" s="1">
        <v>0</v>
      </c>
      <c r="T5920" s="1">
        <v>0</v>
      </c>
      <c r="V5920" s="1">
        <f t="shared" si="100"/>
        <v>0</v>
      </c>
      <c r="W5920" s="1" t="s">
        <v>5</v>
      </c>
      <c r="X5920" s="50"/>
      <c r="Y5920" s="1">
        <v>0</v>
      </c>
      <c r="Z5920" s="6">
        <v>0</v>
      </c>
      <c r="AA5920" s="6">
        <v>0</v>
      </c>
    </row>
    <row r="5921" spans="1:27" x14ac:dyDescent="0.2">
      <c r="A5921" s="1">
        <v>28</v>
      </c>
      <c r="B5921" s="1" t="s">
        <v>90</v>
      </c>
      <c r="C5921" s="1" t="s">
        <v>91</v>
      </c>
      <c r="D5921" s="1">
        <v>1859</v>
      </c>
      <c r="E5921" s="6">
        <v>0</v>
      </c>
      <c r="G5921" s="1">
        <v>0</v>
      </c>
      <c r="H5921" s="1">
        <v>0</v>
      </c>
      <c r="M5921" s="1" t="s">
        <v>677</v>
      </c>
      <c r="N5921" s="1" t="s">
        <v>425</v>
      </c>
      <c r="O5921" s="1" t="s">
        <v>625</v>
      </c>
      <c r="P5921" s="1" t="s">
        <v>423</v>
      </c>
      <c r="Q5921" s="1">
        <v>0</v>
      </c>
      <c r="S5921" s="1">
        <v>0</v>
      </c>
      <c r="T5921" s="1">
        <v>0</v>
      </c>
      <c r="V5921" s="1">
        <f t="shared" si="100"/>
        <v>0</v>
      </c>
      <c r="W5921" s="1" t="s">
        <v>5</v>
      </c>
      <c r="X5921" s="50"/>
      <c r="Y5921" s="1">
        <v>0</v>
      </c>
      <c r="Z5921" s="6">
        <v>0</v>
      </c>
      <c r="AA5921" s="6">
        <v>0</v>
      </c>
    </row>
    <row r="5922" spans="1:27" x14ac:dyDescent="0.2">
      <c r="A5922" s="1">
        <v>28</v>
      </c>
      <c r="B5922" s="1" t="s">
        <v>90</v>
      </c>
      <c r="C5922" s="1" t="s">
        <v>91</v>
      </c>
      <c r="D5922" s="1">
        <v>1860</v>
      </c>
      <c r="E5922" s="6">
        <v>0</v>
      </c>
      <c r="G5922" s="1">
        <v>0</v>
      </c>
      <c r="H5922" s="1">
        <v>0</v>
      </c>
      <c r="M5922" s="1" t="s">
        <v>677</v>
      </c>
      <c r="N5922" s="1" t="s">
        <v>425</v>
      </c>
      <c r="O5922" s="1" t="s">
        <v>625</v>
      </c>
      <c r="P5922" s="1" t="s">
        <v>423</v>
      </c>
      <c r="Q5922" s="1">
        <v>0</v>
      </c>
      <c r="S5922" s="1">
        <v>0</v>
      </c>
      <c r="T5922" s="1">
        <v>0</v>
      </c>
      <c r="V5922" s="1">
        <f t="shared" si="100"/>
        <v>0</v>
      </c>
      <c r="W5922" s="1" t="s">
        <v>5</v>
      </c>
      <c r="X5922" s="50"/>
      <c r="Y5922" s="1">
        <v>0</v>
      </c>
      <c r="Z5922" s="6">
        <v>0</v>
      </c>
      <c r="AA5922" s="6">
        <v>0</v>
      </c>
    </row>
    <row r="5923" spans="1:27" x14ac:dyDescent="0.2">
      <c r="A5923" s="1">
        <v>28</v>
      </c>
      <c r="B5923" s="1" t="s">
        <v>90</v>
      </c>
      <c r="C5923" s="1" t="s">
        <v>91</v>
      </c>
      <c r="D5923" s="1">
        <v>1861</v>
      </c>
      <c r="E5923" s="6">
        <v>0</v>
      </c>
      <c r="G5923" s="1">
        <v>0</v>
      </c>
      <c r="H5923" s="1">
        <v>0</v>
      </c>
      <c r="M5923" s="1" t="s">
        <v>677</v>
      </c>
      <c r="N5923" s="1" t="s">
        <v>425</v>
      </c>
      <c r="O5923" s="1" t="s">
        <v>625</v>
      </c>
      <c r="P5923" s="1" t="s">
        <v>423</v>
      </c>
      <c r="Q5923" s="1">
        <v>0</v>
      </c>
      <c r="S5923" s="1">
        <v>0</v>
      </c>
      <c r="T5923" s="1">
        <v>0</v>
      </c>
      <c r="V5923" s="1">
        <f t="shared" si="100"/>
        <v>0</v>
      </c>
      <c r="W5923" s="1" t="s">
        <v>5</v>
      </c>
      <c r="X5923" s="50"/>
      <c r="Y5923" s="1">
        <v>0</v>
      </c>
      <c r="Z5923" s="6">
        <v>0</v>
      </c>
      <c r="AA5923" s="6">
        <v>0</v>
      </c>
    </row>
    <row r="5924" spans="1:27" x14ac:dyDescent="0.2">
      <c r="A5924" s="1">
        <v>28</v>
      </c>
      <c r="B5924" s="1" t="s">
        <v>90</v>
      </c>
      <c r="C5924" s="1" t="s">
        <v>91</v>
      </c>
      <c r="D5924" s="1">
        <v>1862</v>
      </c>
      <c r="E5924" s="6">
        <v>0</v>
      </c>
      <c r="G5924" s="1">
        <v>0</v>
      </c>
      <c r="H5924" s="1">
        <v>0</v>
      </c>
      <c r="M5924" s="1" t="s">
        <v>677</v>
      </c>
      <c r="N5924" s="1" t="s">
        <v>425</v>
      </c>
      <c r="O5924" s="1" t="s">
        <v>625</v>
      </c>
      <c r="P5924" s="1" t="s">
        <v>423</v>
      </c>
      <c r="Q5924" s="1">
        <v>0</v>
      </c>
      <c r="S5924" s="1">
        <v>0</v>
      </c>
      <c r="T5924" s="1">
        <v>0</v>
      </c>
      <c r="V5924" s="1">
        <f t="shared" si="100"/>
        <v>0</v>
      </c>
      <c r="W5924" s="1" t="s">
        <v>5</v>
      </c>
      <c r="X5924" s="50"/>
      <c r="Y5924" s="1">
        <v>0</v>
      </c>
      <c r="Z5924" s="6">
        <v>0</v>
      </c>
      <c r="AA5924" s="6">
        <v>0</v>
      </c>
    </row>
    <row r="5925" spans="1:27" x14ac:dyDescent="0.2">
      <c r="A5925" s="1">
        <v>28</v>
      </c>
      <c r="B5925" s="1" t="s">
        <v>90</v>
      </c>
      <c r="C5925" s="1" t="s">
        <v>91</v>
      </c>
      <c r="D5925" s="1">
        <v>1863</v>
      </c>
      <c r="E5925" s="6">
        <v>0</v>
      </c>
      <c r="G5925" s="1">
        <v>0</v>
      </c>
      <c r="H5925" s="1">
        <v>0</v>
      </c>
      <c r="M5925" s="1" t="s">
        <v>677</v>
      </c>
      <c r="N5925" s="1" t="s">
        <v>425</v>
      </c>
      <c r="O5925" s="1" t="s">
        <v>625</v>
      </c>
      <c r="P5925" s="1" t="s">
        <v>423</v>
      </c>
      <c r="Q5925" s="1">
        <v>0</v>
      </c>
      <c r="S5925" s="1">
        <v>0</v>
      </c>
      <c r="T5925" s="1">
        <v>0</v>
      </c>
      <c r="V5925" s="1">
        <f t="shared" si="100"/>
        <v>0</v>
      </c>
      <c r="W5925" s="1" t="s">
        <v>5</v>
      </c>
      <c r="X5925" s="50"/>
      <c r="Y5925" s="1">
        <v>0</v>
      </c>
      <c r="Z5925" s="6">
        <v>0</v>
      </c>
      <c r="AA5925" s="6">
        <v>0</v>
      </c>
    </row>
    <row r="5926" spans="1:27" x14ac:dyDescent="0.2">
      <c r="A5926" s="1">
        <v>28</v>
      </c>
      <c r="B5926" s="1" t="s">
        <v>90</v>
      </c>
      <c r="C5926" s="1" t="s">
        <v>91</v>
      </c>
      <c r="D5926" s="1">
        <v>1864</v>
      </c>
      <c r="E5926" s="6">
        <v>0</v>
      </c>
      <c r="G5926" s="1">
        <v>0</v>
      </c>
      <c r="H5926" s="1">
        <v>0</v>
      </c>
      <c r="M5926" s="1" t="s">
        <v>677</v>
      </c>
      <c r="N5926" s="1" t="s">
        <v>425</v>
      </c>
      <c r="O5926" s="1" t="s">
        <v>625</v>
      </c>
      <c r="P5926" s="1" t="s">
        <v>423</v>
      </c>
      <c r="Q5926" s="1">
        <v>0</v>
      </c>
      <c r="S5926" s="1">
        <v>0</v>
      </c>
      <c r="T5926" s="1">
        <v>0</v>
      </c>
      <c r="V5926" s="1">
        <f t="shared" ref="V5926:V5989" si="101">0.6*S5926</f>
        <v>0</v>
      </c>
      <c r="W5926" s="1" t="s">
        <v>5</v>
      </c>
      <c r="X5926" s="50"/>
      <c r="Y5926" s="1">
        <v>0</v>
      </c>
      <c r="Z5926" s="6">
        <v>0</v>
      </c>
      <c r="AA5926" s="6">
        <v>0</v>
      </c>
    </row>
    <row r="5927" spans="1:27" x14ac:dyDescent="0.2">
      <c r="A5927" s="1">
        <v>28</v>
      </c>
      <c r="B5927" s="1" t="s">
        <v>90</v>
      </c>
      <c r="C5927" s="1" t="s">
        <v>91</v>
      </c>
      <c r="D5927" s="1">
        <v>1865</v>
      </c>
      <c r="E5927" s="6">
        <v>0</v>
      </c>
      <c r="G5927" s="1">
        <v>0</v>
      </c>
      <c r="H5927" s="1">
        <v>0</v>
      </c>
      <c r="M5927" s="1" t="s">
        <v>677</v>
      </c>
      <c r="N5927" s="1" t="s">
        <v>425</v>
      </c>
      <c r="O5927" s="1" t="s">
        <v>625</v>
      </c>
      <c r="P5927" s="1" t="s">
        <v>423</v>
      </c>
      <c r="Q5927" s="1">
        <v>0</v>
      </c>
      <c r="S5927" s="1">
        <v>0</v>
      </c>
      <c r="T5927" s="1">
        <v>0</v>
      </c>
      <c r="V5927" s="1">
        <f t="shared" si="101"/>
        <v>0</v>
      </c>
      <c r="W5927" s="1" t="s">
        <v>5</v>
      </c>
      <c r="X5927" s="50"/>
      <c r="Y5927" s="1">
        <v>0</v>
      </c>
      <c r="Z5927" s="6">
        <v>0</v>
      </c>
      <c r="AA5927" s="6">
        <v>0</v>
      </c>
    </row>
    <row r="5928" spans="1:27" x14ac:dyDescent="0.2">
      <c r="A5928" s="1">
        <v>28</v>
      </c>
      <c r="B5928" s="1" t="s">
        <v>90</v>
      </c>
      <c r="C5928" s="1" t="s">
        <v>91</v>
      </c>
      <c r="D5928" s="1">
        <v>1866</v>
      </c>
      <c r="E5928" s="6">
        <v>0</v>
      </c>
      <c r="G5928" s="1">
        <v>0</v>
      </c>
      <c r="H5928" s="1">
        <v>0</v>
      </c>
      <c r="M5928" s="1" t="s">
        <v>677</v>
      </c>
      <c r="N5928" s="1" t="s">
        <v>425</v>
      </c>
      <c r="O5928" s="1" t="s">
        <v>625</v>
      </c>
      <c r="P5928" s="1" t="s">
        <v>423</v>
      </c>
      <c r="Q5928" s="1">
        <v>0</v>
      </c>
      <c r="S5928" s="1">
        <v>0</v>
      </c>
      <c r="T5928" s="1">
        <v>0</v>
      </c>
      <c r="V5928" s="1">
        <f t="shared" si="101"/>
        <v>0</v>
      </c>
      <c r="W5928" s="1" t="s">
        <v>5</v>
      </c>
      <c r="X5928" s="50"/>
      <c r="Y5928" s="1">
        <v>0</v>
      </c>
      <c r="Z5928" s="6">
        <v>0</v>
      </c>
      <c r="AA5928" s="6">
        <v>0</v>
      </c>
    </row>
    <row r="5929" spans="1:27" x14ac:dyDescent="0.2">
      <c r="A5929" s="1">
        <v>28</v>
      </c>
      <c r="B5929" s="1" t="s">
        <v>90</v>
      </c>
      <c r="C5929" s="1" t="s">
        <v>91</v>
      </c>
      <c r="D5929" s="1">
        <v>1867</v>
      </c>
      <c r="E5929" s="6">
        <v>0</v>
      </c>
      <c r="G5929" s="1">
        <v>0</v>
      </c>
      <c r="H5929" s="1">
        <v>0</v>
      </c>
      <c r="M5929" s="1" t="s">
        <v>677</v>
      </c>
      <c r="N5929" s="1" t="s">
        <v>425</v>
      </c>
      <c r="O5929" s="1" t="s">
        <v>625</v>
      </c>
      <c r="P5929" s="1" t="s">
        <v>423</v>
      </c>
      <c r="Q5929" s="1">
        <v>0</v>
      </c>
      <c r="S5929" s="1">
        <v>0</v>
      </c>
      <c r="T5929" s="1">
        <v>0</v>
      </c>
      <c r="V5929" s="1">
        <f t="shared" si="101"/>
        <v>0</v>
      </c>
      <c r="W5929" s="1" t="s">
        <v>5</v>
      </c>
      <c r="X5929" s="50"/>
      <c r="Y5929" s="1">
        <v>0</v>
      </c>
      <c r="Z5929" s="6">
        <v>0</v>
      </c>
      <c r="AA5929" s="6">
        <v>0</v>
      </c>
    </row>
    <row r="5930" spans="1:27" x14ac:dyDescent="0.2">
      <c r="A5930" s="1">
        <v>28</v>
      </c>
      <c r="B5930" s="1" t="s">
        <v>90</v>
      </c>
      <c r="C5930" s="1" t="s">
        <v>91</v>
      </c>
      <c r="D5930" s="1">
        <v>1868</v>
      </c>
      <c r="E5930" s="6">
        <v>0</v>
      </c>
      <c r="G5930" s="1">
        <v>0</v>
      </c>
      <c r="H5930" s="1">
        <v>0</v>
      </c>
      <c r="M5930" s="1" t="s">
        <v>677</v>
      </c>
      <c r="N5930" s="1" t="s">
        <v>425</v>
      </c>
      <c r="O5930" s="1" t="s">
        <v>625</v>
      </c>
      <c r="P5930" s="1" t="s">
        <v>423</v>
      </c>
      <c r="Q5930" s="1">
        <v>0</v>
      </c>
      <c r="S5930" s="1">
        <v>0</v>
      </c>
      <c r="T5930" s="1">
        <v>0</v>
      </c>
      <c r="V5930" s="1">
        <f t="shared" si="101"/>
        <v>0</v>
      </c>
      <c r="W5930" s="1" t="s">
        <v>5</v>
      </c>
      <c r="X5930" s="50"/>
      <c r="Y5930" s="1">
        <v>0</v>
      </c>
      <c r="Z5930" s="6">
        <v>0</v>
      </c>
      <c r="AA5930" s="6">
        <v>0</v>
      </c>
    </row>
    <row r="5931" spans="1:27" x14ac:dyDescent="0.2">
      <c r="A5931" s="1">
        <v>28</v>
      </c>
      <c r="B5931" s="1" t="s">
        <v>90</v>
      </c>
      <c r="C5931" s="1" t="s">
        <v>91</v>
      </c>
      <c r="D5931" s="1">
        <v>1869</v>
      </c>
      <c r="E5931" s="6">
        <v>0</v>
      </c>
      <c r="G5931" s="1">
        <v>0</v>
      </c>
      <c r="H5931" s="1">
        <v>0</v>
      </c>
      <c r="M5931" s="1" t="s">
        <v>677</v>
      </c>
      <c r="N5931" s="1" t="s">
        <v>425</v>
      </c>
      <c r="O5931" s="1" t="s">
        <v>625</v>
      </c>
      <c r="P5931" s="1" t="s">
        <v>423</v>
      </c>
      <c r="Q5931" s="1">
        <v>0</v>
      </c>
      <c r="S5931" s="1">
        <v>0</v>
      </c>
      <c r="T5931" s="1">
        <v>0</v>
      </c>
      <c r="V5931" s="1">
        <f t="shared" si="101"/>
        <v>0</v>
      </c>
      <c r="W5931" s="1" t="s">
        <v>5</v>
      </c>
      <c r="X5931" s="50"/>
      <c r="Y5931" s="1">
        <v>0</v>
      </c>
      <c r="Z5931" s="6">
        <v>0</v>
      </c>
      <c r="AA5931" s="6">
        <v>0</v>
      </c>
    </row>
    <row r="5932" spans="1:27" x14ac:dyDescent="0.2">
      <c r="A5932" s="1">
        <v>28</v>
      </c>
      <c r="B5932" s="1" t="s">
        <v>90</v>
      </c>
      <c r="C5932" s="1" t="s">
        <v>91</v>
      </c>
      <c r="D5932" s="1">
        <v>1870</v>
      </c>
      <c r="E5932" s="6">
        <v>0</v>
      </c>
      <c r="G5932" s="1">
        <v>0</v>
      </c>
      <c r="H5932" s="1">
        <v>0</v>
      </c>
      <c r="M5932" s="1" t="s">
        <v>677</v>
      </c>
      <c r="N5932" s="1" t="s">
        <v>425</v>
      </c>
      <c r="O5932" s="1" t="s">
        <v>625</v>
      </c>
      <c r="P5932" s="1" t="s">
        <v>423</v>
      </c>
      <c r="Q5932" s="1">
        <v>0</v>
      </c>
      <c r="S5932" s="1">
        <v>0</v>
      </c>
      <c r="T5932" s="1">
        <v>0</v>
      </c>
      <c r="V5932" s="1">
        <f t="shared" si="101"/>
        <v>0</v>
      </c>
      <c r="W5932" s="1" t="s">
        <v>5</v>
      </c>
      <c r="X5932" s="50"/>
      <c r="Y5932" s="1">
        <v>0</v>
      </c>
      <c r="Z5932" s="6">
        <v>0</v>
      </c>
      <c r="AA5932" s="6">
        <v>0</v>
      </c>
    </row>
    <row r="5933" spans="1:27" x14ac:dyDescent="0.2">
      <c r="A5933" s="1">
        <v>28</v>
      </c>
      <c r="B5933" s="1" t="s">
        <v>90</v>
      </c>
      <c r="C5933" s="1" t="s">
        <v>91</v>
      </c>
      <c r="D5933" s="1">
        <v>1871</v>
      </c>
      <c r="E5933" s="6">
        <v>0</v>
      </c>
      <c r="G5933" s="1">
        <v>0</v>
      </c>
      <c r="H5933" s="1">
        <v>0</v>
      </c>
      <c r="M5933" s="1" t="s">
        <v>677</v>
      </c>
      <c r="N5933" s="1" t="s">
        <v>425</v>
      </c>
      <c r="O5933" s="1" t="s">
        <v>625</v>
      </c>
      <c r="P5933" s="1" t="s">
        <v>423</v>
      </c>
      <c r="Q5933" s="1">
        <v>0</v>
      </c>
      <c r="S5933" s="1">
        <v>0</v>
      </c>
      <c r="T5933" s="1">
        <v>0</v>
      </c>
      <c r="V5933" s="1">
        <f t="shared" si="101"/>
        <v>0</v>
      </c>
      <c r="W5933" s="1" t="s">
        <v>5</v>
      </c>
      <c r="X5933" s="50"/>
      <c r="Y5933" s="1">
        <v>0</v>
      </c>
      <c r="Z5933" s="6">
        <v>0</v>
      </c>
      <c r="AA5933" s="6">
        <v>0</v>
      </c>
    </row>
    <row r="5934" spans="1:27" x14ac:dyDescent="0.2">
      <c r="A5934" s="1">
        <v>28</v>
      </c>
      <c r="B5934" s="1" t="s">
        <v>90</v>
      </c>
      <c r="C5934" s="1" t="s">
        <v>91</v>
      </c>
      <c r="D5934" s="1">
        <v>1872</v>
      </c>
      <c r="E5934" s="6">
        <v>0</v>
      </c>
      <c r="G5934" s="1">
        <v>0</v>
      </c>
      <c r="H5934" s="1">
        <v>0</v>
      </c>
      <c r="M5934" s="1" t="s">
        <v>677</v>
      </c>
      <c r="N5934" s="1" t="s">
        <v>425</v>
      </c>
      <c r="O5934" s="1" t="s">
        <v>625</v>
      </c>
      <c r="P5934" s="1" t="s">
        <v>423</v>
      </c>
      <c r="Q5934" s="1">
        <v>0</v>
      </c>
      <c r="S5934" s="1">
        <v>0</v>
      </c>
      <c r="T5934" s="1">
        <v>0</v>
      </c>
      <c r="V5934" s="1">
        <f t="shared" si="101"/>
        <v>0</v>
      </c>
      <c r="W5934" s="1" t="s">
        <v>5</v>
      </c>
      <c r="X5934" s="50"/>
      <c r="Y5934" s="1">
        <v>0</v>
      </c>
      <c r="Z5934" s="6">
        <v>0</v>
      </c>
      <c r="AA5934" s="6">
        <v>0</v>
      </c>
    </row>
    <row r="5935" spans="1:27" x14ac:dyDescent="0.2">
      <c r="A5935" s="1">
        <v>28</v>
      </c>
      <c r="B5935" s="1" t="s">
        <v>90</v>
      </c>
      <c r="C5935" s="1" t="s">
        <v>91</v>
      </c>
      <c r="D5935" s="1">
        <v>1873</v>
      </c>
      <c r="E5935" s="6">
        <v>0</v>
      </c>
      <c r="G5935" s="1">
        <v>0</v>
      </c>
      <c r="H5935" s="1">
        <v>0</v>
      </c>
      <c r="M5935" s="1" t="s">
        <v>677</v>
      </c>
      <c r="N5935" s="1" t="s">
        <v>425</v>
      </c>
      <c r="O5935" s="1" t="s">
        <v>625</v>
      </c>
      <c r="P5935" s="1" t="s">
        <v>423</v>
      </c>
      <c r="Q5935" s="1">
        <v>0</v>
      </c>
      <c r="S5935" s="1">
        <v>0</v>
      </c>
      <c r="T5935" s="1">
        <v>0</v>
      </c>
      <c r="V5935" s="1">
        <f t="shared" si="101"/>
        <v>0</v>
      </c>
      <c r="W5935" s="1" t="s">
        <v>5</v>
      </c>
      <c r="X5935" s="50"/>
      <c r="Y5935" s="1">
        <v>0</v>
      </c>
      <c r="Z5935" s="6">
        <v>0</v>
      </c>
      <c r="AA5935" s="6">
        <v>0</v>
      </c>
    </row>
    <row r="5936" spans="1:27" x14ac:dyDescent="0.2">
      <c r="A5936" s="1">
        <v>28</v>
      </c>
      <c r="B5936" s="1" t="s">
        <v>90</v>
      </c>
      <c r="C5936" s="1" t="s">
        <v>91</v>
      </c>
      <c r="D5936" s="1">
        <v>1874</v>
      </c>
      <c r="E5936" s="6">
        <v>0</v>
      </c>
      <c r="G5936" s="1">
        <v>0</v>
      </c>
      <c r="H5936" s="1">
        <v>0</v>
      </c>
      <c r="M5936" s="1" t="s">
        <v>677</v>
      </c>
      <c r="N5936" s="1" t="s">
        <v>425</v>
      </c>
      <c r="O5936" s="1" t="s">
        <v>625</v>
      </c>
      <c r="P5936" s="1" t="s">
        <v>423</v>
      </c>
      <c r="Q5936" s="1">
        <v>0</v>
      </c>
      <c r="S5936" s="1">
        <v>0</v>
      </c>
      <c r="T5936" s="1">
        <v>0</v>
      </c>
      <c r="V5936" s="1">
        <f t="shared" si="101"/>
        <v>0</v>
      </c>
      <c r="W5936" s="1" t="s">
        <v>5</v>
      </c>
      <c r="X5936" s="50"/>
      <c r="Y5936" s="1">
        <v>0</v>
      </c>
      <c r="Z5936" s="6">
        <v>0</v>
      </c>
      <c r="AA5936" s="6">
        <v>0</v>
      </c>
    </row>
    <row r="5937" spans="1:27" x14ac:dyDescent="0.2">
      <c r="A5937" s="1">
        <v>28</v>
      </c>
      <c r="B5937" s="1" t="s">
        <v>90</v>
      </c>
      <c r="C5937" s="1" t="s">
        <v>91</v>
      </c>
      <c r="D5937" s="1">
        <v>1875</v>
      </c>
      <c r="E5937" s="6">
        <v>0</v>
      </c>
      <c r="G5937" s="1">
        <v>0</v>
      </c>
      <c r="H5937" s="1">
        <v>0</v>
      </c>
      <c r="M5937" s="1" t="s">
        <v>677</v>
      </c>
      <c r="N5937" s="1" t="s">
        <v>425</v>
      </c>
      <c r="O5937" s="1" t="s">
        <v>625</v>
      </c>
      <c r="P5937" s="1" t="s">
        <v>423</v>
      </c>
      <c r="Q5937" s="1">
        <v>0</v>
      </c>
      <c r="S5937" s="1">
        <v>0</v>
      </c>
      <c r="T5937" s="1">
        <v>0</v>
      </c>
      <c r="V5937" s="1">
        <f t="shared" si="101"/>
        <v>0</v>
      </c>
      <c r="W5937" s="1" t="s">
        <v>5</v>
      </c>
      <c r="X5937" s="50"/>
      <c r="Y5937" s="1">
        <v>0</v>
      </c>
      <c r="Z5937" s="6">
        <v>0</v>
      </c>
      <c r="AA5937" s="6">
        <v>0</v>
      </c>
    </row>
    <row r="5938" spans="1:27" x14ac:dyDescent="0.2">
      <c r="A5938" s="1">
        <v>28</v>
      </c>
      <c r="B5938" s="1" t="s">
        <v>90</v>
      </c>
      <c r="C5938" s="1" t="s">
        <v>91</v>
      </c>
      <c r="D5938" s="1">
        <v>1876</v>
      </c>
      <c r="E5938" s="6">
        <v>0</v>
      </c>
      <c r="G5938" s="1">
        <v>0</v>
      </c>
      <c r="H5938" s="1">
        <v>0</v>
      </c>
      <c r="M5938" s="1" t="s">
        <v>677</v>
      </c>
      <c r="N5938" s="1" t="s">
        <v>425</v>
      </c>
      <c r="O5938" s="1" t="s">
        <v>625</v>
      </c>
      <c r="P5938" s="1" t="s">
        <v>423</v>
      </c>
      <c r="Q5938" s="1">
        <v>0</v>
      </c>
      <c r="S5938" s="1">
        <v>0</v>
      </c>
      <c r="T5938" s="1">
        <v>0</v>
      </c>
      <c r="V5938" s="1">
        <f t="shared" si="101"/>
        <v>0</v>
      </c>
      <c r="W5938" s="1" t="s">
        <v>5</v>
      </c>
      <c r="X5938" s="50"/>
      <c r="Y5938" s="1">
        <v>0</v>
      </c>
      <c r="Z5938" s="6">
        <v>0</v>
      </c>
      <c r="AA5938" s="6">
        <v>0</v>
      </c>
    </row>
    <row r="5939" spans="1:27" x14ac:dyDescent="0.2">
      <c r="A5939" s="1">
        <v>28</v>
      </c>
      <c r="B5939" s="1" t="s">
        <v>90</v>
      </c>
      <c r="C5939" s="1" t="s">
        <v>91</v>
      </c>
      <c r="D5939" s="1">
        <v>1877</v>
      </c>
      <c r="E5939" s="6">
        <v>0</v>
      </c>
      <c r="G5939" s="1">
        <v>0</v>
      </c>
      <c r="H5939" s="1">
        <v>0</v>
      </c>
      <c r="M5939" s="1" t="s">
        <v>677</v>
      </c>
      <c r="N5939" s="1" t="s">
        <v>425</v>
      </c>
      <c r="O5939" s="1" t="s">
        <v>625</v>
      </c>
      <c r="P5939" s="1" t="s">
        <v>423</v>
      </c>
      <c r="Q5939" s="1">
        <v>0</v>
      </c>
      <c r="S5939" s="1">
        <v>0</v>
      </c>
      <c r="T5939" s="1">
        <v>0</v>
      </c>
      <c r="V5939" s="1">
        <f t="shared" si="101"/>
        <v>0</v>
      </c>
      <c r="W5939" s="1" t="s">
        <v>5</v>
      </c>
      <c r="X5939" s="50"/>
      <c r="Y5939" s="1">
        <v>0</v>
      </c>
      <c r="Z5939" s="6">
        <v>0</v>
      </c>
      <c r="AA5939" s="6">
        <v>0</v>
      </c>
    </row>
    <row r="5940" spans="1:27" x14ac:dyDescent="0.2">
      <c r="A5940" s="1">
        <v>28</v>
      </c>
      <c r="B5940" s="1" t="s">
        <v>90</v>
      </c>
      <c r="C5940" s="1" t="s">
        <v>91</v>
      </c>
      <c r="D5940" s="1">
        <v>1878</v>
      </c>
      <c r="E5940" s="6">
        <v>0</v>
      </c>
      <c r="G5940" s="1">
        <v>0</v>
      </c>
      <c r="H5940" s="1">
        <v>0</v>
      </c>
      <c r="M5940" s="1" t="s">
        <v>677</v>
      </c>
      <c r="N5940" s="1" t="s">
        <v>425</v>
      </c>
      <c r="O5940" s="1" t="s">
        <v>625</v>
      </c>
      <c r="P5940" s="1" t="s">
        <v>423</v>
      </c>
      <c r="Q5940" s="1">
        <v>0</v>
      </c>
      <c r="S5940" s="1">
        <v>0</v>
      </c>
      <c r="T5940" s="1">
        <v>0</v>
      </c>
      <c r="V5940" s="1">
        <f t="shared" si="101"/>
        <v>0</v>
      </c>
      <c r="W5940" s="1" t="s">
        <v>5</v>
      </c>
      <c r="X5940" s="50"/>
      <c r="Y5940" s="1">
        <v>0</v>
      </c>
      <c r="Z5940" s="6">
        <v>0</v>
      </c>
      <c r="AA5940" s="6">
        <v>0</v>
      </c>
    </row>
    <row r="5941" spans="1:27" x14ac:dyDescent="0.2">
      <c r="A5941" s="1">
        <v>28</v>
      </c>
      <c r="B5941" s="1" t="s">
        <v>90</v>
      </c>
      <c r="C5941" s="1" t="s">
        <v>91</v>
      </c>
      <c r="D5941" s="1">
        <v>1879</v>
      </c>
      <c r="E5941" s="6">
        <v>0</v>
      </c>
      <c r="G5941" s="1">
        <v>0</v>
      </c>
      <c r="H5941" s="1">
        <v>0</v>
      </c>
      <c r="M5941" s="1" t="s">
        <v>677</v>
      </c>
      <c r="N5941" s="1" t="s">
        <v>425</v>
      </c>
      <c r="O5941" s="1" t="s">
        <v>625</v>
      </c>
      <c r="P5941" s="1" t="s">
        <v>423</v>
      </c>
      <c r="Q5941" s="1">
        <v>0</v>
      </c>
      <c r="S5941" s="1">
        <v>0</v>
      </c>
      <c r="T5941" s="1">
        <v>0</v>
      </c>
      <c r="V5941" s="1">
        <f t="shared" si="101"/>
        <v>0</v>
      </c>
      <c r="W5941" s="1" t="s">
        <v>5</v>
      </c>
      <c r="X5941" s="50"/>
      <c r="Y5941" s="1">
        <v>0</v>
      </c>
      <c r="Z5941" s="6">
        <v>0</v>
      </c>
      <c r="AA5941" s="6">
        <v>0</v>
      </c>
    </row>
    <row r="5942" spans="1:27" x14ac:dyDescent="0.2">
      <c r="A5942" s="1">
        <v>28</v>
      </c>
      <c r="B5942" s="1" t="s">
        <v>90</v>
      </c>
      <c r="C5942" s="1" t="s">
        <v>91</v>
      </c>
      <c r="D5942" s="1">
        <v>1880</v>
      </c>
      <c r="E5942" s="6">
        <v>0</v>
      </c>
      <c r="G5942" s="1">
        <v>0</v>
      </c>
      <c r="H5942" s="1">
        <v>0</v>
      </c>
      <c r="M5942" s="1" t="s">
        <v>677</v>
      </c>
      <c r="N5942" s="1" t="s">
        <v>425</v>
      </c>
      <c r="O5942" s="1" t="s">
        <v>625</v>
      </c>
      <c r="P5942" s="1" t="s">
        <v>423</v>
      </c>
      <c r="Q5942" s="1">
        <v>0</v>
      </c>
      <c r="S5942" s="1">
        <v>0</v>
      </c>
      <c r="T5942" s="1">
        <v>0</v>
      </c>
      <c r="V5942" s="1">
        <f t="shared" si="101"/>
        <v>0</v>
      </c>
      <c r="W5942" s="1" t="s">
        <v>5</v>
      </c>
      <c r="X5942" s="50"/>
      <c r="Y5942" s="1">
        <v>0</v>
      </c>
      <c r="Z5942" s="6">
        <v>0</v>
      </c>
      <c r="AA5942" s="6">
        <v>0</v>
      </c>
    </row>
    <row r="5943" spans="1:27" x14ac:dyDescent="0.2">
      <c r="A5943" s="1">
        <v>28</v>
      </c>
      <c r="B5943" s="1" t="s">
        <v>90</v>
      </c>
      <c r="C5943" s="1" t="s">
        <v>91</v>
      </c>
      <c r="D5943" s="1">
        <v>1881</v>
      </c>
      <c r="E5943" s="6">
        <v>0</v>
      </c>
      <c r="G5943" s="1">
        <v>0</v>
      </c>
      <c r="H5943" s="1">
        <v>0</v>
      </c>
      <c r="M5943" s="1" t="s">
        <v>677</v>
      </c>
      <c r="N5943" s="1" t="s">
        <v>425</v>
      </c>
      <c r="O5943" s="1" t="s">
        <v>625</v>
      </c>
      <c r="P5943" s="1" t="s">
        <v>423</v>
      </c>
      <c r="Q5943" s="1">
        <v>0</v>
      </c>
      <c r="S5943" s="1">
        <v>0</v>
      </c>
      <c r="T5943" s="1">
        <v>0</v>
      </c>
      <c r="V5943" s="1">
        <f t="shared" si="101"/>
        <v>0</v>
      </c>
      <c r="W5943" s="1" t="s">
        <v>5</v>
      </c>
      <c r="X5943" s="50"/>
      <c r="Y5943" s="1">
        <v>0</v>
      </c>
      <c r="Z5943" s="6">
        <v>0</v>
      </c>
      <c r="AA5943" s="6">
        <v>0</v>
      </c>
    </row>
    <row r="5944" spans="1:27" x14ac:dyDescent="0.2">
      <c r="A5944" s="1">
        <v>28</v>
      </c>
      <c r="B5944" s="1" t="s">
        <v>90</v>
      </c>
      <c r="C5944" s="1" t="s">
        <v>91</v>
      </c>
      <c r="D5944" s="1">
        <v>1882</v>
      </c>
      <c r="E5944" s="6">
        <v>0</v>
      </c>
      <c r="G5944" s="1">
        <v>0</v>
      </c>
      <c r="H5944" s="1">
        <v>0</v>
      </c>
      <c r="M5944" s="1" t="s">
        <v>677</v>
      </c>
      <c r="N5944" s="1" t="s">
        <v>425</v>
      </c>
      <c r="O5944" s="1" t="s">
        <v>625</v>
      </c>
      <c r="P5944" s="1" t="s">
        <v>423</v>
      </c>
      <c r="Q5944" s="1">
        <v>0</v>
      </c>
      <c r="S5944" s="1">
        <v>0</v>
      </c>
      <c r="T5944" s="1">
        <v>0</v>
      </c>
      <c r="V5944" s="1">
        <f t="shared" si="101"/>
        <v>0</v>
      </c>
      <c r="W5944" s="1" t="s">
        <v>5</v>
      </c>
      <c r="X5944" s="50"/>
      <c r="Y5944" s="1">
        <v>0</v>
      </c>
      <c r="Z5944" s="6">
        <v>0</v>
      </c>
      <c r="AA5944" s="6">
        <v>0</v>
      </c>
    </row>
    <row r="5945" spans="1:27" x14ac:dyDescent="0.2">
      <c r="A5945" s="1">
        <v>28</v>
      </c>
      <c r="B5945" s="1" t="s">
        <v>90</v>
      </c>
      <c r="C5945" s="1" t="s">
        <v>91</v>
      </c>
      <c r="D5945" s="1">
        <v>1883</v>
      </c>
      <c r="E5945" s="6">
        <v>0</v>
      </c>
      <c r="G5945" s="1">
        <v>0</v>
      </c>
      <c r="H5945" s="1">
        <v>0</v>
      </c>
      <c r="M5945" s="1" t="s">
        <v>677</v>
      </c>
      <c r="N5945" s="1" t="s">
        <v>425</v>
      </c>
      <c r="O5945" s="1" t="s">
        <v>625</v>
      </c>
      <c r="P5945" s="1" t="s">
        <v>423</v>
      </c>
      <c r="Q5945" s="1">
        <v>0</v>
      </c>
      <c r="S5945" s="1">
        <v>0</v>
      </c>
      <c r="T5945" s="1">
        <v>0</v>
      </c>
      <c r="V5945" s="1">
        <f t="shared" si="101"/>
        <v>0</v>
      </c>
      <c r="W5945" s="1" t="s">
        <v>5</v>
      </c>
      <c r="X5945" s="50"/>
      <c r="Y5945" s="1">
        <v>0</v>
      </c>
      <c r="Z5945" s="6">
        <v>0</v>
      </c>
      <c r="AA5945" s="6">
        <v>0</v>
      </c>
    </row>
    <row r="5946" spans="1:27" x14ac:dyDescent="0.2">
      <c r="A5946" s="1">
        <v>28</v>
      </c>
      <c r="B5946" s="1" t="s">
        <v>90</v>
      </c>
      <c r="C5946" s="1" t="s">
        <v>91</v>
      </c>
      <c r="D5946" s="1">
        <v>1884</v>
      </c>
      <c r="E5946" s="6">
        <v>0</v>
      </c>
      <c r="G5946" s="1">
        <v>0</v>
      </c>
      <c r="H5946" s="1">
        <v>0</v>
      </c>
      <c r="M5946" s="1" t="s">
        <v>677</v>
      </c>
      <c r="N5946" s="1" t="s">
        <v>425</v>
      </c>
      <c r="O5946" s="1" t="s">
        <v>625</v>
      </c>
      <c r="P5946" s="1" t="s">
        <v>423</v>
      </c>
      <c r="Q5946" s="1">
        <v>0</v>
      </c>
      <c r="S5946" s="1">
        <v>0</v>
      </c>
      <c r="T5946" s="1">
        <v>0</v>
      </c>
      <c r="V5946" s="1">
        <f t="shared" si="101"/>
        <v>0</v>
      </c>
      <c r="W5946" s="1" t="s">
        <v>5</v>
      </c>
      <c r="X5946" s="50"/>
      <c r="Y5946" s="1">
        <v>0</v>
      </c>
      <c r="Z5946" s="6">
        <v>0</v>
      </c>
      <c r="AA5946" s="6">
        <v>0</v>
      </c>
    </row>
    <row r="5947" spans="1:27" x14ac:dyDescent="0.2">
      <c r="A5947" s="1">
        <v>28</v>
      </c>
      <c r="B5947" s="1" t="s">
        <v>90</v>
      </c>
      <c r="C5947" s="1" t="s">
        <v>91</v>
      </c>
      <c r="D5947" s="1">
        <v>1885</v>
      </c>
      <c r="E5947" s="6">
        <v>0</v>
      </c>
      <c r="G5947" s="1">
        <v>0</v>
      </c>
      <c r="H5947" s="1">
        <v>0</v>
      </c>
      <c r="M5947" s="1" t="s">
        <v>677</v>
      </c>
      <c r="N5947" s="1" t="s">
        <v>425</v>
      </c>
      <c r="O5947" s="1" t="s">
        <v>625</v>
      </c>
      <c r="P5947" s="1" t="s">
        <v>423</v>
      </c>
      <c r="Q5947" s="1">
        <v>0</v>
      </c>
      <c r="S5947" s="1">
        <v>0</v>
      </c>
      <c r="T5947" s="1">
        <v>0</v>
      </c>
      <c r="V5947" s="1">
        <f t="shared" si="101"/>
        <v>0</v>
      </c>
      <c r="W5947" s="1" t="s">
        <v>5</v>
      </c>
      <c r="X5947" s="50"/>
      <c r="Y5947" s="1">
        <v>0</v>
      </c>
      <c r="Z5947" s="6">
        <v>0</v>
      </c>
      <c r="AA5947" s="6">
        <v>0</v>
      </c>
    </row>
    <row r="5948" spans="1:27" x14ac:dyDescent="0.2">
      <c r="A5948" s="1">
        <v>28</v>
      </c>
      <c r="B5948" s="1" t="s">
        <v>90</v>
      </c>
      <c r="C5948" s="1" t="s">
        <v>91</v>
      </c>
      <c r="D5948" s="1">
        <v>1886</v>
      </c>
      <c r="E5948" s="6">
        <v>0</v>
      </c>
      <c r="G5948" s="1">
        <v>0</v>
      </c>
      <c r="H5948" s="1">
        <v>0</v>
      </c>
      <c r="M5948" s="1" t="s">
        <v>677</v>
      </c>
      <c r="N5948" s="1" t="s">
        <v>425</v>
      </c>
      <c r="O5948" s="1" t="s">
        <v>625</v>
      </c>
      <c r="P5948" s="1" t="s">
        <v>423</v>
      </c>
      <c r="Q5948" s="1">
        <v>0</v>
      </c>
      <c r="S5948" s="1">
        <v>0</v>
      </c>
      <c r="T5948" s="1">
        <v>0</v>
      </c>
      <c r="V5948" s="1">
        <f t="shared" si="101"/>
        <v>0</v>
      </c>
      <c r="W5948" s="1" t="s">
        <v>5</v>
      </c>
      <c r="X5948" s="50"/>
      <c r="Y5948" s="1">
        <v>0</v>
      </c>
      <c r="Z5948" s="6">
        <v>0</v>
      </c>
      <c r="AA5948" s="6">
        <v>0</v>
      </c>
    </row>
    <row r="5949" spans="1:27" x14ac:dyDescent="0.2">
      <c r="A5949" s="1">
        <v>28</v>
      </c>
      <c r="B5949" s="1" t="s">
        <v>90</v>
      </c>
      <c r="C5949" s="1" t="s">
        <v>91</v>
      </c>
      <c r="D5949" s="1">
        <v>1887</v>
      </c>
      <c r="E5949" s="6">
        <v>0</v>
      </c>
      <c r="G5949" s="1">
        <v>0</v>
      </c>
      <c r="H5949" s="1">
        <v>0</v>
      </c>
      <c r="M5949" s="1" t="s">
        <v>677</v>
      </c>
      <c r="N5949" s="1" t="s">
        <v>425</v>
      </c>
      <c r="O5949" s="1" t="s">
        <v>625</v>
      </c>
      <c r="P5949" s="1" t="s">
        <v>423</v>
      </c>
      <c r="Q5949" s="1">
        <v>0</v>
      </c>
      <c r="S5949" s="1">
        <v>0</v>
      </c>
      <c r="T5949" s="1">
        <v>0</v>
      </c>
      <c r="V5949" s="1">
        <f t="shared" si="101"/>
        <v>0</v>
      </c>
      <c r="W5949" s="1" t="s">
        <v>5</v>
      </c>
      <c r="X5949" s="50"/>
      <c r="Y5949" s="1">
        <v>0</v>
      </c>
      <c r="Z5949" s="6">
        <v>0</v>
      </c>
      <c r="AA5949" s="6">
        <v>0</v>
      </c>
    </row>
    <row r="5950" spans="1:27" x14ac:dyDescent="0.2">
      <c r="A5950" s="1">
        <v>28</v>
      </c>
      <c r="B5950" s="1" t="s">
        <v>90</v>
      </c>
      <c r="C5950" s="1" t="s">
        <v>91</v>
      </c>
      <c r="D5950" s="1">
        <v>1888</v>
      </c>
      <c r="E5950" s="6">
        <v>0</v>
      </c>
      <c r="G5950" s="1">
        <v>0</v>
      </c>
      <c r="H5950" s="1">
        <v>0</v>
      </c>
      <c r="M5950" s="1" t="s">
        <v>677</v>
      </c>
      <c r="N5950" s="1" t="s">
        <v>425</v>
      </c>
      <c r="O5950" s="1" t="s">
        <v>625</v>
      </c>
      <c r="P5950" s="1" t="s">
        <v>423</v>
      </c>
      <c r="Q5950" s="1">
        <v>0</v>
      </c>
      <c r="S5950" s="1">
        <v>0</v>
      </c>
      <c r="T5950" s="1">
        <v>0</v>
      </c>
      <c r="V5950" s="1">
        <f t="shared" si="101"/>
        <v>0</v>
      </c>
      <c r="W5950" s="1" t="s">
        <v>5</v>
      </c>
      <c r="X5950" s="50"/>
      <c r="Y5950" s="1">
        <v>0</v>
      </c>
      <c r="Z5950" s="6">
        <v>0</v>
      </c>
      <c r="AA5950" s="6">
        <v>0</v>
      </c>
    </row>
    <row r="5951" spans="1:27" x14ac:dyDescent="0.2">
      <c r="A5951" s="1">
        <v>28</v>
      </c>
      <c r="B5951" s="1" t="s">
        <v>90</v>
      </c>
      <c r="C5951" s="1" t="s">
        <v>91</v>
      </c>
      <c r="D5951" s="1">
        <v>1889</v>
      </c>
      <c r="E5951" s="6">
        <v>0</v>
      </c>
      <c r="G5951" s="1">
        <v>0</v>
      </c>
      <c r="H5951" s="1">
        <v>0</v>
      </c>
      <c r="M5951" s="1" t="s">
        <v>677</v>
      </c>
      <c r="N5951" s="1" t="s">
        <v>425</v>
      </c>
      <c r="O5951" s="1" t="s">
        <v>625</v>
      </c>
      <c r="P5951" s="1" t="s">
        <v>423</v>
      </c>
      <c r="Q5951" s="1">
        <v>0</v>
      </c>
      <c r="S5951" s="1">
        <v>0</v>
      </c>
      <c r="T5951" s="1">
        <v>0</v>
      </c>
      <c r="V5951" s="1">
        <f t="shared" si="101"/>
        <v>0</v>
      </c>
      <c r="W5951" s="1" t="s">
        <v>5</v>
      </c>
      <c r="X5951" s="50"/>
      <c r="Y5951" s="1">
        <v>0</v>
      </c>
      <c r="Z5951" s="6">
        <v>0</v>
      </c>
      <c r="AA5951" s="6">
        <v>0</v>
      </c>
    </row>
    <row r="5952" spans="1:27" x14ac:dyDescent="0.2">
      <c r="A5952" s="1">
        <v>28</v>
      </c>
      <c r="B5952" s="1" t="s">
        <v>90</v>
      </c>
      <c r="C5952" s="1" t="s">
        <v>91</v>
      </c>
      <c r="D5952" s="1">
        <v>1890</v>
      </c>
      <c r="E5952" s="6">
        <v>0</v>
      </c>
      <c r="G5952" s="1">
        <v>0</v>
      </c>
      <c r="H5952" s="1">
        <v>0</v>
      </c>
      <c r="M5952" s="1" t="s">
        <v>677</v>
      </c>
      <c r="N5952" s="1" t="s">
        <v>425</v>
      </c>
      <c r="O5952" s="1" t="s">
        <v>625</v>
      </c>
      <c r="P5952" s="1" t="s">
        <v>423</v>
      </c>
      <c r="Q5952" s="1">
        <v>0</v>
      </c>
      <c r="S5952" s="1">
        <v>0</v>
      </c>
      <c r="T5952" s="1">
        <v>0</v>
      </c>
      <c r="V5952" s="1">
        <f t="shared" si="101"/>
        <v>0</v>
      </c>
      <c r="W5952" s="1" t="s">
        <v>5</v>
      </c>
      <c r="X5952" s="50"/>
      <c r="Y5952" s="1">
        <v>0</v>
      </c>
      <c r="Z5952" s="6">
        <v>0</v>
      </c>
      <c r="AA5952" s="6">
        <v>0</v>
      </c>
    </row>
    <row r="5953" spans="1:27" x14ac:dyDescent="0.2">
      <c r="A5953" s="1">
        <v>28</v>
      </c>
      <c r="B5953" s="1" t="s">
        <v>90</v>
      </c>
      <c r="C5953" s="1" t="s">
        <v>91</v>
      </c>
      <c r="D5953" s="1">
        <v>1891</v>
      </c>
      <c r="E5953" s="6">
        <v>0</v>
      </c>
      <c r="G5953" s="1">
        <v>0</v>
      </c>
      <c r="H5953" s="1">
        <v>0</v>
      </c>
      <c r="M5953" s="1" t="s">
        <v>677</v>
      </c>
      <c r="N5953" s="1" t="s">
        <v>425</v>
      </c>
      <c r="O5953" s="1" t="s">
        <v>625</v>
      </c>
      <c r="P5953" s="1" t="s">
        <v>423</v>
      </c>
      <c r="Q5953" s="1">
        <v>0</v>
      </c>
      <c r="S5953" s="1">
        <v>0</v>
      </c>
      <c r="T5953" s="1">
        <v>0</v>
      </c>
      <c r="V5953" s="1">
        <f t="shared" si="101"/>
        <v>0</v>
      </c>
      <c r="W5953" s="1" t="s">
        <v>5</v>
      </c>
      <c r="X5953" s="50"/>
      <c r="Y5953" s="1">
        <v>0</v>
      </c>
      <c r="Z5953" s="6">
        <v>0</v>
      </c>
      <c r="AA5953" s="6">
        <v>0</v>
      </c>
    </row>
    <row r="5954" spans="1:27" ht="12.75" customHeight="1" x14ac:dyDescent="0.2">
      <c r="A5954" s="1">
        <v>28</v>
      </c>
      <c r="B5954" s="1" t="s">
        <v>90</v>
      </c>
      <c r="C5954" s="1" t="s">
        <v>91</v>
      </c>
      <c r="D5954" s="1">
        <v>1892</v>
      </c>
      <c r="E5954" s="6">
        <v>0</v>
      </c>
      <c r="G5954" s="1">
        <v>0</v>
      </c>
      <c r="H5954" s="1">
        <v>1</v>
      </c>
      <c r="M5954" s="1" t="s">
        <v>677</v>
      </c>
      <c r="N5954" s="1" t="s">
        <v>425</v>
      </c>
      <c r="O5954" s="1" t="s">
        <v>625</v>
      </c>
      <c r="P5954" s="1" t="s">
        <v>423</v>
      </c>
      <c r="Q5954" s="1">
        <v>0</v>
      </c>
      <c r="S5954" s="1">
        <v>0</v>
      </c>
      <c r="T5954" s="1">
        <v>0</v>
      </c>
      <c r="V5954" s="1">
        <f t="shared" si="101"/>
        <v>0</v>
      </c>
      <c r="W5954" s="1" t="s">
        <v>5</v>
      </c>
      <c r="X5954" s="50"/>
      <c r="Y5954" s="1">
        <v>0</v>
      </c>
      <c r="Z5954" s="6">
        <v>0</v>
      </c>
      <c r="AA5954" s="6">
        <v>0</v>
      </c>
    </row>
    <row r="5955" spans="1:27" x14ac:dyDescent="0.2">
      <c r="A5955" s="1">
        <v>28</v>
      </c>
      <c r="B5955" s="1" t="s">
        <v>90</v>
      </c>
      <c r="C5955" s="1" t="s">
        <v>91</v>
      </c>
      <c r="D5955" s="1">
        <v>1893</v>
      </c>
      <c r="E5955" s="6">
        <v>0</v>
      </c>
      <c r="G5955" s="1">
        <v>0</v>
      </c>
      <c r="H5955" s="1">
        <v>1</v>
      </c>
      <c r="M5955" s="1" t="s">
        <v>677</v>
      </c>
      <c r="N5955" s="1" t="s">
        <v>425</v>
      </c>
      <c r="O5955" s="1" t="s">
        <v>625</v>
      </c>
      <c r="P5955" s="1" t="s">
        <v>423</v>
      </c>
      <c r="Q5955" s="1">
        <v>0</v>
      </c>
      <c r="S5955" s="1">
        <v>0</v>
      </c>
      <c r="T5955" s="1">
        <v>0</v>
      </c>
      <c r="V5955" s="1">
        <f t="shared" si="101"/>
        <v>0</v>
      </c>
      <c r="W5955" s="1" t="s">
        <v>5</v>
      </c>
      <c r="X5955" s="50"/>
      <c r="Y5955" s="1">
        <v>0</v>
      </c>
      <c r="Z5955" s="6">
        <v>0</v>
      </c>
      <c r="AA5955" s="6">
        <v>0</v>
      </c>
    </row>
    <row r="5956" spans="1:27" x14ac:dyDescent="0.2">
      <c r="A5956" s="1">
        <v>28</v>
      </c>
      <c r="B5956" s="1" t="s">
        <v>90</v>
      </c>
      <c r="C5956" s="1" t="s">
        <v>91</v>
      </c>
      <c r="D5956" s="1">
        <v>1894</v>
      </c>
      <c r="E5956" s="6">
        <v>0</v>
      </c>
      <c r="G5956" s="1">
        <v>0</v>
      </c>
      <c r="H5956" s="1">
        <v>1</v>
      </c>
      <c r="M5956" s="1" t="s">
        <v>677</v>
      </c>
      <c r="N5956" s="1" t="s">
        <v>425</v>
      </c>
      <c r="O5956" s="1" t="s">
        <v>625</v>
      </c>
      <c r="P5956" s="1" t="s">
        <v>423</v>
      </c>
      <c r="Q5956" s="1">
        <v>0</v>
      </c>
      <c r="S5956" s="1">
        <v>0</v>
      </c>
      <c r="T5956" s="1">
        <v>0</v>
      </c>
      <c r="V5956" s="1">
        <f t="shared" si="101"/>
        <v>0</v>
      </c>
      <c r="W5956" s="1" t="s">
        <v>5</v>
      </c>
      <c r="X5956" s="50"/>
      <c r="Y5956" s="1">
        <v>0</v>
      </c>
      <c r="Z5956" s="6">
        <v>0</v>
      </c>
      <c r="AA5956" s="6">
        <v>0</v>
      </c>
    </row>
    <row r="5957" spans="1:27" x14ac:dyDescent="0.2">
      <c r="A5957" s="1">
        <v>28</v>
      </c>
      <c r="B5957" s="1" t="s">
        <v>90</v>
      </c>
      <c r="C5957" s="1" t="s">
        <v>91</v>
      </c>
      <c r="D5957" s="1">
        <v>1895</v>
      </c>
      <c r="E5957" s="6">
        <v>0</v>
      </c>
      <c r="G5957" s="1">
        <v>0</v>
      </c>
      <c r="H5957" s="1">
        <v>1</v>
      </c>
      <c r="M5957" s="1" t="s">
        <v>677</v>
      </c>
      <c r="N5957" s="1" t="s">
        <v>425</v>
      </c>
      <c r="O5957" s="1" t="s">
        <v>625</v>
      </c>
      <c r="P5957" s="1" t="s">
        <v>423</v>
      </c>
      <c r="Q5957" s="1">
        <v>0</v>
      </c>
      <c r="S5957" s="1">
        <v>0</v>
      </c>
      <c r="T5957" s="1">
        <v>0</v>
      </c>
      <c r="V5957" s="1">
        <f t="shared" si="101"/>
        <v>0</v>
      </c>
      <c r="W5957" s="1" t="s">
        <v>5</v>
      </c>
      <c r="X5957" s="50"/>
      <c r="Y5957" s="1">
        <v>0</v>
      </c>
      <c r="Z5957" s="6">
        <v>0</v>
      </c>
      <c r="AA5957" s="6">
        <v>0</v>
      </c>
    </row>
    <row r="5958" spans="1:27" x14ac:dyDescent="0.2">
      <c r="A5958" s="1">
        <v>28</v>
      </c>
      <c r="B5958" s="1" t="s">
        <v>90</v>
      </c>
      <c r="C5958" s="1" t="s">
        <v>91</v>
      </c>
      <c r="D5958" s="1">
        <v>1896</v>
      </c>
      <c r="E5958" s="6">
        <v>0</v>
      </c>
      <c r="G5958" s="1">
        <v>0</v>
      </c>
      <c r="H5958" s="1">
        <v>1</v>
      </c>
      <c r="M5958" s="1" t="s">
        <v>677</v>
      </c>
      <c r="N5958" s="1" t="s">
        <v>425</v>
      </c>
      <c r="O5958" s="1" t="s">
        <v>625</v>
      </c>
      <c r="P5958" s="1" t="s">
        <v>423</v>
      </c>
      <c r="Q5958" s="1">
        <v>0</v>
      </c>
      <c r="S5958" s="1">
        <v>0</v>
      </c>
      <c r="T5958" s="1">
        <v>0</v>
      </c>
      <c r="V5958" s="1">
        <f t="shared" si="101"/>
        <v>0</v>
      </c>
      <c r="W5958" s="1" t="s">
        <v>5</v>
      </c>
      <c r="X5958" s="50"/>
      <c r="Y5958" s="1">
        <v>0</v>
      </c>
      <c r="Z5958" s="6">
        <v>0</v>
      </c>
      <c r="AA5958" s="6">
        <v>0</v>
      </c>
    </row>
    <row r="5959" spans="1:27" x14ac:dyDescent="0.2">
      <c r="A5959" s="1">
        <v>28</v>
      </c>
      <c r="B5959" s="1" t="s">
        <v>90</v>
      </c>
      <c r="C5959" s="1" t="s">
        <v>91</v>
      </c>
      <c r="D5959" s="1">
        <v>1897</v>
      </c>
      <c r="E5959" s="6">
        <v>0</v>
      </c>
      <c r="G5959" s="1">
        <v>0</v>
      </c>
      <c r="H5959" s="1">
        <v>1</v>
      </c>
      <c r="M5959" s="1" t="s">
        <v>677</v>
      </c>
      <c r="N5959" s="1" t="s">
        <v>425</v>
      </c>
      <c r="O5959" s="1" t="s">
        <v>625</v>
      </c>
      <c r="P5959" s="1" t="s">
        <v>423</v>
      </c>
      <c r="Q5959" s="1">
        <v>0</v>
      </c>
      <c r="S5959" s="1">
        <v>0</v>
      </c>
      <c r="T5959" s="1">
        <v>0</v>
      </c>
      <c r="V5959" s="1">
        <f t="shared" si="101"/>
        <v>0</v>
      </c>
      <c r="W5959" s="1" t="s">
        <v>5</v>
      </c>
      <c r="X5959" s="39"/>
      <c r="Y5959" s="1">
        <v>0</v>
      </c>
      <c r="Z5959" s="6">
        <v>0</v>
      </c>
      <c r="AA5959" s="6">
        <v>0</v>
      </c>
    </row>
    <row r="5960" spans="1:27" x14ac:dyDescent="0.2">
      <c r="A5960" s="1">
        <v>28</v>
      </c>
      <c r="B5960" s="1" t="s">
        <v>90</v>
      </c>
      <c r="C5960" s="1" t="s">
        <v>91</v>
      </c>
      <c r="D5960" s="1">
        <v>1898</v>
      </c>
      <c r="E5960" s="6">
        <v>0</v>
      </c>
      <c r="G5960" s="1">
        <v>0</v>
      </c>
      <c r="H5960" s="1">
        <v>1</v>
      </c>
      <c r="M5960" s="1" t="s">
        <v>677</v>
      </c>
      <c r="N5960" s="1" t="s">
        <v>425</v>
      </c>
      <c r="O5960" s="1" t="s">
        <v>625</v>
      </c>
      <c r="P5960" s="1" t="s">
        <v>423</v>
      </c>
      <c r="Q5960" s="1">
        <v>0</v>
      </c>
      <c r="S5960" s="1">
        <v>0</v>
      </c>
      <c r="T5960" s="1">
        <v>0</v>
      </c>
      <c r="V5960" s="1">
        <f t="shared" si="101"/>
        <v>0</v>
      </c>
      <c r="W5960" s="1" t="s">
        <v>5</v>
      </c>
      <c r="X5960" s="39"/>
      <c r="Y5960" s="1">
        <v>0</v>
      </c>
      <c r="Z5960" s="6">
        <v>0</v>
      </c>
      <c r="AA5960" s="6">
        <v>0</v>
      </c>
    </row>
    <row r="5961" spans="1:27" x14ac:dyDescent="0.2">
      <c r="A5961" s="1">
        <v>28</v>
      </c>
      <c r="B5961" s="1" t="s">
        <v>90</v>
      </c>
      <c r="C5961" s="1" t="s">
        <v>91</v>
      </c>
      <c r="D5961" s="1">
        <v>1899</v>
      </c>
      <c r="E5961" s="6">
        <v>0</v>
      </c>
      <c r="G5961" s="1">
        <v>0</v>
      </c>
      <c r="H5961" s="1">
        <v>1</v>
      </c>
      <c r="I5961" s="1" t="s">
        <v>419</v>
      </c>
      <c r="M5961" s="1" t="s">
        <v>677</v>
      </c>
      <c r="N5961" s="1" t="s">
        <v>425</v>
      </c>
      <c r="O5961" s="1" t="s">
        <v>625</v>
      </c>
      <c r="P5961" s="1" t="s">
        <v>423</v>
      </c>
      <c r="Q5961" s="1">
        <v>0</v>
      </c>
      <c r="S5961" s="1">
        <v>0</v>
      </c>
      <c r="T5961" s="1">
        <v>0</v>
      </c>
      <c r="V5961" s="1">
        <f t="shared" si="101"/>
        <v>0</v>
      </c>
      <c r="W5961" s="1" t="s">
        <v>5</v>
      </c>
      <c r="X5961" s="39"/>
      <c r="Y5961" s="1">
        <v>0</v>
      </c>
      <c r="Z5961" s="6">
        <v>0</v>
      </c>
      <c r="AA5961" s="6">
        <v>0</v>
      </c>
    </row>
    <row r="5962" spans="1:27" x14ac:dyDescent="0.2">
      <c r="A5962" s="1">
        <v>28</v>
      </c>
      <c r="B5962" s="1" t="s">
        <v>90</v>
      </c>
      <c r="C5962" s="1" t="s">
        <v>91</v>
      </c>
      <c r="D5962" s="1">
        <v>1900</v>
      </c>
      <c r="E5962" s="6">
        <v>0</v>
      </c>
      <c r="G5962" s="1">
        <v>0</v>
      </c>
      <c r="H5962" s="1">
        <v>1</v>
      </c>
      <c r="I5962" s="1">
        <v>4.9489999999999998</v>
      </c>
      <c r="M5962" s="1" t="s">
        <v>677</v>
      </c>
      <c r="N5962" s="1" t="s">
        <v>425</v>
      </c>
      <c r="O5962" s="1" t="s">
        <v>625</v>
      </c>
      <c r="P5962" s="1" t="s">
        <v>423</v>
      </c>
      <c r="Q5962" s="1">
        <v>0</v>
      </c>
      <c r="S5962" s="1">
        <v>0</v>
      </c>
      <c r="T5962" s="1">
        <v>0</v>
      </c>
      <c r="V5962" s="1">
        <f t="shared" si="101"/>
        <v>0</v>
      </c>
      <c r="W5962" s="1" t="s">
        <v>5</v>
      </c>
      <c r="X5962" s="39"/>
      <c r="Y5962" s="1">
        <v>0</v>
      </c>
      <c r="Z5962" s="6">
        <v>0</v>
      </c>
      <c r="AA5962" s="6">
        <v>0</v>
      </c>
    </row>
    <row r="5963" spans="1:27" x14ac:dyDescent="0.2">
      <c r="A5963" s="1">
        <v>28</v>
      </c>
      <c r="B5963" s="1" t="s">
        <v>90</v>
      </c>
      <c r="C5963" s="1" t="s">
        <v>91</v>
      </c>
      <c r="D5963" s="1">
        <v>1901</v>
      </c>
      <c r="E5963" s="6">
        <v>0</v>
      </c>
      <c r="G5963" s="1">
        <v>0</v>
      </c>
      <c r="H5963" s="1">
        <v>1</v>
      </c>
      <c r="I5963" s="1">
        <v>4.91</v>
      </c>
      <c r="M5963" s="1" t="s">
        <v>677</v>
      </c>
      <c r="N5963" s="1" t="s">
        <v>425</v>
      </c>
      <c r="O5963" s="1" t="s">
        <v>625</v>
      </c>
      <c r="P5963" s="1" t="s">
        <v>423</v>
      </c>
      <c r="Q5963" s="1">
        <v>0</v>
      </c>
      <c r="S5963" s="1">
        <v>0</v>
      </c>
      <c r="T5963" s="1">
        <v>0</v>
      </c>
      <c r="V5963" s="1">
        <f t="shared" si="101"/>
        <v>0</v>
      </c>
      <c r="W5963" s="1" t="s">
        <v>5</v>
      </c>
      <c r="X5963" s="39"/>
      <c r="Y5963" s="1">
        <v>0</v>
      </c>
      <c r="Z5963" s="6">
        <v>0</v>
      </c>
      <c r="AA5963" s="6">
        <v>0</v>
      </c>
    </row>
    <row r="5964" spans="1:27" x14ac:dyDescent="0.2">
      <c r="A5964" s="1">
        <v>28</v>
      </c>
      <c r="B5964" s="1" t="s">
        <v>90</v>
      </c>
      <c r="C5964" s="1" t="s">
        <v>91</v>
      </c>
      <c r="D5964" s="1">
        <v>1902</v>
      </c>
      <c r="E5964" s="6">
        <v>0</v>
      </c>
      <c r="G5964" s="1">
        <v>0</v>
      </c>
      <c r="H5964" s="1">
        <v>1</v>
      </c>
      <c r="I5964" s="1">
        <v>4.9109999999999996</v>
      </c>
      <c r="M5964" s="1" t="s">
        <v>677</v>
      </c>
      <c r="N5964" s="1" t="s">
        <v>425</v>
      </c>
      <c r="O5964" s="1" t="s">
        <v>625</v>
      </c>
      <c r="P5964" s="1" t="s">
        <v>423</v>
      </c>
      <c r="Q5964" s="1">
        <v>0</v>
      </c>
      <c r="S5964" s="1">
        <v>0</v>
      </c>
      <c r="T5964" s="1">
        <v>0</v>
      </c>
      <c r="V5964" s="1">
        <f t="shared" si="101"/>
        <v>0</v>
      </c>
      <c r="W5964" s="1" t="s">
        <v>5</v>
      </c>
      <c r="X5964" s="39"/>
      <c r="Y5964" s="1">
        <v>0</v>
      </c>
      <c r="Z5964" s="6">
        <v>0</v>
      </c>
      <c r="AA5964" s="6">
        <v>0</v>
      </c>
    </row>
    <row r="5965" spans="1:27" x14ac:dyDescent="0.2">
      <c r="A5965" s="1">
        <v>28</v>
      </c>
      <c r="B5965" s="1" t="s">
        <v>90</v>
      </c>
      <c r="C5965" s="1" t="s">
        <v>91</v>
      </c>
      <c r="D5965" s="1">
        <v>1903</v>
      </c>
      <c r="E5965" s="6">
        <v>0</v>
      </c>
      <c r="G5965" s="1">
        <v>0</v>
      </c>
      <c r="H5965" s="1">
        <v>1</v>
      </c>
      <c r="I5965" s="1">
        <v>4.9459999999999997</v>
      </c>
      <c r="M5965" s="1" t="s">
        <v>677</v>
      </c>
      <c r="N5965" s="1" t="s">
        <v>425</v>
      </c>
      <c r="O5965" s="1" t="s">
        <v>625</v>
      </c>
      <c r="P5965" s="1" t="s">
        <v>423</v>
      </c>
      <c r="Q5965" s="1">
        <v>0</v>
      </c>
      <c r="S5965" s="1">
        <v>0</v>
      </c>
      <c r="T5965" s="1">
        <v>0</v>
      </c>
      <c r="V5965" s="1">
        <f t="shared" si="101"/>
        <v>0</v>
      </c>
      <c r="W5965" s="1" t="s">
        <v>5</v>
      </c>
      <c r="X5965" s="39"/>
      <c r="Y5965" s="1">
        <v>0</v>
      </c>
      <c r="Z5965" s="6">
        <v>0</v>
      </c>
      <c r="AA5965" s="6">
        <v>0</v>
      </c>
    </row>
    <row r="5966" spans="1:27" x14ac:dyDescent="0.2">
      <c r="A5966" s="1">
        <v>28</v>
      </c>
      <c r="B5966" s="1" t="s">
        <v>90</v>
      </c>
      <c r="C5966" s="1" t="s">
        <v>91</v>
      </c>
      <c r="D5966" s="1">
        <v>1904</v>
      </c>
      <c r="E5966" s="6">
        <v>0</v>
      </c>
      <c r="G5966" s="1">
        <v>0</v>
      </c>
      <c r="H5966" s="1">
        <v>1</v>
      </c>
      <c r="I5966" s="1">
        <v>4.9189999999999996</v>
      </c>
      <c r="M5966" s="1" t="s">
        <v>677</v>
      </c>
      <c r="N5966" s="1" t="s">
        <v>425</v>
      </c>
      <c r="O5966" s="1" t="s">
        <v>625</v>
      </c>
      <c r="P5966" s="1" t="s">
        <v>423</v>
      </c>
      <c r="Q5966" s="1">
        <v>0</v>
      </c>
      <c r="S5966" s="1">
        <v>0</v>
      </c>
      <c r="T5966" s="1">
        <v>0</v>
      </c>
      <c r="V5966" s="1">
        <f t="shared" si="101"/>
        <v>0</v>
      </c>
      <c r="W5966" s="1" t="s">
        <v>5</v>
      </c>
      <c r="X5966" s="39"/>
      <c r="Y5966" s="1">
        <v>0</v>
      </c>
      <c r="Z5966" s="6">
        <v>0</v>
      </c>
      <c r="AA5966" s="6">
        <v>0</v>
      </c>
    </row>
    <row r="5967" spans="1:27" x14ac:dyDescent="0.2">
      <c r="A5967" s="1">
        <v>28</v>
      </c>
      <c r="B5967" s="1" t="s">
        <v>90</v>
      </c>
      <c r="C5967" s="1" t="s">
        <v>91</v>
      </c>
      <c r="D5967" s="1">
        <v>1905</v>
      </c>
      <c r="E5967" s="6">
        <v>0</v>
      </c>
      <c r="G5967" s="1">
        <v>0</v>
      </c>
      <c r="H5967" s="1">
        <v>1</v>
      </c>
      <c r="I5967" s="1">
        <v>4.9320000000000004</v>
      </c>
      <c r="M5967" s="1" t="s">
        <v>677</v>
      </c>
      <c r="N5967" s="1" t="s">
        <v>425</v>
      </c>
      <c r="O5967" s="1" t="s">
        <v>625</v>
      </c>
      <c r="P5967" s="1" t="s">
        <v>423</v>
      </c>
      <c r="Q5967" s="1">
        <v>0</v>
      </c>
      <c r="S5967" s="1">
        <v>0</v>
      </c>
      <c r="T5967" s="1">
        <v>0</v>
      </c>
      <c r="V5967" s="1">
        <f t="shared" si="101"/>
        <v>0</v>
      </c>
      <c r="W5967" s="1" t="s">
        <v>5</v>
      </c>
      <c r="X5967" s="39"/>
      <c r="Y5967" s="1">
        <v>0</v>
      </c>
      <c r="Z5967" s="6">
        <v>0</v>
      </c>
      <c r="AA5967" s="6">
        <v>0</v>
      </c>
    </row>
    <row r="5968" spans="1:27" x14ac:dyDescent="0.2">
      <c r="A5968" s="1">
        <v>28</v>
      </c>
      <c r="B5968" s="1" t="s">
        <v>90</v>
      </c>
      <c r="C5968" s="1" t="s">
        <v>91</v>
      </c>
      <c r="D5968" s="1">
        <v>1906</v>
      </c>
      <c r="E5968" s="6">
        <v>0</v>
      </c>
      <c r="G5968" s="1">
        <v>0</v>
      </c>
      <c r="H5968" s="1">
        <v>1</v>
      </c>
      <c r="I5968" s="1">
        <v>4.9649999999999999</v>
      </c>
      <c r="M5968" s="1" t="s">
        <v>677</v>
      </c>
      <c r="N5968" s="1" t="s">
        <v>425</v>
      </c>
      <c r="O5968" s="1" t="s">
        <v>625</v>
      </c>
      <c r="P5968" s="1" t="s">
        <v>423</v>
      </c>
      <c r="Q5968" s="1">
        <v>0</v>
      </c>
      <c r="S5968" s="1">
        <v>0</v>
      </c>
      <c r="T5968" s="1">
        <v>0</v>
      </c>
      <c r="V5968" s="1">
        <f t="shared" si="101"/>
        <v>0</v>
      </c>
      <c r="W5968" s="1" t="s">
        <v>5</v>
      </c>
      <c r="X5968" s="39"/>
      <c r="Y5968" s="1">
        <v>0</v>
      </c>
      <c r="Z5968" s="6">
        <v>0</v>
      </c>
      <c r="AA5968" s="6">
        <v>0</v>
      </c>
    </row>
    <row r="5969" spans="1:27" x14ac:dyDescent="0.2">
      <c r="A5969" s="1">
        <v>28</v>
      </c>
      <c r="B5969" s="1" t="s">
        <v>90</v>
      </c>
      <c r="C5969" s="1" t="s">
        <v>91</v>
      </c>
      <c r="D5969" s="1">
        <v>1907</v>
      </c>
      <c r="E5969" s="6">
        <v>0</v>
      </c>
      <c r="G5969" s="1">
        <v>0</v>
      </c>
      <c r="H5969" s="1">
        <v>1</v>
      </c>
      <c r="I5969" s="1">
        <v>4.9580000000000002</v>
      </c>
      <c r="M5969" s="1" t="s">
        <v>677</v>
      </c>
      <c r="N5969" s="1" t="s">
        <v>425</v>
      </c>
      <c r="O5969" s="1" t="s">
        <v>625</v>
      </c>
      <c r="P5969" s="1" t="s">
        <v>423</v>
      </c>
      <c r="Q5969" s="1">
        <v>0</v>
      </c>
      <c r="S5969" s="1">
        <v>0</v>
      </c>
      <c r="T5969" s="1">
        <v>0</v>
      </c>
      <c r="V5969" s="1">
        <f t="shared" si="101"/>
        <v>0</v>
      </c>
      <c r="W5969" s="1" t="s">
        <v>5</v>
      </c>
      <c r="X5969" s="39"/>
      <c r="Y5969" s="1">
        <v>0</v>
      </c>
      <c r="Z5969" s="6">
        <v>0</v>
      </c>
      <c r="AA5969" s="6">
        <v>0</v>
      </c>
    </row>
    <row r="5970" spans="1:27" x14ac:dyDescent="0.2">
      <c r="A5970" s="1">
        <v>28</v>
      </c>
      <c r="B5970" s="1" t="s">
        <v>90</v>
      </c>
      <c r="C5970" s="1" t="s">
        <v>91</v>
      </c>
      <c r="D5970" s="1">
        <v>1908</v>
      </c>
      <c r="E5970" s="6">
        <v>0</v>
      </c>
      <c r="G5970" s="1">
        <v>0</v>
      </c>
      <c r="H5970" s="1">
        <v>1</v>
      </c>
      <c r="I5970" s="1">
        <v>4.9210000000000003</v>
      </c>
      <c r="M5970" s="1" t="s">
        <v>677</v>
      </c>
      <c r="N5970" s="1" t="s">
        <v>425</v>
      </c>
      <c r="O5970" s="1" t="s">
        <v>625</v>
      </c>
      <c r="P5970" s="1" t="s">
        <v>423</v>
      </c>
      <c r="Q5970" s="1">
        <v>0</v>
      </c>
      <c r="S5970" s="1">
        <v>0</v>
      </c>
      <c r="T5970" s="1">
        <v>0</v>
      </c>
      <c r="V5970" s="1">
        <f t="shared" si="101"/>
        <v>0</v>
      </c>
      <c r="W5970" s="1" t="s">
        <v>5</v>
      </c>
      <c r="X5970" s="39"/>
      <c r="Y5970" s="1">
        <v>0</v>
      </c>
      <c r="Z5970" s="6">
        <v>0</v>
      </c>
      <c r="AA5970" s="6">
        <v>0</v>
      </c>
    </row>
    <row r="5971" spans="1:27" x14ac:dyDescent="0.2">
      <c r="A5971" s="1">
        <v>28</v>
      </c>
      <c r="B5971" s="1" t="s">
        <v>90</v>
      </c>
      <c r="C5971" s="1" t="s">
        <v>91</v>
      </c>
      <c r="D5971" s="1">
        <v>1909</v>
      </c>
      <c r="E5971" s="6">
        <v>0</v>
      </c>
      <c r="G5971" s="1">
        <v>0</v>
      </c>
      <c r="H5971" s="1">
        <v>1</v>
      </c>
      <c r="I5971" s="1">
        <v>4.9429999999999996</v>
      </c>
      <c r="M5971" s="1" t="s">
        <v>677</v>
      </c>
      <c r="N5971" s="1" t="s">
        <v>425</v>
      </c>
      <c r="O5971" s="1" t="s">
        <v>625</v>
      </c>
      <c r="P5971" s="1" t="s">
        <v>423</v>
      </c>
      <c r="Q5971" s="1">
        <v>0</v>
      </c>
      <c r="S5971" s="1">
        <v>0</v>
      </c>
      <c r="T5971" s="1">
        <v>0</v>
      </c>
      <c r="V5971" s="1">
        <f t="shared" si="101"/>
        <v>0</v>
      </c>
      <c r="W5971" s="1" t="s">
        <v>5</v>
      </c>
      <c r="X5971" s="39"/>
      <c r="Y5971" s="1">
        <v>0</v>
      </c>
      <c r="Z5971" s="6">
        <v>0</v>
      </c>
      <c r="AA5971" s="6">
        <v>0</v>
      </c>
    </row>
    <row r="5972" spans="1:27" x14ac:dyDescent="0.2">
      <c r="A5972" s="1">
        <v>28</v>
      </c>
      <c r="B5972" s="1" t="s">
        <v>90</v>
      </c>
      <c r="C5972" s="1" t="s">
        <v>91</v>
      </c>
      <c r="D5972" s="1">
        <v>1910</v>
      </c>
      <c r="E5972" s="6">
        <v>0</v>
      </c>
      <c r="G5972" s="1">
        <v>0</v>
      </c>
      <c r="H5972" s="1">
        <v>1</v>
      </c>
      <c r="I5972" s="1">
        <v>4.9470000000000001</v>
      </c>
      <c r="M5972" s="1" t="s">
        <v>677</v>
      </c>
      <c r="N5972" s="1" t="s">
        <v>425</v>
      </c>
      <c r="O5972" s="1" t="s">
        <v>625</v>
      </c>
      <c r="P5972" s="1" t="s">
        <v>423</v>
      </c>
      <c r="Q5972" s="1">
        <v>0</v>
      </c>
      <c r="S5972" s="1">
        <v>0</v>
      </c>
      <c r="T5972" s="1">
        <v>0</v>
      </c>
      <c r="V5972" s="1">
        <f t="shared" si="101"/>
        <v>0</v>
      </c>
      <c r="W5972" s="1" t="s">
        <v>5</v>
      </c>
      <c r="X5972" s="39"/>
      <c r="Y5972" s="1">
        <v>0</v>
      </c>
      <c r="Z5972" s="6">
        <v>0</v>
      </c>
      <c r="AA5972" s="6">
        <v>0</v>
      </c>
    </row>
    <row r="5973" spans="1:27" x14ac:dyDescent="0.2">
      <c r="A5973" s="1">
        <v>28</v>
      </c>
      <c r="B5973" s="1" t="s">
        <v>90</v>
      </c>
      <c r="C5973" s="1" t="s">
        <v>91</v>
      </c>
      <c r="D5973" s="1">
        <v>1911</v>
      </c>
      <c r="E5973" s="6">
        <v>0</v>
      </c>
      <c r="G5973" s="1">
        <v>0</v>
      </c>
      <c r="H5973" s="1">
        <v>1</v>
      </c>
      <c r="I5973" s="1">
        <v>4.9489999999999998</v>
      </c>
      <c r="M5973" s="1" t="s">
        <v>677</v>
      </c>
      <c r="N5973" s="1" t="s">
        <v>425</v>
      </c>
      <c r="O5973" s="1" t="s">
        <v>625</v>
      </c>
      <c r="P5973" s="1" t="s">
        <v>423</v>
      </c>
      <c r="Q5973" s="1">
        <v>0</v>
      </c>
      <c r="S5973" s="1">
        <v>0</v>
      </c>
      <c r="T5973" s="1">
        <v>0</v>
      </c>
      <c r="V5973" s="1">
        <f t="shared" si="101"/>
        <v>0</v>
      </c>
      <c r="W5973" s="1" t="s">
        <v>5</v>
      </c>
      <c r="X5973" s="39"/>
      <c r="Y5973" s="1">
        <v>0</v>
      </c>
      <c r="Z5973" s="6">
        <v>0</v>
      </c>
      <c r="AA5973" s="6">
        <v>0</v>
      </c>
    </row>
    <row r="5974" spans="1:27" x14ac:dyDescent="0.2">
      <c r="A5974" s="1">
        <v>28</v>
      </c>
      <c r="B5974" s="1" t="s">
        <v>90</v>
      </c>
      <c r="C5974" s="1" t="s">
        <v>91</v>
      </c>
      <c r="D5974" s="1">
        <v>1912</v>
      </c>
      <c r="E5974" s="6">
        <v>0</v>
      </c>
      <c r="G5974" s="1">
        <v>0</v>
      </c>
      <c r="H5974" s="1">
        <v>1</v>
      </c>
      <c r="I5974" s="1">
        <v>4.9770000000000003</v>
      </c>
      <c r="M5974" s="1" t="s">
        <v>677</v>
      </c>
      <c r="N5974" s="1" t="s">
        <v>425</v>
      </c>
      <c r="O5974" s="1" t="s">
        <v>625</v>
      </c>
      <c r="P5974" s="1" t="s">
        <v>423</v>
      </c>
      <c r="Q5974" s="1">
        <v>0</v>
      </c>
      <c r="S5974" s="1">
        <v>0</v>
      </c>
      <c r="T5974" s="1">
        <v>0</v>
      </c>
      <c r="V5974" s="1">
        <f t="shared" si="101"/>
        <v>0</v>
      </c>
      <c r="W5974" s="1" t="s">
        <v>5</v>
      </c>
      <c r="X5974" s="39"/>
      <c r="Y5974" s="1">
        <v>0</v>
      </c>
      <c r="Z5974" s="6">
        <v>0</v>
      </c>
      <c r="AA5974" s="6">
        <v>0</v>
      </c>
    </row>
    <row r="5975" spans="1:27" x14ac:dyDescent="0.2">
      <c r="A5975" s="1">
        <v>28</v>
      </c>
      <c r="B5975" s="1" t="s">
        <v>90</v>
      </c>
      <c r="C5975" s="1" t="s">
        <v>91</v>
      </c>
      <c r="D5975" s="1">
        <v>1913</v>
      </c>
      <c r="E5975" s="6">
        <v>0</v>
      </c>
      <c r="G5975" s="1">
        <v>0</v>
      </c>
      <c r="H5975" s="1">
        <v>1</v>
      </c>
      <c r="I5975" s="1">
        <v>4.9630000000000001</v>
      </c>
      <c r="M5975" s="1" t="s">
        <v>677</v>
      </c>
      <c r="N5975" s="1" t="s">
        <v>425</v>
      </c>
      <c r="O5975" s="1" t="s">
        <v>625</v>
      </c>
      <c r="P5975" s="1" t="s">
        <v>423</v>
      </c>
      <c r="Q5975" s="1">
        <v>0</v>
      </c>
      <c r="S5975" s="1">
        <v>0</v>
      </c>
      <c r="T5975" s="1">
        <v>0</v>
      </c>
      <c r="V5975" s="1">
        <f t="shared" si="101"/>
        <v>0</v>
      </c>
      <c r="W5975" s="1" t="s">
        <v>5</v>
      </c>
      <c r="X5975" s="39"/>
      <c r="Y5975" s="1">
        <v>0</v>
      </c>
      <c r="Z5975" s="6">
        <v>0</v>
      </c>
      <c r="AA5975" s="6">
        <v>0</v>
      </c>
    </row>
    <row r="5976" spans="1:27" x14ac:dyDescent="0.2">
      <c r="A5976" s="1">
        <v>28</v>
      </c>
      <c r="B5976" s="1" t="s">
        <v>90</v>
      </c>
      <c r="C5976" s="1" t="s">
        <v>91</v>
      </c>
      <c r="D5976" s="1">
        <v>1914</v>
      </c>
      <c r="E5976" s="6">
        <v>0</v>
      </c>
      <c r="G5976" s="1">
        <v>0</v>
      </c>
      <c r="H5976" s="1">
        <v>1</v>
      </c>
      <c r="I5976" s="1">
        <v>5.7270000000000003</v>
      </c>
      <c r="M5976" s="1" t="s">
        <v>677</v>
      </c>
      <c r="N5976" s="1" t="s">
        <v>425</v>
      </c>
      <c r="O5976" s="1" t="s">
        <v>625</v>
      </c>
      <c r="P5976" s="1" t="s">
        <v>423</v>
      </c>
      <c r="Q5976" s="1">
        <v>0</v>
      </c>
      <c r="S5976" s="1">
        <v>0</v>
      </c>
      <c r="T5976" s="1">
        <v>0</v>
      </c>
      <c r="V5976" s="1">
        <f t="shared" si="101"/>
        <v>0</v>
      </c>
      <c r="W5976" s="1" t="s">
        <v>5</v>
      </c>
      <c r="X5976" s="39"/>
      <c r="Y5976" s="1">
        <v>0</v>
      </c>
      <c r="Z5976" s="6">
        <v>0</v>
      </c>
      <c r="AA5976" s="6">
        <v>0</v>
      </c>
    </row>
    <row r="5977" spans="1:27" x14ac:dyDescent="0.2">
      <c r="A5977" s="1">
        <v>28</v>
      </c>
      <c r="B5977" s="1" t="s">
        <v>90</v>
      </c>
      <c r="C5977" s="1" t="s">
        <v>91</v>
      </c>
      <c r="D5977" s="1">
        <v>1915</v>
      </c>
      <c r="E5977" s="6">
        <v>0</v>
      </c>
      <c r="G5977" s="1">
        <v>0</v>
      </c>
      <c r="H5977" s="1">
        <v>0</v>
      </c>
      <c r="I5977" s="1">
        <v>7.4870000000000001</v>
      </c>
      <c r="M5977" s="1" t="s">
        <v>677</v>
      </c>
      <c r="N5977" s="1" t="s">
        <v>425</v>
      </c>
      <c r="O5977" s="1" t="s">
        <v>625</v>
      </c>
      <c r="P5977" s="1" t="s">
        <v>423</v>
      </c>
      <c r="Q5977" s="1">
        <v>0</v>
      </c>
      <c r="S5977" s="1">
        <v>0</v>
      </c>
      <c r="T5977" s="1">
        <v>0</v>
      </c>
      <c r="V5977" s="1">
        <f t="shared" si="101"/>
        <v>0</v>
      </c>
      <c r="W5977" s="1" t="s">
        <v>5</v>
      </c>
      <c r="X5977" s="39"/>
      <c r="Y5977" s="1">
        <v>0</v>
      </c>
      <c r="Z5977" s="6">
        <v>0</v>
      </c>
      <c r="AA5977" s="6">
        <v>0</v>
      </c>
    </row>
    <row r="5978" spans="1:27" x14ac:dyDescent="0.2">
      <c r="A5978" s="1">
        <v>28</v>
      </c>
      <c r="B5978" s="1" t="s">
        <v>90</v>
      </c>
      <c r="C5978" s="1" t="s">
        <v>91</v>
      </c>
      <c r="D5978" s="1">
        <v>1916</v>
      </c>
      <c r="E5978" s="6">
        <v>0</v>
      </c>
      <c r="G5978" s="1">
        <v>0</v>
      </c>
      <c r="H5978" s="1">
        <v>0</v>
      </c>
      <c r="I5978" s="1">
        <v>9.6560000000000006</v>
      </c>
      <c r="M5978" s="1" t="s">
        <v>677</v>
      </c>
      <c r="N5978" s="1" t="s">
        <v>425</v>
      </c>
      <c r="O5978" s="1" t="s">
        <v>625</v>
      </c>
      <c r="P5978" s="1" t="s">
        <v>423</v>
      </c>
      <c r="Q5978" s="1">
        <v>0</v>
      </c>
      <c r="S5978" s="1">
        <v>0</v>
      </c>
      <c r="T5978" s="1">
        <v>0</v>
      </c>
      <c r="V5978" s="1">
        <f t="shared" si="101"/>
        <v>0</v>
      </c>
      <c r="W5978" s="1" t="s">
        <v>5</v>
      </c>
      <c r="X5978" s="39"/>
      <c r="Y5978" s="1">
        <v>0</v>
      </c>
      <c r="Z5978" s="6">
        <v>0</v>
      </c>
      <c r="AA5978" s="6">
        <v>0</v>
      </c>
    </row>
    <row r="5979" spans="1:27" x14ac:dyDescent="0.2">
      <c r="A5979" s="1">
        <v>28</v>
      </c>
      <c r="B5979" s="1" t="s">
        <v>90</v>
      </c>
      <c r="C5979" s="1" t="s">
        <v>91</v>
      </c>
      <c r="D5979" s="1">
        <v>1917</v>
      </c>
      <c r="E5979" s="6">
        <v>0</v>
      </c>
      <c r="G5979" s="1">
        <v>0</v>
      </c>
      <c r="H5979" s="1">
        <v>0</v>
      </c>
      <c r="I5979" s="1">
        <v>9.2330000000000005</v>
      </c>
      <c r="M5979" s="1" t="s">
        <v>677</v>
      </c>
      <c r="N5979" s="1" t="s">
        <v>425</v>
      </c>
      <c r="O5979" s="1" t="s">
        <v>625</v>
      </c>
      <c r="P5979" s="1" t="s">
        <v>423</v>
      </c>
      <c r="Q5979" s="1">
        <v>0</v>
      </c>
      <c r="S5979" s="1">
        <v>0</v>
      </c>
      <c r="T5979" s="1">
        <v>0</v>
      </c>
      <c r="V5979" s="1">
        <f t="shared" si="101"/>
        <v>0</v>
      </c>
      <c r="W5979" s="1" t="s">
        <v>5</v>
      </c>
      <c r="X5979" s="39"/>
      <c r="Y5979" s="1">
        <v>0</v>
      </c>
      <c r="Z5979" s="6">
        <v>0</v>
      </c>
      <c r="AA5979" s="6">
        <v>0</v>
      </c>
    </row>
    <row r="5980" spans="1:27" x14ac:dyDescent="0.2">
      <c r="A5980" s="1">
        <v>28</v>
      </c>
      <c r="B5980" s="1" t="s">
        <v>90</v>
      </c>
      <c r="C5980" s="1" t="s">
        <v>91</v>
      </c>
      <c r="D5980" s="1">
        <v>1918</v>
      </c>
      <c r="E5980" s="6">
        <v>0</v>
      </c>
      <c r="G5980" s="1">
        <v>0</v>
      </c>
      <c r="H5980" s="1">
        <v>0</v>
      </c>
      <c r="I5980" s="1">
        <v>15.894</v>
      </c>
      <c r="M5980" s="1" t="s">
        <v>677</v>
      </c>
      <c r="N5980" s="1" t="s">
        <v>425</v>
      </c>
      <c r="O5980" s="1" t="s">
        <v>625</v>
      </c>
      <c r="P5980" s="1" t="s">
        <v>423</v>
      </c>
      <c r="Q5980" s="1">
        <v>0</v>
      </c>
      <c r="S5980" s="1">
        <v>0</v>
      </c>
      <c r="T5980" s="1">
        <v>0</v>
      </c>
      <c r="V5980" s="1">
        <f t="shared" si="101"/>
        <v>0</v>
      </c>
      <c r="W5980" s="1" t="s">
        <v>5</v>
      </c>
      <c r="X5980" s="39"/>
      <c r="Y5980" s="1">
        <v>1</v>
      </c>
      <c r="Z5980" s="6">
        <v>0</v>
      </c>
      <c r="AA5980" s="6">
        <v>0</v>
      </c>
    </row>
    <row r="5981" spans="1:27" x14ac:dyDescent="0.2">
      <c r="A5981" s="1">
        <v>28</v>
      </c>
      <c r="B5981" s="1" t="s">
        <v>90</v>
      </c>
      <c r="C5981" s="1" t="s">
        <v>91</v>
      </c>
      <c r="D5981" s="1">
        <v>1919</v>
      </c>
      <c r="E5981" s="6">
        <v>0</v>
      </c>
      <c r="G5981" s="1">
        <v>0</v>
      </c>
      <c r="H5981" s="1">
        <v>0</v>
      </c>
      <c r="I5981" s="1">
        <v>168.21899999999999</v>
      </c>
      <c r="M5981" s="1" t="s">
        <v>677</v>
      </c>
      <c r="N5981" s="1" t="s">
        <v>425</v>
      </c>
      <c r="O5981" s="1" t="s">
        <v>625</v>
      </c>
      <c r="P5981" s="1" t="s">
        <v>423</v>
      </c>
      <c r="Q5981" s="1">
        <v>0</v>
      </c>
      <c r="S5981" s="1">
        <v>0</v>
      </c>
      <c r="T5981" s="1">
        <v>0</v>
      </c>
      <c r="V5981" s="1">
        <f t="shared" si="101"/>
        <v>0</v>
      </c>
      <c r="W5981" s="1" t="s">
        <v>5</v>
      </c>
      <c r="X5981" s="39"/>
      <c r="Y5981" s="1">
        <v>1</v>
      </c>
      <c r="Z5981" s="6">
        <v>0</v>
      </c>
      <c r="AA5981" s="6">
        <v>0</v>
      </c>
    </row>
    <row r="5982" spans="1:27" x14ac:dyDescent="0.2">
      <c r="A5982" s="1">
        <v>28</v>
      </c>
      <c r="B5982" s="1" t="s">
        <v>90</v>
      </c>
      <c r="C5982" s="1" t="s">
        <v>91</v>
      </c>
      <c r="D5982" s="1">
        <v>1920</v>
      </c>
      <c r="E5982" s="6">
        <v>0</v>
      </c>
      <c r="G5982" s="1">
        <v>0</v>
      </c>
      <c r="H5982" s="1">
        <v>0</v>
      </c>
      <c r="I5982" s="1">
        <v>523.25699999999995</v>
      </c>
      <c r="M5982" s="1" t="s">
        <v>677</v>
      </c>
      <c r="N5982" s="1" t="s">
        <v>425</v>
      </c>
      <c r="O5982" s="1" t="s">
        <v>625</v>
      </c>
      <c r="P5982" s="1" t="s">
        <v>423</v>
      </c>
      <c r="Q5982" s="1">
        <v>0</v>
      </c>
      <c r="S5982" s="1">
        <v>0</v>
      </c>
      <c r="T5982" s="1">
        <v>0</v>
      </c>
      <c r="V5982" s="1">
        <f t="shared" si="101"/>
        <v>0</v>
      </c>
      <c r="W5982" s="1" t="s">
        <v>5</v>
      </c>
      <c r="X5982" s="39"/>
      <c r="Y5982" s="1">
        <v>1</v>
      </c>
      <c r="Z5982" s="6">
        <v>0</v>
      </c>
      <c r="AA5982" s="6">
        <v>0</v>
      </c>
    </row>
    <row r="5983" spans="1:27" x14ac:dyDescent="0.2">
      <c r="A5983" s="1">
        <v>28</v>
      </c>
      <c r="B5983" s="1" t="s">
        <v>90</v>
      </c>
      <c r="C5983" s="1" t="s">
        <v>91</v>
      </c>
      <c r="D5983" s="1">
        <v>1921</v>
      </c>
      <c r="E5983" s="6">
        <v>0</v>
      </c>
      <c r="G5983" s="1">
        <v>0</v>
      </c>
      <c r="H5983" s="1">
        <v>0</v>
      </c>
      <c r="I5983" s="1">
        <v>677.9</v>
      </c>
      <c r="M5983" s="1" t="s">
        <v>677</v>
      </c>
      <c r="N5983" s="1" t="s">
        <v>425</v>
      </c>
      <c r="O5983" s="1" t="s">
        <v>625</v>
      </c>
      <c r="P5983" s="1" t="s">
        <v>423</v>
      </c>
      <c r="Q5983" s="1">
        <v>0</v>
      </c>
      <c r="S5983" s="1">
        <v>0</v>
      </c>
      <c r="T5983" s="1">
        <v>0</v>
      </c>
      <c r="V5983" s="1">
        <f t="shared" si="101"/>
        <v>0</v>
      </c>
      <c r="W5983" s="1" t="s">
        <v>5</v>
      </c>
      <c r="X5983" s="39"/>
      <c r="Y5983" s="1">
        <v>1</v>
      </c>
      <c r="Z5983" s="6">
        <v>0</v>
      </c>
      <c r="AA5983" s="6">
        <v>0</v>
      </c>
    </row>
    <row r="5984" spans="1:27" x14ac:dyDescent="0.2">
      <c r="A5984" s="1">
        <v>28</v>
      </c>
      <c r="B5984" s="1" t="s">
        <v>90</v>
      </c>
      <c r="C5984" s="1" t="s">
        <v>91</v>
      </c>
      <c r="D5984" s="1">
        <v>1922</v>
      </c>
      <c r="E5984" s="6">
        <v>0</v>
      </c>
      <c r="G5984" s="1">
        <v>0</v>
      </c>
      <c r="H5984" s="1">
        <v>0</v>
      </c>
      <c r="I5984" s="1">
        <v>2295.6379000000002</v>
      </c>
      <c r="M5984" s="1" t="s">
        <v>677</v>
      </c>
      <c r="N5984" s="1" t="s">
        <v>425</v>
      </c>
      <c r="O5984" s="1" t="s">
        <v>625</v>
      </c>
      <c r="P5984" s="1" t="s">
        <v>423</v>
      </c>
      <c r="Q5984" s="1">
        <v>0</v>
      </c>
      <c r="S5984" s="1">
        <v>0</v>
      </c>
      <c r="T5984" s="1">
        <v>0</v>
      </c>
      <c r="V5984" s="1">
        <f t="shared" si="101"/>
        <v>0</v>
      </c>
      <c r="W5984" s="1" t="s">
        <v>5</v>
      </c>
      <c r="X5984" s="39"/>
      <c r="Y5984" s="1">
        <v>1</v>
      </c>
      <c r="Z5984" s="6">
        <v>0</v>
      </c>
      <c r="AA5984" s="6">
        <v>0</v>
      </c>
    </row>
    <row r="5985" spans="1:27" x14ac:dyDescent="0.2">
      <c r="A5985" s="1">
        <v>28</v>
      </c>
      <c r="B5985" s="1" t="s">
        <v>90</v>
      </c>
      <c r="C5985" s="1" t="s">
        <v>91</v>
      </c>
      <c r="D5985" s="1">
        <v>1923</v>
      </c>
      <c r="E5985" s="6">
        <v>0</v>
      </c>
      <c r="G5985" s="1">
        <v>0</v>
      </c>
      <c r="H5985" s="1">
        <v>0</v>
      </c>
      <c r="I5985" s="1">
        <v>19230.769499999999</v>
      </c>
      <c r="M5985" s="1" t="s">
        <v>677</v>
      </c>
      <c r="N5985" s="1" t="s">
        <v>425</v>
      </c>
      <c r="O5985" s="1" t="s">
        <v>625</v>
      </c>
      <c r="P5985" s="1" t="s">
        <v>423</v>
      </c>
      <c r="Q5985" s="1">
        <v>0</v>
      </c>
      <c r="S5985" s="1">
        <v>0</v>
      </c>
      <c r="T5985" s="1">
        <v>0</v>
      </c>
      <c r="V5985" s="1">
        <f t="shared" si="101"/>
        <v>0</v>
      </c>
      <c r="W5985" s="1" t="s">
        <v>5</v>
      </c>
      <c r="X5985" s="39"/>
      <c r="Y5985" s="1">
        <v>1</v>
      </c>
      <c r="Z5985" s="6">
        <v>0</v>
      </c>
      <c r="AA5985" s="6">
        <v>0</v>
      </c>
    </row>
    <row r="5986" spans="1:27" x14ac:dyDescent="0.2">
      <c r="A5986" s="1">
        <v>28</v>
      </c>
      <c r="B5986" s="1" t="s">
        <v>90</v>
      </c>
      <c r="C5986" s="1" t="s">
        <v>91</v>
      </c>
      <c r="D5986" s="1">
        <v>1924</v>
      </c>
      <c r="E5986" s="6">
        <v>0</v>
      </c>
      <c r="G5986" s="1">
        <v>0</v>
      </c>
      <c r="H5986" s="1">
        <v>0</v>
      </c>
      <c r="I5986" s="1">
        <v>76923.078099999999</v>
      </c>
      <c r="M5986" s="1" t="s">
        <v>677</v>
      </c>
      <c r="N5986" s="1" t="s">
        <v>425</v>
      </c>
      <c r="O5986" s="1" t="s">
        <v>625</v>
      </c>
      <c r="P5986" s="1" t="s">
        <v>423</v>
      </c>
      <c r="Q5986" s="1">
        <v>0</v>
      </c>
      <c r="S5986" s="1">
        <v>0</v>
      </c>
      <c r="T5986" s="1">
        <v>0</v>
      </c>
      <c r="V5986" s="1">
        <f t="shared" si="101"/>
        <v>0</v>
      </c>
      <c r="W5986" s="1">
        <v>0</v>
      </c>
      <c r="X5986" s="54">
        <v>324.49501524403041</v>
      </c>
      <c r="Y5986" s="1">
        <v>1</v>
      </c>
      <c r="Z5986" s="49">
        <v>1</v>
      </c>
      <c r="AA5986" s="55">
        <v>1</v>
      </c>
    </row>
    <row r="5987" spans="1:27" x14ac:dyDescent="0.2">
      <c r="A5987" s="1">
        <v>28</v>
      </c>
      <c r="B5987" s="1" t="s">
        <v>90</v>
      </c>
      <c r="C5987" s="1" t="s">
        <v>91</v>
      </c>
      <c r="D5987" s="1">
        <v>1925</v>
      </c>
      <c r="E5987" s="6">
        <v>0</v>
      </c>
      <c r="G5987" s="1">
        <v>0</v>
      </c>
      <c r="H5987" s="1">
        <v>1</v>
      </c>
      <c r="I5987" s="1">
        <v>5.6970000000000001</v>
      </c>
      <c r="M5987" s="1" t="s">
        <v>677</v>
      </c>
      <c r="N5987" s="1" t="s">
        <v>425</v>
      </c>
      <c r="O5987" s="1" t="s">
        <v>625</v>
      </c>
      <c r="P5987" s="1" t="s">
        <v>423</v>
      </c>
      <c r="Q5987" s="1">
        <v>0</v>
      </c>
      <c r="S5987" s="1">
        <v>0</v>
      </c>
      <c r="T5987" s="1">
        <v>0</v>
      </c>
      <c r="V5987" s="1">
        <f t="shared" si="101"/>
        <v>0</v>
      </c>
      <c r="W5987" s="1">
        <v>0</v>
      </c>
      <c r="X5987" s="39">
        <v>-14.069089552873711</v>
      </c>
      <c r="Y5987" s="1">
        <v>1</v>
      </c>
      <c r="Z5987" s="49">
        <v>1</v>
      </c>
      <c r="AA5987" s="6">
        <v>0</v>
      </c>
    </row>
    <row r="5988" spans="1:27" x14ac:dyDescent="0.2">
      <c r="A5988" s="1">
        <v>28</v>
      </c>
      <c r="B5988" s="1" t="s">
        <v>90</v>
      </c>
      <c r="C5988" s="1" t="s">
        <v>91</v>
      </c>
      <c r="D5988" s="1">
        <v>1926</v>
      </c>
      <c r="E5988" s="6">
        <v>0</v>
      </c>
      <c r="G5988" s="1">
        <v>0</v>
      </c>
      <c r="H5988" s="1">
        <v>1</v>
      </c>
      <c r="I5988" s="1">
        <v>5.6929999999999996</v>
      </c>
      <c r="M5988" s="1" t="s">
        <v>677</v>
      </c>
      <c r="N5988" s="1" t="s">
        <v>425</v>
      </c>
      <c r="O5988" s="1" t="s">
        <v>625</v>
      </c>
      <c r="P5988" s="1" t="s">
        <v>423</v>
      </c>
      <c r="Q5988" s="1">
        <v>0</v>
      </c>
      <c r="S5988" s="1">
        <v>0</v>
      </c>
      <c r="T5988" s="1">
        <v>0</v>
      </c>
      <c r="V5988" s="1">
        <f t="shared" si="101"/>
        <v>0</v>
      </c>
      <c r="W5988" s="1">
        <v>0</v>
      </c>
      <c r="X5988" s="39">
        <v>2.9412238751672195</v>
      </c>
      <c r="Y5988" s="1">
        <v>1</v>
      </c>
      <c r="Z5988" s="6">
        <v>0</v>
      </c>
      <c r="AA5988" s="6">
        <v>0</v>
      </c>
    </row>
    <row r="5989" spans="1:27" x14ac:dyDescent="0.2">
      <c r="A5989" s="1">
        <v>28</v>
      </c>
      <c r="B5989" s="1" t="s">
        <v>90</v>
      </c>
      <c r="C5989" s="1" t="s">
        <v>91</v>
      </c>
      <c r="D5989" s="1">
        <v>1927</v>
      </c>
      <c r="E5989" s="6">
        <v>0</v>
      </c>
      <c r="G5989" s="1">
        <v>0</v>
      </c>
      <c r="H5989" s="1">
        <v>1</v>
      </c>
      <c r="I5989" s="1">
        <v>5.7217000000000002</v>
      </c>
      <c r="M5989" s="1" t="s">
        <v>677</v>
      </c>
      <c r="N5989" s="1" t="s">
        <v>425</v>
      </c>
      <c r="O5989" s="1" t="s">
        <v>625</v>
      </c>
      <c r="P5989" s="1" t="s">
        <v>423</v>
      </c>
      <c r="Q5989" s="1">
        <v>0</v>
      </c>
      <c r="S5989" s="1">
        <v>0</v>
      </c>
      <c r="T5989" s="1">
        <v>0</v>
      </c>
      <c r="V5989" s="1">
        <f t="shared" si="101"/>
        <v>0</v>
      </c>
      <c r="W5989" s="1">
        <v>0</v>
      </c>
      <c r="X5989" s="39">
        <v>7.6190550747847627</v>
      </c>
      <c r="Y5989" s="1">
        <v>1</v>
      </c>
      <c r="Z5989" s="6">
        <v>0</v>
      </c>
      <c r="AA5989" s="6">
        <v>0</v>
      </c>
    </row>
    <row r="5990" spans="1:27" x14ac:dyDescent="0.2">
      <c r="A5990" s="1">
        <v>28</v>
      </c>
      <c r="B5990" s="1" t="s">
        <v>90</v>
      </c>
      <c r="C5990" s="1" t="s">
        <v>91</v>
      </c>
      <c r="D5990" s="1">
        <v>1928</v>
      </c>
      <c r="E5990" s="6">
        <v>0</v>
      </c>
      <c r="G5990" s="1">
        <v>0</v>
      </c>
      <c r="H5990" s="1">
        <v>1</v>
      </c>
      <c r="I5990" s="1">
        <v>5.7409999999999997</v>
      </c>
      <c r="M5990" s="1" t="s">
        <v>677</v>
      </c>
      <c r="N5990" s="1" t="s">
        <v>425</v>
      </c>
      <c r="O5990" s="1" t="s">
        <v>625</v>
      </c>
      <c r="P5990" s="1" t="s">
        <v>423</v>
      </c>
      <c r="Q5990" s="1">
        <v>0</v>
      </c>
      <c r="S5990" s="1">
        <v>0</v>
      </c>
      <c r="T5990" s="1">
        <v>0</v>
      </c>
      <c r="V5990" s="1">
        <f t="shared" ref="V5990:V6053" si="102">0.6*S5990</f>
        <v>0</v>
      </c>
      <c r="W5990" s="1">
        <v>0</v>
      </c>
      <c r="X5990" s="39">
        <v>4.0707975637357974</v>
      </c>
      <c r="Y5990" s="1">
        <v>1</v>
      </c>
      <c r="Z5990" s="6">
        <v>0</v>
      </c>
      <c r="AA5990" s="6">
        <v>0</v>
      </c>
    </row>
    <row r="5991" spans="1:27" x14ac:dyDescent="0.2">
      <c r="A5991" s="1">
        <v>28</v>
      </c>
      <c r="B5991" s="1" t="s">
        <v>90</v>
      </c>
      <c r="C5991" s="1" t="s">
        <v>91</v>
      </c>
      <c r="D5991" s="1">
        <v>1929</v>
      </c>
      <c r="E5991" s="6">
        <v>0</v>
      </c>
      <c r="G5991" s="1">
        <v>0</v>
      </c>
      <c r="H5991" s="1">
        <v>1</v>
      </c>
      <c r="I5991" s="1">
        <v>5.7117000000000004</v>
      </c>
      <c r="M5991" s="1" t="s">
        <v>677</v>
      </c>
      <c r="N5991" s="1" t="s">
        <v>425</v>
      </c>
      <c r="O5991" s="1" t="s">
        <v>625</v>
      </c>
      <c r="P5991" s="1" t="s">
        <v>423</v>
      </c>
      <c r="Q5991" s="1">
        <v>0</v>
      </c>
      <c r="S5991" s="1">
        <v>0</v>
      </c>
      <c r="T5991" s="1">
        <v>0</v>
      </c>
      <c r="V5991" s="1">
        <f t="shared" si="102"/>
        <v>0</v>
      </c>
      <c r="W5991" s="1">
        <v>1</v>
      </c>
      <c r="X5991" s="39">
        <v>-4.3367423357358179</v>
      </c>
      <c r="Y5991" s="1">
        <v>1</v>
      </c>
      <c r="Z5991" s="49">
        <v>1</v>
      </c>
      <c r="AA5991" s="6">
        <v>0</v>
      </c>
    </row>
    <row r="5992" spans="1:27" x14ac:dyDescent="0.2">
      <c r="A5992" s="1">
        <v>28</v>
      </c>
      <c r="B5992" s="1" t="s">
        <v>90</v>
      </c>
      <c r="C5992" s="1" t="s">
        <v>91</v>
      </c>
      <c r="D5992" s="1">
        <v>1930</v>
      </c>
      <c r="E5992" s="6">
        <v>0</v>
      </c>
      <c r="G5992" s="1">
        <v>0</v>
      </c>
      <c r="H5992" s="1">
        <v>1</v>
      </c>
      <c r="I5992" s="1">
        <v>5.7160000000000002</v>
      </c>
      <c r="M5992" s="1" t="s">
        <v>677</v>
      </c>
      <c r="N5992" s="1" t="s">
        <v>425</v>
      </c>
      <c r="O5992" s="1" t="s">
        <v>625</v>
      </c>
      <c r="P5992" s="1" t="s">
        <v>423</v>
      </c>
      <c r="Q5992" s="1">
        <v>0</v>
      </c>
      <c r="S5992" s="1">
        <v>0</v>
      </c>
      <c r="T5992" s="1">
        <v>0</v>
      </c>
      <c r="V5992" s="1">
        <f t="shared" si="102"/>
        <v>0</v>
      </c>
      <c r="W5992" s="1">
        <v>0</v>
      </c>
      <c r="X5992" s="39">
        <v>-11.377768035614567</v>
      </c>
      <c r="Y5992" s="1">
        <v>1</v>
      </c>
      <c r="Z5992" s="6">
        <v>0</v>
      </c>
      <c r="AA5992" s="6">
        <v>0</v>
      </c>
    </row>
    <row r="5993" spans="1:27" x14ac:dyDescent="0.2">
      <c r="A5993" s="1">
        <v>28</v>
      </c>
      <c r="B5993" s="1" t="s">
        <v>90</v>
      </c>
      <c r="C5993" s="1" t="s">
        <v>91</v>
      </c>
      <c r="D5993" s="1">
        <v>1931</v>
      </c>
      <c r="E5993" s="13">
        <v>1</v>
      </c>
      <c r="F5993" s="1" t="s">
        <v>253</v>
      </c>
      <c r="G5993" s="1">
        <v>1</v>
      </c>
      <c r="H5993" s="1">
        <v>1</v>
      </c>
      <c r="I5993" s="1">
        <v>5.7279999999999998</v>
      </c>
      <c r="M5993" s="1" t="s">
        <v>677</v>
      </c>
      <c r="N5993" s="1" t="s">
        <v>425</v>
      </c>
      <c r="O5993" s="1" t="s">
        <v>625</v>
      </c>
      <c r="P5993" s="1" t="s">
        <v>423</v>
      </c>
      <c r="Q5993" s="1">
        <v>0</v>
      </c>
      <c r="S5993" s="1">
        <v>0</v>
      </c>
      <c r="T5993" s="1">
        <v>0</v>
      </c>
      <c r="V5993" s="1">
        <f t="shared" si="102"/>
        <v>0</v>
      </c>
      <c r="W5993" s="1">
        <v>0</v>
      </c>
      <c r="X5993" s="39">
        <v>0.20058136795785961</v>
      </c>
      <c r="Y5993" s="1">
        <v>1</v>
      </c>
      <c r="Z5993" s="6">
        <v>0</v>
      </c>
      <c r="AA5993" s="6">
        <v>0</v>
      </c>
    </row>
    <row r="5994" spans="1:27" x14ac:dyDescent="0.2">
      <c r="A5994" s="1">
        <v>28</v>
      </c>
      <c r="B5994" s="1" t="s">
        <v>90</v>
      </c>
      <c r="C5994" s="1" t="s">
        <v>91</v>
      </c>
      <c r="D5994" s="1">
        <v>1932</v>
      </c>
      <c r="E5994" s="13">
        <v>1</v>
      </c>
      <c r="F5994" s="1" t="s">
        <v>253</v>
      </c>
      <c r="G5994" s="1">
        <v>1</v>
      </c>
      <c r="H5994" s="1">
        <v>0</v>
      </c>
      <c r="I5994" s="1">
        <v>5.7384000000000004</v>
      </c>
      <c r="M5994" s="1" t="s">
        <v>677</v>
      </c>
      <c r="N5994" s="1" t="s">
        <v>425</v>
      </c>
      <c r="O5994" s="1" t="s">
        <v>625</v>
      </c>
      <c r="P5994" s="1" t="s">
        <v>423</v>
      </c>
      <c r="Q5994" s="1">
        <v>0</v>
      </c>
      <c r="S5994" s="1">
        <v>1</v>
      </c>
      <c r="T5994" s="1">
        <v>1</v>
      </c>
      <c r="U5994" s="1" t="s">
        <v>544</v>
      </c>
      <c r="V5994" s="1">
        <f t="shared" si="102"/>
        <v>0.6</v>
      </c>
      <c r="W5994" s="1">
        <v>0</v>
      </c>
      <c r="X5994" s="39">
        <v>-5.1051149888037903</v>
      </c>
      <c r="Y5994" s="1">
        <v>1</v>
      </c>
      <c r="Z5994" s="49">
        <v>1</v>
      </c>
      <c r="AA5994" s="6">
        <v>0</v>
      </c>
    </row>
    <row r="5995" spans="1:27" x14ac:dyDescent="0.2">
      <c r="A5995" s="1">
        <v>28</v>
      </c>
      <c r="B5995" s="1" t="s">
        <v>90</v>
      </c>
      <c r="C5995" s="1" t="s">
        <v>91</v>
      </c>
      <c r="D5995" s="1">
        <v>1933</v>
      </c>
      <c r="E5995" s="6">
        <v>0</v>
      </c>
      <c r="G5995" s="1">
        <v>0</v>
      </c>
      <c r="H5995" s="1">
        <v>0</v>
      </c>
      <c r="I5995" s="1">
        <v>3.6120000000000001</v>
      </c>
      <c r="M5995" s="1" t="s">
        <v>677</v>
      </c>
      <c r="N5995" s="1" t="s">
        <v>425</v>
      </c>
      <c r="O5995" s="1" t="s">
        <v>625</v>
      </c>
      <c r="P5995" s="1" t="s">
        <v>423</v>
      </c>
      <c r="Q5995" s="1">
        <v>0</v>
      </c>
      <c r="S5995" s="1">
        <v>1</v>
      </c>
      <c r="T5995" s="1">
        <v>1</v>
      </c>
      <c r="U5995" s="1" t="s">
        <v>544</v>
      </c>
      <c r="V5995" s="1">
        <f t="shared" si="102"/>
        <v>0.6</v>
      </c>
      <c r="W5995" s="1">
        <v>0</v>
      </c>
      <c r="X5995" s="39">
        <v>-7.3839594502194972</v>
      </c>
      <c r="Y5995" s="1">
        <v>1</v>
      </c>
      <c r="Z5995" s="49">
        <v>1</v>
      </c>
      <c r="AA5995" s="6">
        <v>0</v>
      </c>
    </row>
    <row r="5996" spans="1:27" x14ac:dyDescent="0.2">
      <c r="A5996" s="1">
        <v>28</v>
      </c>
      <c r="B5996" s="1" t="s">
        <v>90</v>
      </c>
      <c r="C5996" s="1" t="s">
        <v>91</v>
      </c>
      <c r="D5996" s="1">
        <v>1934</v>
      </c>
      <c r="E5996" s="6">
        <v>0</v>
      </c>
      <c r="G5996" s="1">
        <v>0</v>
      </c>
      <c r="H5996" s="1">
        <v>0</v>
      </c>
      <c r="I5996" s="1">
        <v>3.3784999999999998</v>
      </c>
      <c r="M5996" s="1" t="s">
        <v>677</v>
      </c>
      <c r="N5996" s="1" t="s">
        <v>425</v>
      </c>
      <c r="O5996" s="1" t="s">
        <v>625</v>
      </c>
      <c r="P5996" s="1" t="s">
        <v>423</v>
      </c>
      <c r="Q5996" s="1">
        <v>0</v>
      </c>
      <c r="S5996" s="1">
        <v>1</v>
      </c>
      <c r="T5996" s="1">
        <v>1</v>
      </c>
      <c r="U5996" s="1" t="s">
        <v>544</v>
      </c>
      <c r="V5996" s="1">
        <f t="shared" si="102"/>
        <v>0.6</v>
      </c>
      <c r="W5996" s="1">
        <v>0</v>
      </c>
      <c r="X5996" s="39">
        <v>0.45553455763260436</v>
      </c>
      <c r="Y5996" s="1">
        <v>1</v>
      </c>
      <c r="Z5996" s="6">
        <v>0</v>
      </c>
      <c r="AA5996" s="6">
        <v>0</v>
      </c>
    </row>
    <row r="5997" spans="1:27" x14ac:dyDescent="0.2">
      <c r="A5997" s="1">
        <v>28</v>
      </c>
      <c r="B5997" s="1" t="s">
        <v>90</v>
      </c>
      <c r="C5997" s="1" t="s">
        <v>91</v>
      </c>
      <c r="D5997" s="1">
        <v>1935</v>
      </c>
      <c r="E5997" s="6">
        <v>0</v>
      </c>
      <c r="G5997" s="1">
        <v>0</v>
      </c>
      <c r="H5997" s="1">
        <v>0</v>
      </c>
      <c r="I5997" s="1">
        <v>3.3763000000000001</v>
      </c>
      <c r="M5997" s="1" t="s">
        <v>677</v>
      </c>
      <c r="N5997" s="1" t="s">
        <v>425</v>
      </c>
      <c r="O5997" s="1" t="s">
        <v>625</v>
      </c>
      <c r="P5997" s="1" t="s">
        <v>423</v>
      </c>
      <c r="Q5997" s="1">
        <v>0</v>
      </c>
      <c r="S5997" s="1">
        <v>1</v>
      </c>
      <c r="T5997" s="1">
        <v>1</v>
      </c>
      <c r="U5997" s="1" t="s">
        <v>544</v>
      </c>
      <c r="V5997" s="1">
        <f t="shared" si="102"/>
        <v>0.6</v>
      </c>
      <c r="W5997" s="1">
        <v>0</v>
      </c>
      <c r="X5997" s="39">
        <v>5.7823269635560788</v>
      </c>
      <c r="Y5997" s="1">
        <v>1</v>
      </c>
      <c r="Z5997" s="6">
        <v>0</v>
      </c>
      <c r="AA5997" s="6">
        <v>0</v>
      </c>
    </row>
    <row r="5998" spans="1:27" x14ac:dyDescent="0.2">
      <c r="A5998" s="1">
        <v>28</v>
      </c>
      <c r="B5998" s="1" t="s">
        <v>90</v>
      </c>
      <c r="C5998" s="1" t="s">
        <v>91</v>
      </c>
      <c r="D5998" s="1">
        <v>1936</v>
      </c>
      <c r="E5998" s="6">
        <v>0</v>
      </c>
      <c r="G5998" s="1">
        <v>0</v>
      </c>
      <c r="H5998" s="1">
        <v>0</v>
      </c>
      <c r="I5998" s="1">
        <v>5.0561999999999996</v>
      </c>
      <c r="M5998" s="1" t="s">
        <v>677</v>
      </c>
      <c r="N5998" s="1" t="s">
        <v>425</v>
      </c>
      <c r="O5998" s="1" t="s">
        <v>625</v>
      </c>
      <c r="P5998" s="1" t="s">
        <v>423</v>
      </c>
      <c r="Q5998" s="1">
        <v>0</v>
      </c>
      <c r="S5998" s="1">
        <v>1</v>
      </c>
      <c r="T5998" s="1">
        <v>1</v>
      </c>
      <c r="U5998" s="1" t="s">
        <v>544</v>
      </c>
      <c r="V5998" s="1">
        <f t="shared" si="102"/>
        <v>0.6</v>
      </c>
      <c r="W5998" s="1">
        <v>0</v>
      </c>
      <c r="X5998" s="39">
        <v>4.715995620052106</v>
      </c>
      <c r="Y5998" s="1">
        <v>1</v>
      </c>
      <c r="Z5998" s="6">
        <v>0</v>
      </c>
      <c r="AA5998" s="6">
        <v>0</v>
      </c>
    </row>
    <row r="5999" spans="1:27" x14ac:dyDescent="0.2">
      <c r="A5999" s="1">
        <v>28</v>
      </c>
      <c r="B5999" s="1" t="s">
        <v>90</v>
      </c>
      <c r="C5999" s="1" t="s">
        <v>91</v>
      </c>
      <c r="D5999" s="1">
        <v>1937</v>
      </c>
      <c r="E5999" s="6">
        <v>0</v>
      </c>
      <c r="G5999" s="1">
        <v>0</v>
      </c>
      <c r="H5999" s="1">
        <v>0</v>
      </c>
      <c r="I5999" s="1">
        <v>5.0414000000000003</v>
      </c>
      <c r="M5999" s="1" t="s">
        <v>677</v>
      </c>
      <c r="N5999" s="1" t="s">
        <v>425</v>
      </c>
      <c r="O5999" s="1" t="s">
        <v>625</v>
      </c>
      <c r="P5999" s="1" t="s">
        <v>423</v>
      </c>
      <c r="Q5999" s="1">
        <v>0</v>
      </c>
      <c r="S5999" s="1">
        <v>1</v>
      </c>
      <c r="T5999" s="1">
        <v>1</v>
      </c>
      <c r="U5999" s="1" t="s">
        <v>544</v>
      </c>
      <c r="V5999" s="1">
        <f t="shared" si="102"/>
        <v>0.6</v>
      </c>
      <c r="W5999" s="1">
        <v>0</v>
      </c>
      <c r="X5999" s="39">
        <v>6.25</v>
      </c>
      <c r="Y5999" s="1">
        <v>1</v>
      </c>
      <c r="Z5999" s="6">
        <v>0</v>
      </c>
      <c r="AA5999" s="6">
        <v>0</v>
      </c>
    </row>
    <row r="6000" spans="1:27" x14ac:dyDescent="0.2">
      <c r="A6000" s="1">
        <v>28</v>
      </c>
      <c r="B6000" s="1" t="s">
        <v>90</v>
      </c>
      <c r="C6000" s="1" t="s">
        <v>91</v>
      </c>
      <c r="D6000" s="1">
        <v>1938</v>
      </c>
      <c r="E6000" s="6">
        <v>0</v>
      </c>
      <c r="G6000" s="1">
        <v>0</v>
      </c>
      <c r="H6000" s="1">
        <v>0</v>
      </c>
      <c r="I6000" s="1">
        <v>5.0911</v>
      </c>
      <c r="M6000" s="1" t="s">
        <v>677</v>
      </c>
      <c r="N6000" s="1" t="s">
        <v>425</v>
      </c>
      <c r="O6000" s="1" t="s">
        <v>625</v>
      </c>
      <c r="P6000" s="1" t="s">
        <v>423</v>
      </c>
      <c r="Q6000" s="1">
        <v>0</v>
      </c>
      <c r="S6000" s="1">
        <v>0</v>
      </c>
      <c r="T6000" s="1">
        <v>0</v>
      </c>
      <c r="U6000" s="1" t="s">
        <v>544</v>
      </c>
      <c r="V6000" s="1">
        <f t="shared" si="102"/>
        <v>0</v>
      </c>
      <c r="W6000" s="1">
        <v>1</v>
      </c>
      <c r="X6000" s="39">
        <v>-1.5837104072398251</v>
      </c>
      <c r="Y6000" s="1">
        <v>1</v>
      </c>
      <c r="Z6000" s="6">
        <v>0</v>
      </c>
      <c r="AA6000" s="6">
        <v>0</v>
      </c>
    </row>
    <row r="6001" spans="1:27" x14ac:dyDescent="0.2">
      <c r="A6001" s="1">
        <v>28</v>
      </c>
      <c r="B6001" s="1" t="s">
        <v>90</v>
      </c>
      <c r="C6001" s="1" t="s">
        <v>91</v>
      </c>
      <c r="D6001" s="1">
        <v>1939</v>
      </c>
      <c r="E6001" s="6">
        <v>0</v>
      </c>
      <c r="G6001" s="1">
        <v>0</v>
      </c>
      <c r="H6001" s="1">
        <v>0</v>
      </c>
      <c r="I6001" s="1">
        <v>5.6818999999999997</v>
      </c>
      <c r="M6001" s="1" t="s">
        <v>677</v>
      </c>
      <c r="N6001" s="1" t="s">
        <v>425</v>
      </c>
      <c r="O6001" s="1" t="s">
        <v>625</v>
      </c>
      <c r="P6001" s="1" t="s">
        <v>423</v>
      </c>
      <c r="Q6001" s="1">
        <v>0</v>
      </c>
      <c r="S6001" s="1">
        <v>0</v>
      </c>
      <c r="T6001" s="1">
        <v>0</v>
      </c>
      <c r="U6001" s="1" t="s">
        <v>544</v>
      </c>
      <c r="V6001" s="1">
        <f t="shared" si="102"/>
        <v>0</v>
      </c>
      <c r="W6001" s="1">
        <v>0</v>
      </c>
      <c r="X6001" s="39">
        <v>0.11494252873562566</v>
      </c>
      <c r="Y6001" s="1">
        <v>1</v>
      </c>
      <c r="Z6001" s="6">
        <v>0</v>
      </c>
      <c r="AA6001" s="6">
        <v>0</v>
      </c>
    </row>
    <row r="6002" spans="1:27" x14ac:dyDescent="0.2">
      <c r="A6002" s="1">
        <v>28</v>
      </c>
      <c r="B6002" s="1" t="s">
        <v>90</v>
      </c>
      <c r="C6002" s="1" t="s">
        <v>91</v>
      </c>
      <c r="D6002" s="1">
        <v>1940</v>
      </c>
      <c r="E6002" s="6">
        <v>0</v>
      </c>
      <c r="G6002" s="1">
        <v>0</v>
      </c>
      <c r="H6002" s="1">
        <v>0</v>
      </c>
      <c r="I6002" s="1">
        <v>5.0582000000000003</v>
      </c>
      <c r="M6002" s="1" t="s">
        <v>677</v>
      </c>
      <c r="N6002" s="1" t="s">
        <v>425</v>
      </c>
      <c r="O6002" s="1" t="s">
        <v>625</v>
      </c>
      <c r="P6002" s="1" t="s">
        <v>423</v>
      </c>
      <c r="Q6002" s="1">
        <v>0</v>
      </c>
      <c r="S6002" s="1">
        <v>0</v>
      </c>
      <c r="T6002" s="1">
        <v>0</v>
      </c>
      <c r="U6002" s="1" t="s">
        <v>544</v>
      </c>
      <c r="V6002" s="1">
        <f t="shared" si="102"/>
        <v>0</v>
      </c>
      <c r="W6002" s="1">
        <v>0</v>
      </c>
      <c r="X6002" s="39">
        <v>14.92537313432836</v>
      </c>
      <c r="Y6002" s="1">
        <v>1</v>
      </c>
      <c r="Z6002" s="6">
        <v>0</v>
      </c>
      <c r="AA6002" s="6">
        <v>0</v>
      </c>
    </row>
    <row r="6003" spans="1:27" x14ac:dyDescent="0.2">
      <c r="A6003" s="1">
        <v>28</v>
      </c>
      <c r="B6003" s="1" t="s">
        <v>90</v>
      </c>
      <c r="C6003" s="1" t="s">
        <v>91</v>
      </c>
      <c r="D6003" s="1">
        <v>1941</v>
      </c>
      <c r="E6003" s="6">
        <v>0</v>
      </c>
      <c r="G6003" s="1">
        <v>0</v>
      </c>
      <c r="H6003" s="1">
        <v>0</v>
      </c>
      <c r="I6003" s="1">
        <v>3.46</v>
      </c>
      <c r="M6003" s="1" t="s">
        <v>677</v>
      </c>
      <c r="N6003" s="1" t="s">
        <v>425</v>
      </c>
      <c r="O6003" s="1" t="s">
        <v>625</v>
      </c>
      <c r="P6003" s="1" t="s">
        <v>423</v>
      </c>
      <c r="Q6003" s="1">
        <v>0</v>
      </c>
      <c r="S6003" s="1">
        <v>1</v>
      </c>
      <c r="T6003" s="1">
        <v>1</v>
      </c>
      <c r="U6003" s="1" t="s">
        <v>544</v>
      </c>
      <c r="V6003" s="1">
        <f t="shared" si="102"/>
        <v>0.6</v>
      </c>
      <c r="W6003" s="1">
        <v>0</v>
      </c>
      <c r="X6003" s="39">
        <v>19.580419580419591</v>
      </c>
      <c r="Y6003" s="1">
        <v>1</v>
      </c>
      <c r="Z6003" s="6">
        <v>0</v>
      </c>
      <c r="AA6003" s="6">
        <v>0</v>
      </c>
    </row>
    <row r="6004" spans="1:27" x14ac:dyDescent="0.2">
      <c r="A6004" s="1">
        <v>28</v>
      </c>
      <c r="B6004" s="1" t="s">
        <v>90</v>
      </c>
      <c r="C6004" s="1" t="s">
        <v>91</v>
      </c>
      <c r="D6004" s="1">
        <v>1942</v>
      </c>
      <c r="E6004" s="6">
        <v>0</v>
      </c>
      <c r="G6004" s="1">
        <v>0</v>
      </c>
      <c r="H6004" s="1">
        <v>0</v>
      </c>
      <c r="M6004" s="1" t="s">
        <v>677</v>
      </c>
      <c r="N6004" s="1" t="s">
        <v>425</v>
      </c>
      <c r="O6004" s="1" t="s">
        <v>625</v>
      </c>
      <c r="P6004" s="1" t="s">
        <v>423</v>
      </c>
      <c r="Q6004" s="1">
        <v>0</v>
      </c>
      <c r="S6004" s="1">
        <v>1</v>
      </c>
      <c r="T6004" s="1">
        <v>1</v>
      </c>
      <c r="U6004" s="1" t="s">
        <v>544</v>
      </c>
      <c r="V6004" s="1">
        <f t="shared" si="102"/>
        <v>0.6</v>
      </c>
      <c r="W6004" s="1">
        <v>0</v>
      </c>
      <c r="X6004" s="39">
        <v>9.1896407685881254</v>
      </c>
      <c r="Y6004" s="1">
        <v>1</v>
      </c>
      <c r="Z6004" s="6">
        <v>0</v>
      </c>
      <c r="AA6004" s="6">
        <v>0</v>
      </c>
    </row>
    <row r="6005" spans="1:27" x14ac:dyDescent="0.2">
      <c r="A6005" s="1">
        <v>28</v>
      </c>
      <c r="B6005" s="1" t="s">
        <v>90</v>
      </c>
      <c r="C6005" s="1" t="s">
        <v>91</v>
      </c>
      <c r="D6005" s="1">
        <v>1943</v>
      </c>
      <c r="E6005" s="6">
        <v>0</v>
      </c>
      <c r="G6005" s="1">
        <v>0</v>
      </c>
      <c r="H6005" s="1">
        <v>0</v>
      </c>
      <c r="M6005" s="1" t="s">
        <v>677</v>
      </c>
      <c r="N6005" s="1" t="s">
        <v>425</v>
      </c>
      <c r="O6005" s="1" t="s">
        <v>625</v>
      </c>
      <c r="P6005" s="1" t="s">
        <v>423</v>
      </c>
      <c r="Q6005" s="1">
        <v>0</v>
      </c>
      <c r="S6005" s="1">
        <v>1</v>
      </c>
      <c r="T6005" s="1">
        <v>1</v>
      </c>
      <c r="U6005" s="1" t="s">
        <v>544</v>
      </c>
      <c r="V6005" s="1">
        <f t="shared" si="102"/>
        <v>0.6</v>
      </c>
      <c r="W6005" s="1">
        <v>0</v>
      </c>
      <c r="X6005" s="39">
        <v>30.680948737566965</v>
      </c>
      <c r="Y6005" s="1">
        <v>1</v>
      </c>
      <c r="Z6005" s="6">
        <v>0</v>
      </c>
      <c r="AA6005" s="55">
        <v>1</v>
      </c>
    </row>
    <row r="6006" spans="1:27" x14ac:dyDescent="0.2">
      <c r="A6006" s="1">
        <v>28</v>
      </c>
      <c r="B6006" s="1" t="s">
        <v>90</v>
      </c>
      <c r="C6006" s="1" t="s">
        <v>91</v>
      </c>
      <c r="D6006" s="1">
        <v>1944</v>
      </c>
      <c r="E6006" s="6">
        <v>0</v>
      </c>
      <c r="G6006" s="1">
        <v>0</v>
      </c>
      <c r="H6006" s="1">
        <v>0</v>
      </c>
      <c r="M6006" s="1" t="s">
        <v>677</v>
      </c>
      <c r="N6006" s="1" t="s">
        <v>425</v>
      </c>
      <c r="O6006" s="1" t="s">
        <v>625</v>
      </c>
      <c r="P6006" s="1" t="s">
        <v>423</v>
      </c>
      <c r="Q6006" s="1">
        <v>0</v>
      </c>
      <c r="S6006" s="1">
        <v>1</v>
      </c>
      <c r="T6006" s="1">
        <v>1</v>
      </c>
      <c r="U6006" s="1" t="s">
        <v>544</v>
      </c>
      <c r="V6006" s="1">
        <f t="shared" si="102"/>
        <v>0.6</v>
      </c>
      <c r="W6006" s="1">
        <v>1</v>
      </c>
      <c r="X6006" s="39">
        <v>0</v>
      </c>
      <c r="Y6006" s="1">
        <v>1</v>
      </c>
      <c r="Z6006" s="6">
        <v>0</v>
      </c>
      <c r="AA6006" s="6">
        <v>0</v>
      </c>
    </row>
    <row r="6007" spans="1:27" x14ac:dyDescent="0.2">
      <c r="A6007" s="1">
        <v>28</v>
      </c>
      <c r="B6007" s="1" t="s">
        <v>90</v>
      </c>
      <c r="C6007" s="1" t="s">
        <v>91</v>
      </c>
      <c r="D6007" s="1">
        <v>1945</v>
      </c>
      <c r="E6007" s="6">
        <v>0</v>
      </c>
      <c r="G6007" s="1">
        <v>0</v>
      </c>
      <c r="H6007" s="1">
        <v>0</v>
      </c>
      <c r="I6007" s="1">
        <v>1320</v>
      </c>
      <c r="M6007" s="1" t="s">
        <v>677</v>
      </c>
      <c r="N6007" s="1" t="s">
        <v>425</v>
      </c>
      <c r="O6007" s="1" t="s">
        <v>625</v>
      </c>
      <c r="P6007" s="1" t="s">
        <v>423</v>
      </c>
      <c r="Q6007" s="1">
        <v>1</v>
      </c>
      <c r="S6007" s="1" t="s">
        <v>578</v>
      </c>
      <c r="T6007" s="1">
        <v>1</v>
      </c>
      <c r="U6007" s="1" t="s">
        <v>544</v>
      </c>
      <c r="V6007" s="1" t="e">
        <f t="shared" si="102"/>
        <v>#VALUE!</v>
      </c>
      <c r="W6007" s="1" t="s">
        <v>5</v>
      </c>
      <c r="X6007" s="65">
        <v>24184.543325526927</v>
      </c>
      <c r="Y6007" s="1">
        <v>1</v>
      </c>
      <c r="Z6007" s="49">
        <v>1</v>
      </c>
      <c r="AA6007" s="55">
        <v>1</v>
      </c>
    </row>
    <row r="6008" spans="1:27" x14ac:dyDescent="0.2">
      <c r="A6008" s="1">
        <v>28</v>
      </c>
      <c r="B6008" s="1" t="s">
        <v>90</v>
      </c>
      <c r="C6008" s="1" t="s">
        <v>91</v>
      </c>
      <c r="D6008" s="1">
        <v>1946</v>
      </c>
      <c r="E6008" s="6">
        <v>0</v>
      </c>
      <c r="G6008" s="1">
        <v>0</v>
      </c>
      <c r="H6008" s="1">
        <v>0</v>
      </c>
      <c r="I6008" s="1">
        <v>11.74</v>
      </c>
      <c r="M6008" s="1" t="s">
        <v>677</v>
      </c>
      <c r="N6008" s="1" t="s">
        <v>425</v>
      </c>
      <c r="O6008" s="1" t="s">
        <v>625</v>
      </c>
      <c r="P6008" s="1" t="s">
        <v>423</v>
      </c>
      <c r="Q6008" s="1">
        <v>1</v>
      </c>
      <c r="S6008" s="1" t="s">
        <v>578</v>
      </c>
      <c r="T6008" s="1">
        <v>1</v>
      </c>
      <c r="U6008" s="1" t="s">
        <v>544</v>
      </c>
      <c r="V6008" s="1" t="e">
        <f t="shared" si="102"/>
        <v>#VALUE!</v>
      </c>
      <c r="W6008" s="1" t="s">
        <v>5</v>
      </c>
      <c r="X6008" s="65">
        <v>9.6345773663146726E+26</v>
      </c>
      <c r="Y6008" s="1">
        <v>1</v>
      </c>
      <c r="Z6008" s="49">
        <v>1</v>
      </c>
      <c r="AA6008" s="55">
        <v>1</v>
      </c>
    </row>
    <row r="6009" spans="1:27" x14ac:dyDescent="0.2">
      <c r="A6009" s="1">
        <v>28</v>
      </c>
      <c r="B6009" s="1" t="s">
        <v>90</v>
      </c>
      <c r="C6009" s="1" t="s">
        <v>91</v>
      </c>
      <c r="D6009" s="1">
        <v>1947</v>
      </c>
      <c r="E6009" s="6">
        <v>0</v>
      </c>
      <c r="G6009" s="1">
        <v>0</v>
      </c>
      <c r="H6009" s="1">
        <v>0</v>
      </c>
      <c r="I6009" s="1">
        <v>11.74</v>
      </c>
      <c r="M6009" s="1" t="s">
        <v>677</v>
      </c>
      <c r="N6009" s="1" t="s">
        <v>425</v>
      </c>
      <c r="O6009" s="1" t="s">
        <v>625</v>
      </c>
      <c r="P6009" s="1" t="s">
        <v>423</v>
      </c>
      <c r="Q6009" s="1">
        <v>0</v>
      </c>
      <c r="S6009" s="1">
        <v>1</v>
      </c>
      <c r="T6009" s="1">
        <v>1</v>
      </c>
      <c r="U6009" s="1" t="s">
        <v>544</v>
      </c>
      <c r="V6009" s="1">
        <f t="shared" si="102"/>
        <v>0.6</v>
      </c>
      <c r="W6009" s="1">
        <v>0</v>
      </c>
      <c r="X6009" s="39">
        <v>12.3</v>
      </c>
      <c r="Y6009" s="1">
        <v>1</v>
      </c>
      <c r="Z6009" s="6">
        <v>0</v>
      </c>
      <c r="AA6009" s="6">
        <v>0</v>
      </c>
    </row>
    <row r="6010" spans="1:27" x14ac:dyDescent="0.2">
      <c r="A6010" s="1">
        <v>28</v>
      </c>
      <c r="B6010" s="1" t="s">
        <v>90</v>
      </c>
      <c r="C6010" s="1" t="s">
        <v>91</v>
      </c>
      <c r="D6010" s="1">
        <v>1948</v>
      </c>
      <c r="E6010" s="6">
        <v>0</v>
      </c>
      <c r="G6010" s="1">
        <v>0</v>
      </c>
      <c r="H6010" s="1">
        <v>0</v>
      </c>
      <c r="I6010" s="1">
        <v>11.74</v>
      </c>
      <c r="M6010" s="1" t="s">
        <v>677</v>
      </c>
      <c r="N6010" s="1" t="s">
        <v>425</v>
      </c>
      <c r="O6010" s="1" t="s">
        <v>625</v>
      </c>
      <c r="P6010" s="1" t="s">
        <v>423</v>
      </c>
      <c r="Q6010" s="1">
        <v>0</v>
      </c>
      <c r="S6010" s="1">
        <v>1</v>
      </c>
      <c r="T6010" s="1">
        <v>1</v>
      </c>
      <c r="U6010" s="1" t="s">
        <v>544</v>
      </c>
      <c r="V6010" s="1">
        <f t="shared" si="102"/>
        <v>0.6</v>
      </c>
      <c r="W6010" s="1">
        <v>1</v>
      </c>
      <c r="X6010" s="39">
        <v>4.7199741016510179</v>
      </c>
      <c r="Y6010" s="1">
        <v>1</v>
      </c>
      <c r="Z6010" s="6">
        <v>0</v>
      </c>
      <c r="AA6010" s="6">
        <v>0</v>
      </c>
    </row>
    <row r="6011" spans="1:27" x14ac:dyDescent="0.2">
      <c r="A6011" s="1">
        <v>28</v>
      </c>
      <c r="B6011" s="1" t="s">
        <v>90</v>
      </c>
      <c r="C6011" s="1" t="s">
        <v>91</v>
      </c>
      <c r="D6011" s="1">
        <v>1949</v>
      </c>
      <c r="E6011" s="6">
        <v>0</v>
      </c>
      <c r="G6011" s="1">
        <v>0</v>
      </c>
      <c r="H6011" s="1">
        <v>0</v>
      </c>
      <c r="I6011" s="1">
        <v>11.74</v>
      </c>
      <c r="M6011" s="1" t="s">
        <v>677</v>
      </c>
      <c r="N6011" s="1" t="s">
        <v>425</v>
      </c>
      <c r="O6011" s="1" t="s">
        <v>625</v>
      </c>
      <c r="P6011" s="1" t="s">
        <v>423</v>
      </c>
      <c r="Q6011" s="1">
        <v>0</v>
      </c>
      <c r="S6011" s="1">
        <v>1</v>
      </c>
      <c r="T6011" s="1">
        <v>1</v>
      </c>
      <c r="U6011" s="1" t="s">
        <v>544</v>
      </c>
      <c r="V6011" s="1">
        <f t="shared" si="102"/>
        <v>0.6</v>
      </c>
      <c r="W6011" s="1" t="s">
        <v>5</v>
      </c>
      <c r="X6011" s="39">
        <v>29.253740571287253</v>
      </c>
      <c r="Y6011" s="1">
        <v>1</v>
      </c>
      <c r="Z6011" s="6">
        <v>0</v>
      </c>
      <c r="AA6011" s="55">
        <v>1</v>
      </c>
    </row>
    <row r="6012" spans="1:27" x14ac:dyDescent="0.2">
      <c r="A6012" s="1">
        <v>28</v>
      </c>
      <c r="B6012" s="1" t="s">
        <v>90</v>
      </c>
      <c r="C6012" s="1" t="s">
        <v>91</v>
      </c>
      <c r="D6012" s="1">
        <v>1950</v>
      </c>
      <c r="E6012" s="6">
        <v>0</v>
      </c>
      <c r="G6012" s="1">
        <v>0</v>
      </c>
      <c r="H6012" s="1">
        <v>0</v>
      </c>
      <c r="I6012" s="1">
        <v>11.74</v>
      </c>
      <c r="M6012" s="1" t="s">
        <v>677</v>
      </c>
      <c r="N6012" s="1" t="s">
        <v>425</v>
      </c>
      <c r="O6012" s="1" t="s">
        <v>625</v>
      </c>
      <c r="P6012" s="1" t="s">
        <v>423</v>
      </c>
      <c r="Q6012" s="1">
        <v>0</v>
      </c>
      <c r="S6012" s="1">
        <v>1</v>
      </c>
      <c r="T6012" s="1">
        <v>1</v>
      </c>
      <c r="U6012" s="1" t="s">
        <v>544</v>
      </c>
      <c r="V6012" s="1">
        <f t="shared" si="102"/>
        <v>0.6</v>
      </c>
      <c r="W6012" s="1" t="s">
        <v>5</v>
      </c>
      <c r="X6012" s="39">
        <v>5.3550501064313325</v>
      </c>
      <c r="Y6012" s="1">
        <v>1</v>
      </c>
      <c r="Z6012" s="6">
        <v>0</v>
      </c>
      <c r="AA6012" s="6">
        <v>0</v>
      </c>
    </row>
    <row r="6013" spans="1:27" x14ac:dyDescent="0.2">
      <c r="A6013" s="1">
        <v>28</v>
      </c>
      <c r="B6013" s="1" t="s">
        <v>90</v>
      </c>
      <c r="C6013" s="1" t="s">
        <v>91</v>
      </c>
      <c r="D6013" s="1">
        <v>1951</v>
      </c>
      <c r="E6013" s="6">
        <v>0</v>
      </c>
      <c r="G6013" s="1">
        <v>0</v>
      </c>
      <c r="H6013" s="1">
        <v>0</v>
      </c>
      <c r="I6013" s="1">
        <v>11.74</v>
      </c>
      <c r="M6013" s="1" t="s">
        <v>677</v>
      </c>
      <c r="N6013" s="1" t="s">
        <v>425</v>
      </c>
      <c r="O6013" s="1" t="s">
        <v>625</v>
      </c>
      <c r="P6013" s="1" t="s">
        <v>423</v>
      </c>
      <c r="Q6013" s="1">
        <v>0</v>
      </c>
      <c r="S6013" s="1">
        <v>1</v>
      </c>
      <c r="T6013" s="1">
        <v>1</v>
      </c>
      <c r="U6013" s="1" t="s">
        <v>544</v>
      </c>
      <c r="V6013" s="1">
        <f t="shared" si="102"/>
        <v>0.6</v>
      </c>
      <c r="W6013" s="1" t="s">
        <v>5</v>
      </c>
      <c r="X6013" s="39">
        <v>22.036322360953459</v>
      </c>
      <c r="Y6013" s="1">
        <v>1</v>
      </c>
      <c r="Z6013" s="6">
        <v>0</v>
      </c>
      <c r="AA6013" s="55">
        <v>1</v>
      </c>
    </row>
    <row r="6014" spans="1:27" x14ac:dyDescent="0.2">
      <c r="A6014" s="1">
        <v>28</v>
      </c>
      <c r="B6014" s="1" t="s">
        <v>90</v>
      </c>
      <c r="C6014" s="1" t="s">
        <v>91</v>
      </c>
      <c r="D6014" s="1">
        <v>1952</v>
      </c>
      <c r="E6014" s="6">
        <v>0</v>
      </c>
      <c r="G6014" s="1">
        <v>0</v>
      </c>
      <c r="H6014" s="1">
        <v>0</v>
      </c>
      <c r="I6014" s="1">
        <v>11.74</v>
      </c>
      <c r="M6014" s="1" t="s">
        <v>677</v>
      </c>
      <c r="N6014" s="1" t="s">
        <v>425</v>
      </c>
      <c r="O6014" s="1" t="s">
        <v>625</v>
      </c>
      <c r="P6014" s="1" t="s">
        <v>423</v>
      </c>
      <c r="Q6014" s="1">
        <v>0</v>
      </c>
      <c r="S6014" s="1">
        <v>1</v>
      </c>
      <c r="T6014" s="1">
        <v>1</v>
      </c>
      <c r="U6014" s="1" t="s">
        <v>544</v>
      </c>
      <c r="V6014" s="1">
        <f t="shared" si="102"/>
        <v>0.6</v>
      </c>
      <c r="W6014" s="1" t="s">
        <v>5</v>
      </c>
      <c r="X6014" s="39">
        <v>38.887958777461527</v>
      </c>
      <c r="Y6014" s="1">
        <v>1</v>
      </c>
      <c r="Z6014" s="6">
        <v>0</v>
      </c>
      <c r="AA6014" s="55">
        <v>1</v>
      </c>
    </row>
    <row r="6015" spans="1:27" x14ac:dyDescent="0.2">
      <c r="A6015" s="1">
        <v>28</v>
      </c>
      <c r="B6015" s="1" t="s">
        <v>90</v>
      </c>
      <c r="C6015" s="1" t="s">
        <v>91</v>
      </c>
      <c r="D6015" s="1">
        <v>1953</v>
      </c>
      <c r="E6015" s="6">
        <v>0</v>
      </c>
      <c r="G6015" s="1">
        <v>0</v>
      </c>
      <c r="H6015" s="1">
        <v>0</v>
      </c>
      <c r="I6015" s="1">
        <v>11.74</v>
      </c>
      <c r="M6015" s="1" t="s">
        <v>677</v>
      </c>
      <c r="N6015" s="1" t="s">
        <v>425</v>
      </c>
      <c r="O6015" s="1" t="s">
        <v>625</v>
      </c>
      <c r="P6015" s="1" t="s">
        <v>423</v>
      </c>
      <c r="Q6015" s="1">
        <v>0</v>
      </c>
      <c r="S6015" s="1">
        <v>1</v>
      </c>
      <c r="T6015" s="1">
        <v>1</v>
      </c>
      <c r="U6015" s="1" t="s">
        <v>544</v>
      </c>
      <c r="V6015" s="1">
        <f t="shared" si="102"/>
        <v>0.6</v>
      </c>
      <c r="W6015" s="1" t="s">
        <v>5</v>
      </c>
      <c r="X6015" s="39">
        <v>0</v>
      </c>
      <c r="Y6015" s="1">
        <v>1</v>
      </c>
      <c r="Z6015" s="6">
        <v>0</v>
      </c>
      <c r="AA6015" s="6">
        <v>0</v>
      </c>
    </row>
    <row r="6016" spans="1:27" x14ac:dyDescent="0.2">
      <c r="A6016" s="1">
        <v>28</v>
      </c>
      <c r="B6016" s="1" t="s">
        <v>90</v>
      </c>
      <c r="C6016" s="1" t="s">
        <v>91</v>
      </c>
      <c r="D6016" s="1">
        <v>1954</v>
      </c>
      <c r="E6016" s="6">
        <v>0</v>
      </c>
      <c r="G6016" s="1">
        <v>0</v>
      </c>
      <c r="H6016" s="1">
        <v>0</v>
      </c>
      <c r="I6016" s="1">
        <v>11.74</v>
      </c>
      <c r="M6016" s="1" t="s">
        <v>677</v>
      </c>
      <c r="N6016" s="1" t="s">
        <v>425</v>
      </c>
      <c r="O6016" s="1" t="s">
        <v>625</v>
      </c>
      <c r="P6016" s="1" t="s">
        <v>423</v>
      </c>
      <c r="Q6016" s="1">
        <v>0</v>
      </c>
      <c r="S6016" s="1">
        <v>1</v>
      </c>
      <c r="T6016" s="1">
        <v>1</v>
      </c>
      <c r="U6016" s="1" t="s">
        <v>544</v>
      </c>
      <c r="V6016" s="1">
        <f t="shared" si="102"/>
        <v>0.6</v>
      </c>
      <c r="W6016" s="1" t="s">
        <v>5</v>
      </c>
      <c r="X6016" s="39">
        <v>-6.0003750234389583</v>
      </c>
      <c r="Y6016" s="1">
        <v>1</v>
      </c>
      <c r="Z6016" s="6">
        <v>0</v>
      </c>
      <c r="AA6016" s="6">
        <v>0</v>
      </c>
    </row>
    <row r="6017" spans="1:27" x14ac:dyDescent="0.2">
      <c r="A6017" s="1">
        <v>28</v>
      </c>
      <c r="B6017" s="1" t="s">
        <v>90</v>
      </c>
      <c r="C6017" s="1" t="s">
        <v>91</v>
      </c>
      <c r="D6017" s="1">
        <v>1955</v>
      </c>
      <c r="E6017" s="6">
        <v>0</v>
      </c>
      <c r="G6017" s="1">
        <v>0</v>
      </c>
      <c r="H6017" s="1">
        <v>0</v>
      </c>
      <c r="I6017" s="1">
        <v>11.74</v>
      </c>
      <c r="M6017" s="1" t="s">
        <v>677</v>
      </c>
      <c r="N6017" s="1" t="s">
        <v>425</v>
      </c>
      <c r="O6017" s="1" t="s">
        <v>625</v>
      </c>
      <c r="P6017" s="1" t="s">
        <v>423</v>
      </c>
      <c r="Q6017" s="1">
        <v>0</v>
      </c>
      <c r="S6017" s="1">
        <v>1</v>
      </c>
      <c r="T6017" s="1">
        <v>1</v>
      </c>
      <c r="U6017" s="1" t="s">
        <v>544</v>
      </c>
      <c r="V6017" s="1">
        <f t="shared" si="102"/>
        <v>0.6</v>
      </c>
      <c r="W6017" s="1" t="s">
        <v>5</v>
      </c>
      <c r="X6017" s="39">
        <v>-1.0629506141175833</v>
      </c>
      <c r="Y6017" s="1">
        <v>1</v>
      </c>
      <c r="Z6017" s="6">
        <v>0</v>
      </c>
      <c r="AA6017" s="6">
        <v>0</v>
      </c>
    </row>
    <row r="6018" spans="1:27" x14ac:dyDescent="0.2">
      <c r="A6018" s="1">
        <v>28</v>
      </c>
      <c r="B6018" s="1" t="s">
        <v>90</v>
      </c>
      <c r="C6018" s="1" t="s">
        <v>91</v>
      </c>
      <c r="D6018" s="1">
        <v>1956</v>
      </c>
      <c r="E6018" s="6">
        <v>0</v>
      </c>
      <c r="G6018" s="1">
        <v>0</v>
      </c>
      <c r="H6018" s="1">
        <v>0</v>
      </c>
      <c r="I6018" s="1">
        <v>11.74</v>
      </c>
      <c r="M6018" s="1" t="s">
        <v>677</v>
      </c>
      <c r="N6018" s="1" t="s">
        <v>425</v>
      </c>
      <c r="O6018" s="1" t="s">
        <v>625</v>
      </c>
      <c r="P6018" s="1" t="s">
        <v>423</v>
      </c>
      <c r="Q6018" s="1">
        <v>0</v>
      </c>
      <c r="S6018" s="1">
        <v>1</v>
      </c>
      <c r="T6018" s="1">
        <v>1</v>
      </c>
      <c r="U6018" s="1" t="s">
        <v>544</v>
      </c>
      <c r="V6018" s="1">
        <f t="shared" si="102"/>
        <v>0.6</v>
      </c>
      <c r="W6018" s="1" t="s">
        <v>5</v>
      </c>
      <c r="X6018" s="39">
        <v>12.90252894752002</v>
      </c>
      <c r="Y6018" s="1">
        <v>1</v>
      </c>
      <c r="Z6018" s="6">
        <v>0</v>
      </c>
      <c r="AA6018" s="6">
        <v>0</v>
      </c>
    </row>
    <row r="6019" spans="1:27" x14ac:dyDescent="0.2">
      <c r="A6019" s="1">
        <v>28</v>
      </c>
      <c r="B6019" s="1" t="s">
        <v>90</v>
      </c>
      <c r="C6019" s="1" t="s">
        <v>91</v>
      </c>
      <c r="D6019" s="1">
        <v>1957</v>
      </c>
      <c r="E6019" s="6">
        <v>0</v>
      </c>
      <c r="G6019" s="1">
        <v>0</v>
      </c>
      <c r="H6019" s="1">
        <v>0</v>
      </c>
      <c r="I6019" s="1">
        <v>23.48</v>
      </c>
      <c r="M6019" s="1" t="s">
        <v>677</v>
      </c>
      <c r="N6019" s="1" t="s">
        <v>425</v>
      </c>
      <c r="O6019" s="1" t="s">
        <v>625</v>
      </c>
      <c r="P6019" s="1" t="s">
        <v>423</v>
      </c>
      <c r="Q6019" s="1">
        <v>0</v>
      </c>
      <c r="S6019" s="1">
        <v>1</v>
      </c>
      <c r="T6019" s="1">
        <v>1</v>
      </c>
      <c r="U6019" s="1" t="s">
        <v>544</v>
      </c>
      <c r="V6019" s="1">
        <f t="shared" si="102"/>
        <v>0.6</v>
      </c>
      <c r="W6019" s="1" t="s">
        <v>5</v>
      </c>
      <c r="X6019" s="39">
        <v>-9.5235665539894114</v>
      </c>
      <c r="Y6019" s="1">
        <v>1</v>
      </c>
      <c r="Z6019" s="49">
        <v>1</v>
      </c>
      <c r="AA6019" s="6">
        <v>0</v>
      </c>
    </row>
    <row r="6020" spans="1:27" x14ac:dyDescent="0.2">
      <c r="A6020" s="1">
        <v>28</v>
      </c>
      <c r="B6020" s="1" t="s">
        <v>90</v>
      </c>
      <c r="C6020" s="1" t="s">
        <v>91</v>
      </c>
      <c r="D6020" s="1">
        <v>1958</v>
      </c>
      <c r="E6020" s="6">
        <v>0</v>
      </c>
      <c r="G6020" s="1">
        <v>0</v>
      </c>
      <c r="H6020" s="1">
        <v>0</v>
      </c>
      <c r="I6020" s="1">
        <v>23.48</v>
      </c>
      <c r="M6020" s="1" t="s">
        <v>677</v>
      </c>
      <c r="N6020" s="1" t="s">
        <v>425</v>
      </c>
      <c r="O6020" s="1" t="s">
        <v>625</v>
      </c>
      <c r="P6020" s="1" t="s">
        <v>423</v>
      </c>
      <c r="Q6020" s="1">
        <v>0</v>
      </c>
      <c r="S6020" s="1">
        <v>1</v>
      </c>
      <c r="T6020" s="1">
        <v>1</v>
      </c>
      <c r="U6020" s="1" t="s">
        <v>544</v>
      </c>
      <c r="V6020" s="1">
        <f t="shared" si="102"/>
        <v>0.6</v>
      </c>
      <c r="W6020" s="1" t="s">
        <v>5</v>
      </c>
      <c r="X6020" s="39">
        <v>0</v>
      </c>
      <c r="Y6020" s="1">
        <v>1</v>
      </c>
      <c r="Z6020" s="6">
        <v>0</v>
      </c>
      <c r="AA6020" s="6">
        <v>0</v>
      </c>
    </row>
    <row r="6021" spans="1:27" x14ac:dyDescent="0.2">
      <c r="A6021" s="1">
        <v>28</v>
      </c>
      <c r="B6021" s="1" t="s">
        <v>90</v>
      </c>
      <c r="C6021" s="1" t="s">
        <v>91</v>
      </c>
      <c r="D6021" s="1">
        <v>1959</v>
      </c>
      <c r="E6021" s="6">
        <v>0</v>
      </c>
      <c r="G6021" s="1">
        <v>0</v>
      </c>
      <c r="H6021" s="1">
        <v>0</v>
      </c>
      <c r="I6021" s="1">
        <v>23.48</v>
      </c>
      <c r="M6021" s="1" t="s">
        <v>677</v>
      </c>
      <c r="N6021" s="1" t="s">
        <v>425</v>
      </c>
      <c r="O6021" s="1" t="s">
        <v>625</v>
      </c>
      <c r="P6021" s="1" t="s">
        <v>423</v>
      </c>
      <c r="Q6021" s="1">
        <v>0</v>
      </c>
      <c r="S6021" s="1">
        <v>1</v>
      </c>
      <c r="T6021" s="1">
        <v>1</v>
      </c>
      <c r="U6021" s="1" t="s">
        <v>544</v>
      </c>
      <c r="V6021" s="1">
        <f t="shared" si="102"/>
        <v>0.6</v>
      </c>
      <c r="W6021" s="1" t="s">
        <v>5</v>
      </c>
      <c r="X6021" s="39">
        <v>-1.0531658418982359</v>
      </c>
      <c r="Y6021" s="1">
        <v>1</v>
      </c>
      <c r="Z6021" s="6">
        <v>0</v>
      </c>
      <c r="AA6021" s="6">
        <v>0</v>
      </c>
    </row>
    <row r="6022" spans="1:27" x14ac:dyDescent="0.2">
      <c r="A6022" s="1">
        <v>28</v>
      </c>
      <c r="B6022" s="1" t="s">
        <v>90</v>
      </c>
      <c r="C6022" s="1" t="s">
        <v>91</v>
      </c>
      <c r="D6022" s="1">
        <v>1960</v>
      </c>
      <c r="E6022" s="6">
        <v>0</v>
      </c>
      <c r="G6022" s="1">
        <v>0</v>
      </c>
      <c r="H6022" s="1">
        <v>0</v>
      </c>
      <c r="I6022" s="1">
        <v>23.48</v>
      </c>
      <c r="M6022" s="1" t="s">
        <v>677</v>
      </c>
      <c r="N6022" s="1" t="s">
        <v>425</v>
      </c>
      <c r="O6022" s="1" t="s">
        <v>625</v>
      </c>
      <c r="P6022" s="1" t="s">
        <v>423</v>
      </c>
      <c r="Q6022" s="1">
        <v>0</v>
      </c>
      <c r="S6022" s="1">
        <v>1</v>
      </c>
      <c r="T6022" s="1">
        <v>1</v>
      </c>
      <c r="U6022" s="1" t="s">
        <v>544</v>
      </c>
      <c r="V6022" s="1">
        <f t="shared" si="102"/>
        <v>0.6</v>
      </c>
      <c r="W6022" s="1" t="s">
        <v>5</v>
      </c>
      <c r="X6022" s="39">
        <v>0</v>
      </c>
      <c r="Y6022" s="1">
        <v>1</v>
      </c>
      <c r="Z6022" s="6">
        <v>0</v>
      </c>
      <c r="AA6022" s="6">
        <v>0</v>
      </c>
    </row>
    <row r="6023" spans="1:27" x14ac:dyDescent="0.2">
      <c r="A6023" s="1">
        <v>28</v>
      </c>
      <c r="B6023" s="1" t="s">
        <v>90</v>
      </c>
      <c r="C6023" s="1" t="s">
        <v>91</v>
      </c>
      <c r="D6023" s="1">
        <v>1961</v>
      </c>
      <c r="E6023" s="6">
        <v>0</v>
      </c>
      <c r="G6023" s="1">
        <v>0</v>
      </c>
      <c r="H6023" s="1">
        <v>0</v>
      </c>
      <c r="I6023" s="1">
        <v>23.48</v>
      </c>
      <c r="M6023" s="1" t="s">
        <v>677</v>
      </c>
      <c r="N6023" s="1" t="s">
        <v>425</v>
      </c>
      <c r="O6023" s="1" t="s">
        <v>625</v>
      </c>
      <c r="P6023" s="1" t="s">
        <v>423</v>
      </c>
      <c r="Q6023" s="1">
        <v>0</v>
      </c>
      <c r="S6023" s="1">
        <v>1</v>
      </c>
      <c r="T6023" s="1">
        <v>1</v>
      </c>
      <c r="U6023" s="1" t="s">
        <v>544</v>
      </c>
      <c r="V6023" s="1">
        <f t="shared" si="102"/>
        <v>0.6</v>
      </c>
      <c r="W6023" s="1" t="s">
        <v>5</v>
      </c>
      <c r="X6023" s="39">
        <v>0</v>
      </c>
      <c r="Y6023" s="1">
        <v>1</v>
      </c>
      <c r="Z6023" s="6">
        <v>0</v>
      </c>
      <c r="AA6023" s="6">
        <v>0</v>
      </c>
    </row>
    <row r="6024" spans="1:27" ht="12.75" customHeight="1" x14ac:dyDescent="0.2">
      <c r="A6024" s="1">
        <v>28</v>
      </c>
      <c r="B6024" s="1" t="s">
        <v>90</v>
      </c>
      <c r="C6024" s="1" t="s">
        <v>91</v>
      </c>
      <c r="D6024" s="1">
        <v>1962</v>
      </c>
      <c r="E6024" s="6">
        <v>0</v>
      </c>
      <c r="G6024" s="1">
        <v>0</v>
      </c>
      <c r="H6024" s="1">
        <v>0</v>
      </c>
      <c r="I6024" s="1">
        <v>23.48</v>
      </c>
      <c r="M6024" s="1" t="s">
        <v>677</v>
      </c>
      <c r="N6024" s="1" t="s">
        <v>425</v>
      </c>
      <c r="O6024" s="1" t="s">
        <v>625</v>
      </c>
      <c r="P6024" s="1" t="s">
        <v>423</v>
      </c>
      <c r="Q6024" s="1">
        <v>0</v>
      </c>
      <c r="S6024" s="1">
        <v>1</v>
      </c>
      <c r="T6024" s="1">
        <v>1</v>
      </c>
      <c r="U6024" s="1" t="s">
        <v>544</v>
      </c>
      <c r="V6024" s="1">
        <f t="shared" si="102"/>
        <v>0.6</v>
      </c>
      <c r="W6024" s="1" t="s">
        <v>5</v>
      </c>
      <c r="X6024" s="39">
        <v>1.0643754808925365</v>
      </c>
      <c r="Y6024" s="1">
        <v>1</v>
      </c>
      <c r="Z6024" s="6">
        <v>0</v>
      </c>
      <c r="AA6024" s="6">
        <v>0</v>
      </c>
    </row>
    <row r="6025" spans="1:27" x14ac:dyDescent="0.2">
      <c r="A6025" s="1">
        <v>28</v>
      </c>
      <c r="B6025" s="1" t="s">
        <v>90</v>
      </c>
      <c r="C6025" s="1" t="s">
        <v>91</v>
      </c>
      <c r="D6025" s="1">
        <v>1963</v>
      </c>
      <c r="E6025" s="6">
        <v>0</v>
      </c>
      <c r="G6025" s="1">
        <v>0</v>
      </c>
      <c r="H6025" s="1">
        <v>0</v>
      </c>
      <c r="I6025" s="1">
        <v>23.48</v>
      </c>
      <c r="M6025" s="1" t="s">
        <v>677</v>
      </c>
      <c r="N6025" s="1" t="s">
        <v>425</v>
      </c>
      <c r="O6025" s="1" t="s">
        <v>625</v>
      </c>
      <c r="P6025" s="1" t="s">
        <v>423</v>
      </c>
      <c r="Q6025" s="1">
        <v>0</v>
      </c>
      <c r="S6025" s="1">
        <v>1</v>
      </c>
      <c r="T6025" s="1">
        <v>1</v>
      </c>
      <c r="U6025" s="1" t="s">
        <v>544</v>
      </c>
      <c r="V6025" s="1">
        <f t="shared" si="102"/>
        <v>0.6</v>
      </c>
      <c r="W6025" s="1" t="s">
        <v>5</v>
      </c>
      <c r="X6025" s="39">
        <v>-1.0531658418982359</v>
      </c>
      <c r="Y6025" s="1">
        <v>1</v>
      </c>
      <c r="Z6025" s="6">
        <v>0</v>
      </c>
      <c r="AA6025" s="6">
        <v>0</v>
      </c>
    </row>
    <row r="6026" spans="1:27" x14ac:dyDescent="0.2">
      <c r="A6026" s="1">
        <v>28</v>
      </c>
      <c r="B6026" s="1" t="s">
        <v>90</v>
      </c>
      <c r="C6026" s="1" t="s">
        <v>91</v>
      </c>
      <c r="D6026" s="1">
        <v>1964</v>
      </c>
      <c r="E6026" s="6">
        <v>0</v>
      </c>
      <c r="G6026" s="1">
        <v>0</v>
      </c>
      <c r="H6026" s="1">
        <v>0</v>
      </c>
      <c r="I6026" s="1">
        <v>23.48</v>
      </c>
      <c r="M6026" s="1" t="s">
        <v>677</v>
      </c>
      <c r="N6026" s="1" t="s">
        <v>425</v>
      </c>
      <c r="O6026" s="1" t="s">
        <v>625</v>
      </c>
      <c r="P6026" s="1" t="s">
        <v>423</v>
      </c>
      <c r="Q6026" s="1">
        <v>0</v>
      </c>
      <c r="S6026" s="1">
        <v>1</v>
      </c>
      <c r="T6026" s="1">
        <v>1</v>
      </c>
      <c r="U6026" s="1" t="s">
        <v>544</v>
      </c>
      <c r="V6026" s="1">
        <f t="shared" si="102"/>
        <v>0.6</v>
      </c>
      <c r="W6026" s="1" t="s">
        <v>5</v>
      </c>
      <c r="X6026" s="39">
        <v>1.0615257473426172</v>
      </c>
      <c r="Y6026" s="1">
        <v>1</v>
      </c>
      <c r="Z6026" s="6">
        <v>0</v>
      </c>
      <c r="AA6026" s="6">
        <v>0</v>
      </c>
    </row>
    <row r="6027" spans="1:27" x14ac:dyDescent="0.2">
      <c r="A6027" s="1">
        <v>28</v>
      </c>
      <c r="B6027" s="1" t="s">
        <v>90</v>
      </c>
      <c r="C6027" s="1" t="s">
        <v>91</v>
      </c>
      <c r="D6027" s="1">
        <v>1965</v>
      </c>
      <c r="E6027" s="6">
        <v>0</v>
      </c>
      <c r="G6027" s="1">
        <v>0</v>
      </c>
      <c r="H6027" s="1">
        <v>0</v>
      </c>
      <c r="I6027" s="1">
        <v>23.48</v>
      </c>
      <c r="M6027" s="1" t="s">
        <v>677</v>
      </c>
      <c r="N6027" s="1" t="s">
        <v>425</v>
      </c>
      <c r="O6027" s="1" t="s">
        <v>625</v>
      </c>
      <c r="P6027" s="1" t="s">
        <v>423</v>
      </c>
      <c r="Q6027" s="1">
        <v>0</v>
      </c>
      <c r="S6027" s="1">
        <v>1</v>
      </c>
      <c r="T6027" s="1">
        <v>1</v>
      </c>
      <c r="U6027" s="1" t="s">
        <v>544</v>
      </c>
      <c r="V6027" s="1">
        <f t="shared" si="102"/>
        <v>0.6</v>
      </c>
      <c r="W6027" s="1" t="s">
        <v>5</v>
      </c>
      <c r="X6027" s="39">
        <v>0</v>
      </c>
      <c r="Y6027" s="1">
        <v>1</v>
      </c>
      <c r="Z6027" s="6">
        <v>0</v>
      </c>
      <c r="AA6027" s="6">
        <v>0</v>
      </c>
    </row>
    <row r="6028" spans="1:27" x14ac:dyDescent="0.2">
      <c r="A6028" s="1">
        <v>28</v>
      </c>
      <c r="B6028" s="1" t="s">
        <v>90</v>
      </c>
      <c r="C6028" s="1" t="s">
        <v>91</v>
      </c>
      <c r="D6028" s="1">
        <v>1966</v>
      </c>
      <c r="E6028" s="6">
        <v>0</v>
      </c>
      <c r="G6028" s="1">
        <v>0</v>
      </c>
      <c r="H6028" s="1">
        <v>0</v>
      </c>
      <c r="I6028" s="1">
        <v>23.48</v>
      </c>
      <c r="M6028" s="1" t="s">
        <v>677</v>
      </c>
      <c r="N6028" s="1" t="s">
        <v>425</v>
      </c>
      <c r="O6028" s="1" t="s">
        <v>625</v>
      </c>
      <c r="P6028" s="1" t="s">
        <v>423</v>
      </c>
      <c r="Q6028" s="1">
        <v>0</v>
      </c>
      <c r="S6028" s="1">
        <v>1</v>
      </c>
      <c r="T6028" s="1">
        <v>1</v>
      </c>
      <c r="U6028" s="1" t="s">
        <v>544</v>
      </c>
      <c r="V6028" s="1">
        <f t="shared" si="102"/>
        <v>0.6</v>
      </c>
      <c r="W6028" s="1" t="s">
        <v>5</v>
      </c>
      <c r="X6028" s="39">
        <v>4.9022234128047231</v>
      </c>
      <c r="Y6028" s="1">
        <v>1</v>
      </c>
      <c r="Z6028" s="6">
        <v>0</v>
      </c>
      <c r="AA6028" s="6">
        <v>0</v>
      </c>
    </row>
    <row r="6029" spans="1:27" x14ac:dyDescent="0.2">
      <c r="A6029" s="1">
        <v>28</v>
      </c>
      <c r="B6029" s="1" t="s">
        <v>90</v>
      </c>
      <c r="C6029" s="1" t="s">
        <v>91</v>
      </c>
      <c r="D6029" s="1">
        <v>1967</v>
      </c>
      <c r="E6029" s="6">
        <v>0</v>
      </c>
      <c r="G6029" s="1">
        <v>0</v>
      </c>
      <c r="H6029" s="1">
        <v>0</v>
      </c>
      <c r="I6029" s="1">
        <v>23.48</v>
      </c>
      <c r="M6029" s="1" t="s">
        <v>677</v>
      </c>
      <c r="N6029" s="1" t="s">
        <v>425</v>
      </c>
      <c r="O6029" s="1" t="s">
        <v>625</v>
      </c>
      <c r="P6029" s="1" t="s">
        <v>423</v>
      </c>
      <c r="Q6029" s="1">
        <v>0</v>
      </c>
      <c r="S6029" s="1">
        <v>1</v>
      </c>
      <c r="T6029" s="1">
        <v>1</v>
      </c>
      <c r="U6029" s="1" t="s">
        <v>544</v>
      </c>
      <c r="V6029" s="1">
        <f t="shared" si="102"/>
        <v>0.6</v>
      </c>
      <c r="W6029" s="1" t="s">
        <v>5</v>
      </c>
      <c r="X6029" s="39">
        <v>-0.65453470243535539</v>
      </c>
      <c r="Y6029" s="1">
        <v>1</v>
      </c>
      <c r="Z6029" s="6">
        <v>0</v>
      </c>
      <c r="AA6029" s="6">
        <v>0</v>
      </c>
    </row>
    <row r="6030" spans="1:27" x14ac:dyDescent="0.2">
      <c r="A6030" s="1">
        <v>28</v>
      </c>
      <c r="B6030" s="1" t="s">
        <v>90</v>
      </c>
      <c r="C6030" s="1" t="s">
        <v>91</v>
      </c>
      <c r="D6030" s="1">
        <v>1968</v>
      </c>
      <c r="E6030" s="6">
        <v>0</v>
      </c>
      <c r="G6030" s="1">
        <v>0</v>
      </c>
      <c r="H6030" s="1">
        <v>0</v>
      </c>
      <c r="I6030" s="1">
        <v>60</v>
      </c>
      <c r="M6030" s="1" t="s">
        <v>677</v>
      </c>
      <c r="N6030" s="1" t="s">
        <v>425</v>
      </c>
      <c r="O6030" s="1" t="s">
        <v>625</v>
      </c>
      <c r="P6030" s="1" t="s">
        <v>423</v>
      </c>
      <c r="Q6030" s="1">
        <v>0</v>
      </c>
      <c r="S6030" s="1">
        <v>0</v>
      </c>
      <c r="T6030" s="1">
        <v>0</v>
      </c>
      <c r="V6030" s="1">
        <f t="shared" si="102"/>
        <v>0</v>
      </c>
      <c r="W6030" s="1" t="s">
        <v>5</v>
      </c>
      <c r="X6030" s="39">
        <v>1.8818404426586575</v>
      </c>
      <c r="Y6030" s="1">
        <v>1</v>
      </c>
      <c r="Z6030" s="49">
        <v>1</v>
      </c>
      <c r="AA6030" s="6">
        <v>0</v>
      </c>
    </row>
    <row r="6031" spans="1:27" x14ac:dyDescent="0.2">
      <c r="A6031" s="1">
        <v>28</v>
      </c>
      <c r="B6031" s="1" t="s">
        <v>90</v>
      </c>
      <c r="C6031" s="1" t="s">
        <v>91</v>
      </c>
      <c r="D6031" s="1">
        <v>1969</v>
      </c>
      <c r="E6031" s="6">
        <v>0</v>
      </c>
      <c r="G6031" s="1">
        <v>0</v>
      </c>
      <c r="H6031" s="1">
        <v>0</v>
      </c>
      <c r="I6031" s="1">
        <v>60</v>
      </c>
      <c r="M6031" s="1" t="s">
        <v>677</v>
      </c>
      <c r="N6031" s="1" t="s">
        <v>425</v>
      </c>
      <c r="O6031" s="1" t="s">
        <v>625</v>
      </c>
      <c r="P6031" s="1" t="s">
        <v>423</v>
      </c>
      <c r="Q6031" s="1">
        <v>0</v>
      </c>
      <c r="S6031" s="1">
        <v>0</v>
      </c>
      <c r="T6031" s="1">
        <v>0</v>
      </c>
      <c r="V6031" s="1">
        <f t="shared" si="102"/>
        <v>0</v>
      </c>
      <c r="W6031" s="1" t="s">
        <v>5</v>
      </c>
      <c r="X6031" s="39">
        <v>0.27752695596749533</v>
      </c>
      <c r="Y6031" s="1">
        <v>1</v>
      </c>
      <c r="Z6031" s="6">
        <v>0</v>
      </c>
      <c r="AA6031" s="6">
        <v>0</v>
      </c>
    </row>
    <row r="6032" spans="1:27" x14ac:dyDescent="0.2">
      <c r="A6032" s="1">
        <v>28</v>
      </c>
      <c r="B6032" s="1" t="s">
        <v>90</v>
      </c>
      <c r="C6032" s="1" t="s">
        <v>91</v>
      </c>
      <c r="D6032" s="1">
        <v>1970</v>
      </c>
      <c r="E6032" s="6">
        <v>0</v>
      </c>
      <c r="G6032" s="1">
        <v>0</v>
      </c>
      <c r="H6032" s="1">
        <v>0</v>
      </c>
      <c r="I6032" s="1">
        <v>60</v>
      </c>
      <c r="M6032" s="1" t="s">
        <v>677</v>
      </c>
      <c r="N6032" s="1" t="s">
        <v>425</v>
      </c>
      <c r="O6032" s="1" t="s">
        <v>625</v>
      </c>
      <c r="P6032" s="1" t="s">
        <v>423</v>
      </c>
      <c r="Q6032" s="1">
        <v>0</v>
      </c>
      <c r="S6032" s="1">
        <v>0</v>
      </c>
      <c r="T6032" s="1">
        <v>0</v>
      </c>
      <c r="V6032" s="1">
        <f t="shared" si="102"/>
        <v>0</v>
      </c>
      <c r="W6032" s="1" t="s">
        <v>5</v>
      </c>
      <c r="X6032" s="39">
        <v>2.155805977462026</v>
      </c>
      <c r="Y6032" s="1">
        <v>1</v>
      </c>
      <c r="Z6032" s="6">
        <v>0</v>
      </c>
      <c r="AA6032" s="6">
        <v>0</v>
      </c>
    </row>
    <row r="6033" spans="1:27" x14ac:dyDescent="0.2">
      <c r="A6033" s="1">
        <v>28</v>
      </c>
      <c r="B6033" s="1" t="s">
        <v>90</v>
      </c>
      <c r="C6033" s="1" t="s">
        <v>91</v>
      </c>
      <c r="D6033" s="1">
        <v>1971</v>
      </c>
      <c r="E6033" s="6">
        <v>0</v>
      </c>
      <c r="G6033" s="1">
        <v>0</v>
      </c>
      <c r="H6033" s="1">
        <v>0</v>
      </c>
      <c r="I6033" s="1">
        <v>57.86</v>
      </c>
      <c r="M6033" s="1" t="s">
        <v>677</v>
      </c>
      <c r="N6033" s="1" t="s">
        <v>425</v>
      </c>
      <c r="O6033" s="1" t="s">
        <v>625</v>
      </c>
      <c r="P6033" s="1" t="s">
        <v>423</v>
      </c>
      <c r="Q6033" s="1">
        <v>0</v>
      </c>
      <c r="S6033" s="1">
        <v>0</v>
      </c>
      <c r="T6033" s="1">
        <v>0</v>
      </c>
      <c r="V6033" s="1">
        <f t="shared" si="102"/>
        <v>0</v>
      </c>
      <c r="W6033" s="1" t="s">
        <v>5</v>
      </c>
      <c r="X6033" s="39">
        <v>2.1219780932011085</v>
      </c>
      <c r="Y6033" s="1">
        <v>1</v>
      </c>
      <c r="Z6033" s="6">
        <v>0</v>
      </c>
      <c r="AA6033" s="6">
        <v>0</v>
      </c>
    </row>
    <row r="6034" spans="1:27" x14ac:dyDescent="0.2">
      <c r="A6034" s="1">
        <v>28</v>
      </c>
      <c r="B6034" s="1" t="s">
        <v>90</v>
      </c>
      <c r="C6034" s="1" t="s">
        <v>91</v>
      </c>
      <c r="D6034" s="1">
        <v>1972</v>
      </c>
      <c r="E6034" s="6">
        <v>0</v>
      </c>
      <c r="G6034" s="1">
        <v>0</v>
      </c>
      <c r="H6034" s="1">
        <v>0</v>
      </c>
      <c r="I6034" s="1">
        <v>55.26</v>
      </c>
      <c r="M6034" s="1" t="s">
        <v>677</v>
      </c>
      <c r="N6034" s="1" t="s">
        <v>425</v>
      </c>
      <c r="O6034" s="1" t="s">
        <v>625</v>
      </c>
      <c r="P6034" s="1" t="s">
        <v>423</v>
      </c>
      <c r="Q6034" s="1">
        <v>0</v>
      </c>
      <c r="S6034" s="1">
        <v>0</v>
      </c>
      <c r="T6034" s="1">
        <v>0</v>
      </c>
      <c r="V6034" s="1">
        <f t="shared" si="102"/>
        <v>0</v>
      </c>
      <c r="W6034" s="1" t="s">
        <v>5</v>
      </c>
      <c r="X6034" s="39">
        <v>3.1161940544794478</v>
      </c>
      <c r="Y6034" s="1">
        <v>1</v>
      </c>
      <c r="Z6034" s="6">
        <v>0</v>
      </c>
      <c r="AA6034" s="6">
        <v>0</v>
      </c>
    </row>
    <row r="6035" spans="1:27" x14ac:dyDescent="0.2">
      <c r="A6035" s="1">
        <v>28</v>
      </c>
      <c r="B6035" s="1" t="s">
        <v>90</v>
      </c>
      <c r="C6035" s="1" t="s">
        <v>91</v>
      </c>
      <c r="D6035" s="1">
        <v>1973</v>
      </c>
      <c r="E6035" s="6">
        <v>0</v>
      </c>
      <c r="G6035" s="1">
        <v>0</v>
      </c>
      <c r="H6035" s="1">
        <v>0</v>
      </c>
      <c r="I6035" s="1">
        <v>46.75</v>
      </c>
      <c r="M6035" s="1" t="s">
        <v>677</v>
      </c>
      <c r="N6035" s="1" t="s">
        <v>425</v>
      </c>
      <c r="O6035" s="1" t="s">
        <v>625</v>
      </c>
      <c r="P6035" s="1" t="s">
        <v>423</v>
      </c>
      <c r="Q6035" s="1">
        <v>0</v>
      </c>
      <c r="S6035" s="1">
        <v>0</v>
      </c>
      <c r="T6035" s="1">
        <v>0</v>
      </c>
      <c r="V6035" s="1">
        <f t="shared" si="102"/>
        <v>0</v>
      </c>
      <c r="W6035" s="1" t="s">
        <v>5</v>
      </c>
      <c r="X6035" s="39">
        <v>3.1106515504019208</v>
      </c>
      <c r="Y6035" s="1">
        <v>1</v>
      </c>
      <c r="Z6035" s="6">
        <v>0</v>
      </c>
      <c r="AA6035" s="6">
        <v>0</v>
      </c>
    </row>
    <row r="6036" spans="1:27" x14ac:dyDescent="0.2">
      <c r="A6036" s="1">
        <v>28</v>
      </c>
      <c r="B6036" s="1" t="s">
        <v>90</v>
      </c>
      <c r="C6036" s="1" t="s">
        <v>91</v>
      </c>
      <c r="D6036" s="1">
        <v>1974</v>
      </c>
      <c r="E6036" s="6">
        <v>0</v>
      </c>
      <c r="G6036" s="1">
        <v>0</v>
      </c>
      <c r="H6036" s="1">
        <v>0</v>
      </c>
      <c r="I6036" s="1">
        <v>46.75</v>
      </c>
      <c r="M6036" s="1" t="s">
        <v>677</v>
      </c>
      <c r="N6036" s="1" t="s">
        <v>425</v>
      </c>
      <c r="O6036" s="1" t="s">
        <v>625</v>
      </c>
      <c r="P6036" s="1" t="s">
        <v>423</v>
      </c>
      <c r="Q6036" s="1">
        <v>0</v>
      </c>
      <c r="S6036" s="1">
        <v>0</v>
      </c>
      <c r="T6036" s="1">
        <v>0</v>
      </c>
      <c r="V6036" s="1">
        <f t="shared" si="102"/>
        <v>0</v>
      </c>
      <c r="W6036" s="1" t="s">
        <v>5</v>
      </c>
      <c r="X6036" s="39">
        <v>3.4824029415978286</v>
      </c>
      <c r="Y6036" s="1">
        <v>1</v>
      </c>
      <c r="Z6036" s="6">
        <v>0</v>
      </c>
      <c r="AA6036" s="6">
        <v>0</v>
      </c>
    </row>
    <row r="6037" spans="1:27" x14ac:dyDescent="0.2">
      <c r="A6037" s="1">
        <v>28</v>
      </c>
      <c r="B6037" s="1" t="s">
        <v>90</v>
      </c>
      <c r="C6037" s="1" t="s">
        <v>91</v>
      </c>
      <c r="D6037" s="1">
        <v>1975</v>
      </c>
      <c r="E6037" s="6">
        <v>0</v>
      </c>
      <c r="G6037" s="1">
        <v>0</v>
      </c>
      <c r="H6037" s="1">
        <v>0</v>
      </c>
      <c r="I6037" s="1">
        <v>43.5</v>
      </c>
      <c r="M6037" s="1" t="s">
        <v>677</v>
      </c>
      <c r="N6037" s="1" t="s">
        <v>425</v>
      </c>
      <c r="O6037" s="1" t="s">
        <v>625</v>
      </c>
      <c r="P6037" s="1" t="s">
        <v>423</v>
      </c>
      <c r="Q6037" s="1">
        <v>0</v>
      </c>
      <c r="S6037" s="1">
        <v>0</v>
      </c>
      <c r="T6037" s="1">
        <v>0</v>
      </c>
      <c r="V6037" s="1">
        <f t="shared" si="102"/>
        <v>0</v>
      </c>
      <c r="W6037" s="1" t="s">
        <v>5</v>
      </c>
      <c r="X6037" s="39">
        <v>4.3400514530289103</v>
      </c>
      <c r="Y6037" s="1">
        <v>1</v>
      </c>
      <c r="Z6037" s="6">
        <v>0</v>
      </c>
      <c r="AA6037" s="6">
        <v>0</v>
      </c>
    </row>
    <row r="6038" spans="1:27" x14ac:dyDescent="0.2">
      <c r="A6038" s="1">
        <v>28</v>
      </c>
      <c r="B6038" s="1" t="s">
        <v>90</v>
      </c>
      <c r="C6038" s="1" t="s">
        <v>91</v>
      </c>
      <c r="D6038" s="1">
        <v>1976</v>
      </c>
      <c r="E6038" s="6">
        <v>0</v>
      </c>
      <c r="G6038" s="1">
        <v>0</v>
      </c>
      <c r="H6038" s="1">
        <v>0</v>
      </c>
      <c r="I6038" s="1">
        <v>41.3</v>
      </c>
      <c r="M6038" s="1" t="s">
        <v>677</v>
      </c>
      <c r="N6038" s="1" t="s">
        <v>425</v>
      </c>
      <c r="O6038" s="1" t="s">
        <v>625</v>
      </c>
      <c r="P6038" s="1" t="s">
        <v>423</v>
      </c>
      <c r="Q6038" s="1">
        <v>0</v>
      </c>
      <c r="S6038" s="1">
        <v>0</v>
      </c>
      <c r="T6038" s="1">
        <v>0</v>
      </c>
      <c r="V6038" s="1">
        <f t="shared" si="102"/>
        <v>0</v>
      </c>
      <c r="W6038" s="1" t="s">
        <v>5</v>
      </c>
      <c r="X6038" s="39">
        <v>1.9902037747524495E-2</v>
      </c>
      <c r="Y6038" s="1">
        <v>1</v>
      </c>
      <c r="Z6038" s="6">
        <v>0</v>
      </c>
      <c r="AA6038" s="6">
        <v>0</v>
      </c>
    </row>
    <row r="6039" spans="1:27" x14ac:dyDescent="0.2">
      <c r="A6039" s="1">
        <v>28</v>
      </c>
      <c r="B6039" s="1" t="s">
        <v>90</v>
      </c>
      <c r="C6039" s="1" t="s">
        <v>91</v>
      </c>
      <c r="D6039" s="1">
        <v>1977</v>
      </c>
      <c r="E6039" s="6">
        <v>0</v>
      </c>
      <c r="G6039" s="1">
        <v>0</v>
      </c>
      <c r="H6039" s="1">
        <v>0</v>
      </c>
      <c r="I6039" s="1">
        <v>40.6</v>
      </c>
      <c r="M6039" s="1" t="s">
        <v>677</v>
      </c>
      <c r="N6039" s="1" t="s">
        <v>425</v>
      </c>
      <c r="O6039" s="1" t="s">
        <v>625</v>
      </c>
      <c r="P6039" s="1" t="s">
        <v>423</v>
      </c>
      <c r="Q6039" s="1">
        <v>0</v>
      </c>
      <c r="S6039" s="1">
        <v>0</v>
      </c>
      <c r="T6039" s="1">
        <v>0</v>
      </c>
      <c r="V6039" s="1">
        <f t="shared" si="102"/>
        <v>0</v>
      </c>
      <c r="W6039" s="1" t="s">
        <v>5</v>
      </c>
      <c r="X6039" s="39">
        <v>3.0455113253225257</v>
      </c>
      <c r="Y6039" s="1">
        <v>1</v>
      </c>
      <c r="Z6039" s="6">
        <v>0</v>
      </c>
      <c r="AA6039" s="6">
        <v>0</v>
      </c>
    </row>
    <row r="6040" spans="1:27" x14ac:dyDescent="0.2">
      <c r="A6040" s="1">
        <v>28</v>
      </c>
      <c r="B6040" s="1" t="s">
        <v>90</v>
      </c>
      <c r="C6040" s="1" t="s">
        <v>91</v>
      </c>
      <c r="D6040" s="1">
        <v>1978</v>
      </c>
      <c r="E6040" s="6">
        <v>0</v>
      </c>
      <c r="G6040" s="1">
        <v>0</v>
      </c>
      <c r="H6040" s="1">
        <v>0</v>
      </c>
      <c r="I6040" s="1">
        <v>35.578000000000003</v>
      </c>
      <c r="M6040" s="1" t="s">
        <v>677</v>
      </c>
      <c r="N6040" s="1" t="s">
        <v>425</v>
      </c>
      <c r="O6040" s="1" t="s">
        <v>625</v>
      </c>
      <c r="P6040" s="1" t="s">
        <v>423</v>
      </c>
      <c r="Q6040" s="1">
        <v>0</v>
      </c>
      <c r="S6040" s="1">
        <v>0</v>
      </c>
      <c r="T6040" s="1">
        <v>0</v>
      </c>
      <c r="V6040" s="1">
        <f t="shared" si="102"/>
        <v>0</v>
      </c>
      <c r="W6040" s="1" t="s">
        <v>5</v>
      </c>
      <c r="X6040" s="39">
        <v>4.8940096120837522</v>
      </c>
      <c r="Y6040" s="1">
        <v>1</v>
      </c>
      <c r="Z6040" s="6">
        <v>0</v>
      </c>
      <c r="AA6040" s="6">
        <v>0</v>
      </c>
    </row>
    <row r="6041" spans="1:27" x14ac:dyDescent="0.2">
      <c r="A6041" s="1">
        <v>28</v>
      </c>
      <c r="B6041" s="1" t="s">
        <v>90</v>
      </c>
      <c r="C6041" s="1" t="s">
        <v>91</v>
      </c>
      <c r="D6041" s="1">
        <v>1979</v>
      </c>
      <c r="E6041" s="14">
        <v>0</v>
      </c>
      <c r="G6041" s="1">
        <v>0</v>
      </c>
      <c r="H6041" s="1">
        <v>0</v>
      </c>
      <c r="I6041" s="1">
        <v>35.578000000000003</v>
      </c>
      <c r="M6041" s="1" t="s">
        <v>677</v>
      </c>
      <c r="N6041" s="1" t="s">
        <v>425</v>
      </c>
      <c r="O6041" s="1" t="s">
        <v>625</v>
      </c>
      <c r="P6041" s="1" t="s">
        <v>423</v>
      </c>
      <c r="Q6041" s="1">
        <v>0</v>
      </c>
      <c r="S6041" s="1">
        <v>0</v>
      </c>
      <c r="T6041" s="1">
        <v>0</v>
      </c>
      <c r="V6041" s="1">
        <f t="shared" si="102"/>
        <v>0</v>
      </c>
      <c r="W6041" s="1" t="s">
        <v>5</v>
      </c>
      <c r="X6041" s="39">
        <v>14.259853954877389</v>
      </c>
      <c r="Y6041" s="1">
        <v>1</v>
      </c>
      <c r="Z6041" s="6">
        <v>0</v>
      </c>
      <c r="AA6041" s="6">
        <v>0</v>
      </c>
    </row>
    <row r="6042" spans="1:27" x14ac:dyDescent="0.2">
      <c r="A6042" s="1">
        <v>28</v>
      </c>
      <c r="B6042" s="1" t="s">
        <v>90</v>
      </c>
      <c r="C6042" s="1" t="s">
        <v>91</v>
      </c>
      <c r="D6042" s="1">
        <v>1980</v>
      </c>
      <c r="E6042" s="14">
        <v>0</v>
      </c>
      <c r="G6042" s="1">
        <v>0</v>
      </c>
      <c r="H6042" s="1">
        <v>0</v>
      </c>
      <c r="I6042" s="1">
        <v>32.212599998999998</v>
      </c>
      <c r="M6042" s="1" t="s">
        <v>677</v>
      </c>
      <c r="N6042" s="1" t="s">
        <v>425</v>
      </c>
      <c r="O6042" s="1" t="s">
        <v>625</v>
      </c>
      <c r="P6042" s="1" t="s">
        <v>423</v>
      </c>
      <c r="Q6042" s="1">
        <v>0</v>
      </c>
      <c r="S6042" s="1">
        <v>0</v>
      </c>
      <c r="T6042" s="1">
        <v>0</v>
      </c>
      <c r="V6042" s="1">
        <f t="shared" si="102"/>
        <v>0</v>
      </c>
      <c r="W6042" s="1" t="s">
        <v>5</v>
      </c>
      <c r="X6042" s="64">
        <v>9.2859999999999996</v>
      </c>
      <c r="Y6042" s="1">
        <v>1</v>
      </c>
      <c r="Z6042" s="6">
        <v>0</v>
      </c>
      <c r="AA6042" s="6">
        <v>0</v>
      </c>
    </row>
    <row r="6043" spans="1:27" x14ac:dyDescent="0.2">
      <c r="A6043" s="1">
        <v>28</v>
      </c>
      <c r="B6043" s="1" t="s">
        <v>90</v>
      </c>
      <c r="C6043" s="1" t="s">
        <v>91</v>
      </c>
      <c r="D6043" s="1">
        <v>1981</v>
      </c>
      <c r="E6043" s="14">
        <v>0</v>
      </c>
      <c r="G6043" s="1">
        <v>0</v>
      </c>
      <c r="H6043" s="1">
        <v>0</v>
      </c>
      <c r="I6043" s="1">
        <v>34.429699999</v>
      </c>
      <c r="M6043" s="1" t="s">
        <v>677</v>
      </c>
      <c r="N6043" s="1" t="s">
        <v>425</v>
      </c>
      <c r="O6043" s="1" t="s">
        <v>625</v>
      </c>
      <c r="P6043" s="1" t="s">
        <v>423</v>
      </c>
      <c r="Q6043" s="1">
        <v>0</v>
      </c>
      <c r="S6043" s="1">
        <v>0</v>
      </c>
      <c r="T6043" s="1">
        <v>0</v>
      </c>
      <c r="V6043" s="1">
        <f t="shared" si="102"/>
        <v>0</v>
      </c>
      <c r="W6043" s="1" t="s">
        <v>5</v>
      </c>
      <c r="X6043" s="64">
        <v>4.5110000000000001</v>
      </c>
      <c r="Y6043" s="1">
        <v>1</v>
      </c>
      <c r="Z6043" s="6">
        <v>0</v>
      </c>
      <c r="AA6043" s="6">
        <v>0</v>
      </c>
    </row>
    <row r="6044" spans="1:27" x14ac:dyDescent="0.2">
      <c r="A6044" s="1">
        <v>28</v>
      </c>
      <c r="B6044" s="1" t="s">
        <v>90</v>
      </c>
      <c r="C6044" s="1" t="s">
        <v>91</v>
      </c>
      <c r="D6044" s="1">
        <v>1982</v>
      </c>
      <c r="E6044" s="14">
        <v>0</v>
      </c>
      <c r="G6044" s="1">
        <v>0</v>
      </c>
      <c r="H6044" s="1">
        <v>0</v>
      </c>
      <c r="I6044" s="1">
        <v>39.609799999000003</v>
      </c>
      <c r="M6044" s="1" t="s">
        <v>677</v>
      </c>
      <c r="N6044" s="1" t="s">
        <v>425</v>
      </c>
      <c r="O6044" s="1" t="s">
        <v>625</v>
      </c>
      <c r="P6044" s="1" t="s">
        <v>423</v>
      </c>
      <c r="Q6044" s="1">
        <v>0</v>
      </c>
      <c r="S6044" s="1">
        <v>0</v>
      </c>
      <c r="T6044" s="1">
        <v>0</v>
      </c>
      <c r="V6044" s="1">
        <f t="shared" si="102"/>
        <v>0</v>
      </c>
      <c r="W6044" s="1" t="s">
        <v>5</v>
      </c>
      <c r="X6044" s="64">
        <v>7.016</v>
      </c>
      <c r="Y6044" s="1">
        <v>1</v>
      </c>
      <c r="Z6044" s="49">
        <v>1</v>
      </c>
      <c r="AA6044" s="6">
        <v>0</v>
      </c>
    </row>
    <row r="6045" spans="1:27" x14ac:dyDescent="0.2">
      <c r="A6045" s="1">
        <v>28</v>
      </c>
      <c r="B6045" s="1" t="s">
        <v>90</v>
      </c>
      <c r="C6045" s="1" t="s">
        <v>91</v>
      </c>
      <c r="D6045" s="1">
        <v>1983</v>
      </c>
      <c r="E6045" s="14">
        <v>0</v>
      </c>
      <c r="G6045" s="1">
        <v>0</v>
      </c>
      <c r="H6045" s="1">
        <v>0</v>
      </c>
      <c r="I6045" s="1">
        <v>45.193399999</v>
      </c>
      <c r="M6045" s="1" t="s">
        <v>677</v>
      </c>
      <c r="N6045" s="1" t="s">
        <v>425</v>
      </c>
      <c r="O6045" s="1" t="s">
        <v>625</v>
      </c>
      <c r="P6045" s="1" t="s">
        <v>423</v>
      </c>
      <c r="Q6045" s="1">
        <v>0</v>
      </c>
      <c r="S6045" s="1">
        <v>0</v>
      </c>
      <c r="T6045" s="1">
        <v>0</v>
      </c>
      <c r="V6045" s="1">
        <f t="shared" si="102"/>
        <v>0</v>
      </c>
      <c r="W6045" s="1" t="s">
        <v>5</v>
      </c>
      <c r="X6045" s="64">
        <v>6.4029999999999996</v>
      </c>
      <c r="Y6045" s="1">
        <v>1</v>
      </c>
      <c r="Z6045" s="6">
        <v>0</v>
      </c>
      <c r="AA6045" s="6">
        <v>0</v>
      </c>
    </row>
    <row r="6046" spans="1:27" x14ac:dyDescent="0.2">
      <c r="A6046" s="1">
        <v>28</v>
      </c>
      <c r="B6046" s="1" t="s">
        <v>90</v>
      </c>
      <c r="C6046" s="1" t="s">
        <v>91</v>
      </c>
      <c r="D6046" s="1">
        <v>1984</v>
      </c>
      <c r="E6046" s="14">
        <v>0</v>
      </c>
      <c r="G6046" s="1">
        <v>0</v>
      </c>
      <c r="H6046" s="1">
        <v>0</v>
      </c>
      <c r="I6046" s="1">
        <v>51.198999999999998</v>
      </c>
      <c r="M6046" s="1" t="s">
        <v>677</v>
      </c>
      <c r="N6046" s="1" t="s">
        <v>425</v>
      </c>
      <c r="O6046" s="1" t="s">
        <v>625</v>
      </c>
      <c r="P6046" s="1" t="s">
        <v>423</v>
      </c>
      <c r="Q6046" s="1">
        <v>0</v>
      </c>
      <c r="S6046" s="1">
        <v>0</v>
      </c>
      <c r="T6046" s="1">
        <v>0</v>
      </c>
      <c r="V6046" s="1">
        <f t="shared" si="102"/>
        <v>0</v>
      </c>
      <c r="W6046" s="1" t="s">
        <v>5</v>
      </c>
      <c r="X6046" s="64">
        <v>8.6509999999999998</v>
      </c>
      <c r="Y6046" s="1">
        <v>1</v>
      </c>
      <c r="Z6046" s="6">
        <v>0</v>
      </c>
      <c r="AA6046" s="6">
        <v>0</v>
      </c>
    </row>
    <row r="6047" spans="1:27" x14ac:dyDescent="0.2">
      <c r="A6047" s="1">
        <v>28</v>
      </c>
      <c r="B6047" s="1" t="s">
        <v>90</v>
      </c>
      <c r="C6047" s="1" t="s">
        <v>91</v>
      </c>
      <c r="D6047" s="1">
        <v>1985</v>
      </c>
      <c r="E6047" s="14">
        <v>0</v>
      </c>
      <c r="G6047" s="1">
        <v>0</v>
      </c>
      <c r="H6047" s="1">
        <v>0</v>
      </c>
      <c r="I6047" s="1">
        <v>47.347000000000001</v>
      </c>
      <c r="M6047" s="1" t="s">
        <v>677</v>
      </c>
      <c r="N6047" s="1" t="s">
        <v>425</v>
      </c>
      <c r="O6047" s="1" t="s">
        <v>625</v>
      </c>
      <c r="P6047" s="1" t="s">
        <v>423</v>
      </c>
      <c r="Q6047" s="1">
        <v>0</v>
      </c>
      <c r="S6047" s="1">
        <v>0</v>
      </c>
      <c r="T6047" s="1">
        <v>0</v>
      </c>
      <c r="V6047" s="1">
        <f t="shared" si="102"/>
        <v>0</v>
      </c>
      <c r="W6047" s="1" t="s">
        <v>5</v>
      </c>
      <c r="X6047" s="64">
        <v>7.0069999999999997</v>
      </c>
      <c r="Y6047" s="1">
        <v>1</v>
      </c>
      <c r="Z6047" s="6">
        <v>0</v>
      </c>
      <c r="AA6047" s="6">
        <v>0</v>
      </c>
    </row>
    <row r="6048" spans="1:27" x14ac:dyDescent="0.2">
      <c r="A6048" s="1">
        <v>28</v>
      </c>
      <c r="B6048" s="1" t="s">
        <v>90</v>
      </c>
      <c r="C6048" s="1" t="s">
        <v>91</v>
      </c>
      <c r="D6048" s="1">
        <v>1986</v>
      </c>
      <c r="E6048" s="14">
        <v>0</v>
      </c>
      <c r="G6048" s="1">
        <v>0</v>
      </c>
      <c r="H6048" s="1">
        <v>0</v>
      </c>
      <c r="I6048" s="1">
        <v>45.926900000000003</v>
      </c>
      <c r="M6048" s="1" t="s">
        <v>677</v>
      </c>
      <c r="N6048" s="1" t="s">
        <v>425</v>
      </c>
      <c r="O6048" s="1" t="s">
        <v>625</v>
      </c>
      <c r="P6048" s="1" t="s">
        <v>423</v>
      </c>
      <c r="Q6048" s="1">
        <v>0</v>
      </c>
      <c r="S6048" s="1">
        <v>0</v>
      </c>
      <c r="T6048" s="1">
        <v>0</v>
      </c>
      <c r="V6048" s="1">
        <f t="shared" si="102"/>
        <v>0</v>
      </c>
      <c r="W6048" s="1" t="s">
        <v>5</v>
      </c>
      <c r="X6048" s="64">
        <v>5.2919999999999998</v>
      </c>
      <c r="Y6048" s="1">
        <v>1</v>
      </c>
      <c r="Z6048" s="6">
        <v>0</v>
      </c>
      <c r="AA6048" s="6">
        <v>0</v>
      </c>
    </row>
    <row r="6049" spans="1:27" x14ac:dyDescent="0.2">
      <c r="A6049" s="1">
        <v>28</v>
      </c>
      <c r="B6049" s="1" t="s">
        <v>90</v>
      </c>
      <c r="C6049" s="1" t="s">
        <v>91</v>
      </c>
      <c r="D6049" s="1">
        <v>1987</v>
      </c>
      <c r="E6049" s="14">
        <v>0</v>
      </c>
      <c r="G6049" s="1">
        <v>0</v>
      </c>
      <c r="H6049" s="1">
        <v>0</v>
      </c>
      <c r="I6049" s="1">
        <v>46.386899999999997</v>
      </c>
      <c r="M6049" s="1" t="s">
        <v>677</v>
      </c>
      <c r="N6049" s="1" t="s">
        <v>425</v>
      </c>
      <c r="O6049" s="1" t="s">
        <v>625</v>
      </c>
      <c r="P6049" s="1" t="s">
        <v>423</v>
      </c>
      <c r="Q6049" s="1">
        <v>0</v>
      </c>
      <c r="S6049" s="1">
        <v>0</v>
      </c>
      <c r="T6049" s="1">
        <v>0</v>
      </c>
      <c r="V6049" s="1">
        <f t="shared" si="102"/>
        <v>0</v>
      </c>
      <c r="W6049" s="1" t="s">
        <v>5</v>
      </c>
      <c r="X6049" s="64">
        <v>8.6820000000000004</v>
      </c>
      <c r="Y6049" s="1">
        <v>1</v>
      </c>
      <c r="Z6049" s="6">
        <v>0</v>
      </c>
      <c r="AA6049" s="6">
        <v>0</v>
      </c>
    </row>
    <row r="6050" spans="1:27" x14ac:dyDescent="0.2">
      <c r="A6050" s="1">
        <v>28</v>
      </c>
      <c r="B6050" s="1" t="s">
        <v>90</v>
      </c>
      <c r="C6050" s="1" t="s">
        <v>91</v>
      </c>
      <c r="D6050" s="1">
        <v>1988</v>
      </c>
      <c r="E6050" s="14">
        <v>0</v>
      </c>
      <c r="G6050" s="1">
        <v>0</v>
      </c>
      <c r="H6050" s="1">
        <v>0</v>
      </c>
      <c r="I6050" s="1">
        <v>52.536999999999999</v>
      </c>
      <c r="M6050" s="1" t="s">
        <v>677</v>
      </c>
      <c r="N6050" s="1" t="s">
        <v>425</v>
      </c>
      <c r="O6050" s="1" t="s">
        <v>625</v>
      </c>
      <c r="P6050" s="1" t="s">
        <v>423</v>
      </c>
      <c r="Q6050" s="1">
        <v>0</v>
      </c>
      <c r="S6050" s="1">
        <v>0</v>
      </c>
      <c r="T6050" s="1">
        <v>0</v>
      </c>
      <c r="V6050" s="1">
        <f t="shared" si="102"/>
        <v>0</v>
      </c>
      <c r="W6050" s="1" t="s">
        <v>5</v>
      </c>
      <c r="X6050" s="64">
        <v>15.788</v>
      </c>
      <c r="Y6050" s="1">
        <v>1</v>
      </c>
      <c r="Z6050" s="6">
        <v>0</v>
      </c>
      <c r="AA6050" s="6">
        <v>0</v>
      </c>
    </row>
    <row r="6051" spans="1:27" x14ac:dyDescent="0.2">
      <c r="A6051" s="1">
        <v>28</v>
      </c>
      <c r="B6051" s="1" t="s">
        <v>90</v>
      </c>
      <c r="C6051" s="1" t="s">
        <v>91</v>
      </c>
      <c r="D6051" s="1">
        <v>1989</v>
      </c>
      <c r="E6051" s="14">
        <v>0</v>
      </c>
      <c r="G6051" s="1">
        <v>0</v>
      </c>
      <c r="H6051" s="1">
        <v>0</v>
      </c>
      <c r="I6051" s="1">
        <v>62.543199999999999</v>
      </c>
      <c r="M6051" s="1" t="s">
        <v>677</v>
      </c>
      <c r="N6051" s="1" t="s">
        <v>425</v>
      </c>
      <c r="O6051" s="1" t="s">
        <v>625</v>
      </c>
      <c r="P6051" s="1" t="s">
        <v>423</v>
      </c>
      <c r="Q6051" s="1">
        <v>0</v>
      </c>
      <c r="S6051" s="1">
        <v>0</v>
      </c>
      <c r="T6051" s="1">
        <v>0</v>
      </c>
      <c r="V6051" s="1">
        <f t="shared" si="102"/>
        <v>0</v>
      </c>
      <c r="W6051" s="1" t="s">
        <v>5</v>
      </c>
      <c r="X6051" s="64">
        <v>16.95</v>
      </c>
      <c r="Y6051" s="1">
        <v>1</v>
      </c>
      <c r="Z6051" s="49">
        <v>1</v>
      </c>
      <c r="AA6051" s="6">
        <v>0</v>
      </c>
    </row>
    <row r="6052" spans="1:27" x14ac:dyDescent="0.2">
      <c r="A6052" s="1">
        <v>28</v>
      </c>
      <c r="B6052" s="1" t="s">
        <v>90</v>
      </c>
      <c r="C6052" s="1" t="s">
        <v>91</v>
      </c>
      <c r="D6052" s="1">
        <v>1990</v>
      </c>
      <c r="E6052" s="14">
        <v>0</v>
      </c>
      <c r="G6052" s="1">
        <v>0</v>
      </c>
      <c r="H6052" s="1">
        <v>0</v>
      </c>
      <c r="I6052" s="1">
        <v>61.449199999999998</v>
      </c>
      <c r="M6052" s="1" t="s">
        <v>677</v>
      </c>
      <c r="N6052" s="1" t="s">
        <v>425</v>
      </c>
      <c r="O6052" s="1" t="s">
        <v>625</v>
      </c>
      <c r="P6052" s="1" t="s">
        <v>423</v>
      </c>
      <c r="Q6052" s="1">
        <v>0</v>
      </c>
      <c r="S6052" s="1">
        <v>0</v>
      </c>
      <c r="T6052" s="1">
        <v>0</v>
      </c>
      <c r="V6052" s="1">
        <f t="shared" si="102"/>
        <v>0</v>
      </c>
      <c r="W6052" s="1" t="s">
        <v>5</v>
      </c>
      <c r="X6052" s="66">
        <v>28.97</v>
      </c>
      <c r="Y6052" s="1">
        <v>1</v>
      </c>
      <c r="Z6052" s="6">
        <v>0</v>
      </c>
      <c r="AA6052" s="55">
        <v>1</v>
      </c>
    </row>
    <row r="6053" spans="1:27" x14ac:dyDescent="0.2">
      <c r="A6053" s="1">
        <v>28</v>
      </c>
      <c r="B6053" s="1" t="s">
        <v>90</v>
      </c>
      <c r="C6053" s="1" t="s">
        <v>91</v>
      </c>
      <c r="D6053" s="1">
        <v>1991</v>
      </c>
      <c r="E6053" s="13">
        <v>1</v>
      </c>
      <c r="F6053" s="1" t="s">
        <v>254</v>
      </c>
      <c r="G6053" s="1">
        <v>1</v>
      </c>
      <c r="H6053" s="1">
        <v>0</v>
      </c>
      <c r="I6053" s="1">
        <v>75.62</v>
      </c>
      <c r="M6053" s="1" t="s">
        <v>677</v>
      </c>
      <c r="N6053" s="1" t="s">
        <v>425</v>
      </c>
      <c r="O6053" s="1" t="s">
        <v>625</v>
      </c>
      <c r="P6053" s="1" t="s">
        <v>423</v>
      </c>
      <c r="Q6053" s="1">
        <v>0</v>
      </c>
      <c r="S6053" s="1">
        <v>0</v>
      </c>
      <c r="T6053" s="1">
        <v>0</v>
      </c>
      <c r="V6053" s="1">
        <f t="shared" si="102"/>
        <v>0</v>
      </c>
      <c r="W6053" s="1" t="s">
        <v>5</v>
      </c>
      <c r="X6053" s="66">
        <v>34.234000000000002</v>
      </c>
      <c r="Y6053" s="1">
        <v>1</v>
      </c>
      <c r="Z6053" s="49">
        <v>1</v>
      </c>
      <c r="AA6053" s="55">
        <v>1</v>
      </c>
    </row>
    <row r="6054" spans="1:27" x14ac:dyDescent="0.2">
      <c r="A6054" s="1">
        <v>28</v>
      </c>
      <c r="B6054" s="1" t="s">
        <v>90</v>
      </c>
      <c r="C6054" s="1" t="s">
        <v>91</v>
      </c>
      <c r="D6054" s="1">
        <v>1992</v>
      </c>
      <c r="E6054" s="13">
        <v>1</v>
      </c>
      <c r="F6054" s="1" t="s">
        <v>254</v>
      </c>
      <c r="G6054" s="1">
        <v>1</v>
      </c>
      <c r="H6054" s="1">
        <v>0</v>
      </c>
      <c r="I6054" s="1">
        <v>83.97</v>
      </c>
      <c r="M6054" s="1" t="s">
        <v>677</v>
      </c>
      <c r="N6054" s="1" t="s">
        <v>425</v>
      </c>
      <c r="O6054" s="1" t="s">
        <v>625</v>
      </c>
      <c r="P6054" s="1" t="s">
        <v>423</v>
      </c>
      <c r="Q6054" s="1">
        <v>0</v>
      </c>
      <c r="S6054" s="1">
        <v>0</v>
      </c>
      <c r="T6054" s="1">
        <v>0</v>
      </c>
      <c r="V6054" s="1">
        <f t="shared" ref="V6054:V6078" si="103">0.6*S6054</f>
        <v>0</v>
      </c>
      <c r="W6054" s="1" t="s">
        <v>5</v>
      </c>
      <c r="X6054" s="66">
        <v>22.95</v>
      </c>
      <c r="Y6054" s="1">
        <v>1</v>
      </c>
      <c r="Z6054" s="6">
        <v>0</v>
      </c>
      <c r="AA6054" s="55">
        <v>1</v>
      </c>
    </row>
    <row r="6055" spans="1:27" x14ac:dyDescent="0.2">
      <c r="A6055" s="1">
        <v>28</v>
      </c>
      <c r="B6055" s="1" t="s">
        <v>90</v>
      </c>
      <c r="C6055" s="1" t="s">
        <v>91</v>
      </c>
      <c r="D6055" s="1">
        <v>1993</v>
      </c>
      <c r="E6055" s="13">
        <v>1</v>
      </c>
      <c r="F6055" s="1" t="s">
        <v>254</v>
      </c>
      <c r="G6055" s="1">
        <v>1</v>
      </c>
      <c r="H6055" s="1">
        <v>0</v>
      </c>
      <c r="I6055" s="1">
        <v>100.7</v>
      </c>
      <c r="M6055" s="1" t="s">
        <v>677</v>
      </c>
      <c r="N6055" s="1" t="s">
        <v>425</v>
      </c>
      <c r="O6055" s="1" t="s">
        <v>625</v>
      </c>
      <c r="P6055" s="1" t="s">
        <v>423</v>
      </c>
      <c r="Q6055" s="1">
        <v>0</v>
      </c>
      <c r="S6055" s="1">
        <v>0</v>
      </c>
      <c r="T6055" s="1">
        <v>0</v>
      </c>
      <c r="V6055" s="1">
        <f t="shared" si="103"/>
        <v>0</v>
      </c>
      <c r="W6055" s="1" t="s">
        <v>5</v>
      </c>
      <c r="X6055" s="66">
        <v>22.451000000000001</v>
      </c>
      <c r="Y6055" s="1">
        <v>1</v>
      </c>
      <c r="Z6055" s="49">
        <v>1</v>
      </c>
      <c r="AA6055" s="55">
        <v>1</v>
      </c>
    </row>
    <row r="6056" spans="1:27" x14ac:dyDescent="0.2">
      <c r="A6056" s="1">
        <v>28</v>
      </c>
      <c r="B6056" s="1" t="s">
        <v>90</v>
      </c>
      <c r="C6056" s="1" t="s">
        <v>91</v>
      </c>
      <c r="D6056" s="1">
        <v>1994</v>
      </c>
      <c r="E6056" s="13">
        <v>1</v>
      </c>
      <c r="F6056" s="1" t="s">
        <v>254</v>
      </c>
      <c r="G6056" s="1">
        <v>1</v>
      </c>
      <c r="H6056" s="1">
        <v>0</v>
      </c>
      <c r="I6056" s="1">
        <v>110.69</v>
      </c>
      <c r="M6056" s="1" t="s">
        <v>677</v>
      </c>
      <c r="N6056" s="1" t="s">
        <v>425</v>
      </c>
      <c r="O6056" s="1" t="s">
        <v>625</v>
      </c>
      <c r="P6056" s="1" t="s">
        <v>423</v>
      </c>
      <c r="Q6056" s="1">
        <v>0</v>
      </c>
      <c r="S6056" s="1">
        <v>0</v>
      </c>
      <c r="T6056" s="1">
        <v>0</v>
      </c>
      <c r="V6056" s="1">
        <f t="shared" si="103"/>
        <v>0</v>
      </c>
      <c r="W6056" s="1" t="s">
        <v>5</v>
      </c>
      <c r="X6056" s="64">
        <v>18.866</v>
      </c>
      <c r="Y6056" s="1">
        <v>1</v>
      </c>
      <c r="Z6056" s="6">
        <v>0</v>
      </c>
      <c r="AA6056" s="6">
        <v>0</v>
      </c>
    </row>
    <row r="6057" spans="1:27" x14ac:dyDescent="0.2">
      <c r="A6057" s="1">
        <v>28</v>
      </c>
      <c r="B6057" s="1" t="s">
        <v>90</v>
      </c>
      <c r="C6057" s="1" t="s">
        <v>91</v>
      </c>
      <c r="D6057" s="1">
        <v>1995</v>
      </c>
      <c r="E6057" s="13">
        <v>1</v>
      </c>
      <c r="F6057" s="1" t="s">
        <v>254</v>
      </c>
      <c r="G6057" s="1">
        <v>1</v>
      </c>
      <c r="H6057" s="1">
        <v>0</v>
      </c>
      <c r="I6057" s="1">
        <v>139.47</v>
      </c>
      <c r="M6057" s="1" t="s">
        <v>677</v>
      </c>
      <c r="N6057" s="1" t="s">
        <v>425</v>
      </c>
      <c r="O6057" s="1" t="s">
        <v>625</v>
      </c>
      <c r="P6057" s="1" t="s">
        <v>423</v>
      </c>
      <c r="Q6057" s="1">
        <v>0</v>
      </c>
      <c r="S6057" s="1">
        <v>0</v>
      </c>
      <c r="T6057" s="1">
        <v>0</v>
      </c>
      <c r="V6057" s="1">
        <f t="shared" si="103"/>
        <v>0</v>
      </c>
      <c r="W6057" s="1">
        <v>0</v>
      </c>
      <c r="X6057" s="66">
        <v>28.303000000000001</v>
      </c>
      <c r="Y6057" s="1">
        <v>1</v>
      </c>
      <c r="Z6057" s="49">
        <v>1</v>
      </c>
      <c r="AA6057" s="55">
        <v>1</v>
      </c>
    </row>
    <row r="6058" spans="1:27" x14ac:dyDescent="0.2">
      <c r="A6058" s="1">
        <v>28</v>
      </c>
      <c r="B6058" s="1" t="s">
        <v>90</v>
      </c>
      <c r="C6058" s="1" t="s">
        <v>91</v>
      </c>
      <c r="D6058" s="1">
        <v>1996</v>
      </c>
      <c r="E6058" s="14">
        <v>0</v>
      </c>
      <c r="G6058" s="1">
        <v>0</v>
      </c>
      <c r="H6058" s="1">
        <v>0</v>
      </c>
      <c r="I6058" s="1">
        <v>164.93</v>
      </c>
      <c r="M6058" s="1" t="s">
        <v>677</v>
      </c>
      <c r="N6058" s="1" t="s">
        <v>425</v>
      </c>
      <c r="O6058" s="1" t="s">
        <v>625</v>
      </c>
      <c r="P6058" s="1" t="s">
        <v>423</v>
      </c>
      <c r="Q6058" s="1">
        <v>0</v>
      </c>
      <c r="S6058" s="1">
        <v>0</v>
      </c>
      <c r="T6058" s="1">
        <v>0</v>
      </c>
      <c r="V6058" s="1">
        <f t="shared" si="103"/>
        <v>0</v>
      </c>
      <c r="W6058" s="1">
        <v>0</v>
      </c>
      <c r="X6058" s="66">
        <v>23.428000000000001</v>
      </c>
      <c r="Y6058" s="1">
        <v>1</v>
      </c>
      <c r="Z6058" s="49">
        <v>1</v>
      </c>
      <c r="AA6058" s="55">
        <v>1</v>
      </c>
    </row>
    <row r="6059" spans="1:27" x14ac:dyDescent="0.2">
      <c r="A6059" s="1">
        <v>28</v>
      </c>
      <c r="B6059" s="1" t="s">
        <v>90</v>
      </c>
      <c r="C6059" s="1" t="s">
        <v>91</v>
      </c>
      <c r="D6059" s="1">
        <v>1997</v>
      </c>
      <c r="E6059" s="14">
        <v>0</v>
      </c>
      <c r="G6059" s="1">
        <v>0</v>
      </c>
      <c r="H6059" s="1">
        <v>0</v>
      </c>
      <c r="I6059" s="1">
        <v>203.5</v>
      </c>
      <c r="M6059" s="1" t="s">
        <v>677</v>
      </c>
      <c r="N6059" s="1" t="s">
        <v>425</v>
      </c>
      <c r="O6059" s="1" t="s">
        <v>625</v>
      </c>
      <c r="P6059" s="1" t="s">
        <v>423</v>
      </c>
      <c r="Q6059" s="1">
        <v>0</v>
      </c>
      <c r="S6059" s="1">
        <v>0</v>
      </c>
      <c r="T6059" s="1">
        <v>0</v>
      </c>
      <c r="V6059" s="1">
        <f t="shared" si="103"/>
        <v>0</v>
      </c>
      <c r="W6059" s="1">
        <v>0</v>
      </c>
      <c r="X6059" s="64">
        <v>18.314</v>
      </c>
      <c r="Y6059" s="1">
        <v>1</v>
      </c>
      <c r="Z6059" s="49">
        <v>1</v>
      </c>
      <c r="AA6059" s="6">
        <v>0</v>
      </c>
    </row>
    <row r="6060" spans="1:27" x14ac:dyDescent="0.2">
      <c r="A6060" s="1">
        <v>28</v>
      </c>
      <c r="B6060" s="1" t="s">
        <v>90</v>
      </c>
      <c r="C6060" s="1" t="s">
        <v>91</v>
      </c>
      <c r="D6060" s="1">
        <v>1998</v>
      </c>
      <c r="E6060" s="14">
        <v>0</v>
      </c>
      <c r="G6060" s="1">
        <v>0</v>
      </c>
      <c r="H6060" s="1">
        <v>0</v>
      </c>
      <c r="I6060" s="1">
        <v>219.03</v>
      </c>
      <c r="M6060" s="1" t="s">
        <v>677</v>
      </c>
      <c r="N6060" s="1" t="s">
        <v>425</v>
      </c>
      <c r="O6060" s="1" t="s">
        <v>625</v>
      </c>
      <c r="P6060" s="1" t="s">
        <v>423</v>
      </c>
      <c r="Q6060" s="1">
        <v>0</v>
      </c>
      <c r="S6060" s="1">
        <v>0</v>
      </c>
      <c r="T6060" s="1">
        <v>0</v>
      </c>
      <c r="V6060" s="1">
        <f t="shared" si="103"/>
        <v>0</v>
      </c>
      <c r="W6060" s="1">
        <v>1</v>
      </c>
      <c r="X6060" s="64">
        <v>14.175000000000001</v>
      </c>
      <c r="Y6060" s="1">
        <v>1</v>
      </c>
      <c r="Z6060" s="6">
        <v>0</v>
      </c>
      <c r="AA6060" s="6">
        <v>0</v>
      </c>
    </row>
    <row r="6061" spans="1:27" x14ac:dyDescent="0.2">
      <c r="A6061" s="1">
        <v>28</v>
      </c>
      <c r="B6061" s="1" t="s">
        <v>90</v>
      </c>
      <c r="C6061" s="1" t="s">
        <v>91</v>
      </c>
      <c r="D6061" s="1">
        <v>1999</v>
      </c>
      <c r="E6061" s="14">
        <v>0</v>
      </c>
      <c r="G6061" s="1">
        <v>0</v>
      </c>
      <c r="H6061" s="1">
        <v>0</v>
      </c>
      <c r="I6061" s="1">
        <v>252.52</v>
      </c>
      <c r="M6061" s="1" t="s">
        <v>677</v>
      </c>
      <c r="N6061" s="1" t="s">
        <v>425</v>
      </c>
      <c r="O6061" s="1" t="s">
        <v>625</v>
      </c>
      <c r="P6061" s="1" t="s">
        <v>423</v>
      </c>
      <c r="Q6061" s="1">
        <v>0</v>
      </c>
      <c r="S6061" s="1">
        <v>0</v>
      </c>
      <c r="T6061" s="1">
        <v>0</v>
      </c>
      <c r="V6061" s="1">
        <f t="shared" si="103"/>
        <v>0</v>
      </c>
      <c r="W6061" s="1">
        <v>0</v>
      </c>
      <c r="X6061" s="64">
        <v>10.031000000000001</v>
      </c>
      <c r="Y6061" s="1">
        <v>1</v>
      </c>
      <c r="Z6061" s="49">
        <v>1</v>
      </c>
      <c r="AA6061" s="6">
        <v>0</v>
      </c>
    </row>
    <row r="6062" spans="1:27" x14ac:dyDescent="0.2">
      <c r="A6062" s="1">
        <v>28</v>
      </c>
      <c r="B6062" s="1" t="s">
        <v>90</v>
      </c>
      <c r="C6062" s="1" t="s">
        <v>91</v>
      </c>
      <c r="D6062" s="1">
        <v>2000</v>
      </c>
      <c r="E6062" s="14">
        <v>0</v>
      </c>
      <c r="G6062" s="1">
        <v>0</v>
      </c>
      <c r="H6062" s="1">
        <v>0</v>
      </c>
      <c r="I6062" s="1">
        <v>284.73</v>
      </c>
      <c r="M6062" s="1" t="s">
        <v>677</v>
      </c>
      <c r="N6062" s="1" t="s">
        <v>425</v>
      </c>
      <c r="O6062" s="1" t="s">
        <v>625</v>
      </c>
      <c r="P6062" s="1" t="s">
        <v>423</v>
      </c>
      <c r="Q6062" s="1">
        <v>0</v>
      </c>
      <c r="S6062" s="1">
        <v>0</v>
      </c>
      <c r="T6062" s="1">
        <v>0</v>
      </c>
      <c r="V6062" s="1">
        <f t="shared" si="103"/>
        <v>0</v>
      </c>
      <c r="W6062" s="1">
        <v>1</v>
      </c>
      <c r="X6062" s="64">
        <v>9.7810000000000006</v>
      </c>
      <c r="Y6062" s="1">
        <v>1</v>
      </c>
      <c r="Z6062" s="6">
        <v>0</v>
      </c>
      <c r="AA6062" s="6">
        <v>0</v>
      </c>
    </row>
    <row r="6063" spans="1:27" x14ac:dyDescent="0.2">
      <c r="A6063" s="1">
        <v>28</v>
      </c>
      <c r="B6063" s="1" t="s">
        <v>90</v>
      </c>
      <c r="C6063" s="1" t="s">
        <v>91</v>
      </c>
      <c r="D6063" s="1">
        <v>2001</v>
      </c>
      <c r="E6063" s="14">
        <v>0</v>
      </c>
      <c r="G6063" s="1">
        <v>0</v>
      </c>
      <c r="H6063" s="1">
        <v>0</v>
      </c>
      <c r="I6063" s="1">
        <v>279.02999999999997</v>
      </c>
      <c r="M6063" s="1" t="s">
        <v>677</v>
      </c>
      <c r="N6063" s="1" t="s">
        <v>425</v>
      </c>
      <c r="O6063" s="1" t="s">
        <v>625</v>
      </c>
      <c r="P6063" s="1" t="s">
        <v>423</v>
      </c>
      <c r="Q6063" s="1">
        <v>0</v>
      </c>
      <c r="S6063" s="1">
        <v>0</v>
      </c>
      <c r="T6063" s="1">
        <v>0</v>
      </c>
      <c r="V6063" s="1">
        <f t="shared" si="103"/>
        <v>0</v>
      </c>
      <c r="W6063" s="1">
        <v>0</v>
      </c>
      <c r="X6063" s="64">
        <v>9.1560000000000006</v>
      </c>
      <c r="Y6063" s="1">
        <v>1</v>
      </c>
      <c r="Z6063" s="6">
        <v>0</v>
      </c>
      <c r="AA6063" s="6">
        <v>0</v>
      </c>
    </row>
    <row r="6064" spans="1:27" x14ac:dyDescent="0.2">
      <c r="A6064" s="1">
        <v>28</v>
      </c>
      <c r="B6064" s="1" t="s">
        <v>90</v>
      </c>
      <c r="C6064" s="1" t="s">
        <v>91</v>
      </c>
      <c r="D6064" s="1">
        <v>2002</v>
      </c>
      <c r="E6064" s="14">
        <v>0</v>
      </c>
      <c r="G6064" s="1">
        <v>0</v>
      </c>
      <c r="H6064" s="1">
        <v>0</v>
      </c>
      <c r="I6064" s="1">
        <v>225.16</v>
      </c>
      <c r="M6064" s="1" t="s">
        <v>677</v>
      </c>
      <c r="N6064" s="1" t="s">
        <v>425</v>
      </c>
      <c r="O6064" s="1" t="s">
        <v>625</v>
      </c>
      <c r="P6064" s="1" t="s">
        <v>423</v>
      </c>
      <c r="Q6064" s="1">
        <v>0</v>
      </c>
      <c r="S6064" s="1">
        <v>0</v>
      </c>
      <c r="T6064" s="1">
        <v>0</v>
      </c>
      <c r="V6064" s="1">
        <f t="shared" si="103"/>
        <v>0</v>
      </c>
      <c r="W6064" s="1">
        <v>0</v>
      </c>
      <c r="X6064" s="64">
        <v>5.2619999999999996</v>
      </c>
      <c r="Y6064" s="1">
        <v>1</v>
      </c>
      <c r="Z6064" s="6">
        <v>0</v>
      </c>
      <c r="AA6064" s="6">
        <v>0</v>
      </c>
    </row>
    <row r="6065" spans="1:27" x14ac:dyDescent="0.2">
      <c r="A6065" s="1">
        <v>28</v>
      </c>
      <c r="B6065" s="1" t="s">
        <v>90</v>
      </c>
      <c r="C6065" s="1" t="s">
        <v>91</v>
      </c>
      <c r="D6065" s="1">
        <v>2003</v>
      </c>
      <c r="E6065" s="14">
        <v>0</v>
      </c>
      <c r="G6065" s="1">
        <v>0</v>
      </c>
      <c r="H6065" s="1">
        <v>0</v>
      </c>
      <c r="I6065" s="1">
        <v>207.92</v>
      </c>
      <c r="M6065" s="1" t="s">
        <v>677</v>
      </c>
      <c r="N6065" s="1" t="s">
        <v>425</v>
      </c>
      <c r="O6065" s="1" t="s">
        <v>625</v>
      </c>
      <c r="P6065" s="1" t="s">
        <v>423</v>
      </c>
      <c r="Q6065" s="1">
        <v>0</v>
      </c>
      <c r="S6065" s="1">
        <v>0</v>
      </c>
      <c r="T6065" s="1">
        <v>0</v>
      </c>
      <c r="V6065" s="1">
        <f t="shared" si="103"/>
        <v>0</v>
      </c>
      <c r="W6065" s="1">
        <v>0</v>
      </c>
      <c r="X6065" s="64">
        <v>4.6479999999999997</v>
      </c>
      <c r="Y6065" s="1">
        <v>1</v>
      </c>
      <c r="Z6065" s="6">
        <v>0</v>
      </c>
      <c r="AA6065" s="6">
        <v>0</v>
      </c>
    </row>
    <row r="6066" spans="1:27" x14ac:dyDescent="0.2">
      <c r="A6066" s="1">
        <v>28</v>
      </c>
      <c r="B6066" s="1" t="s">
        <v>90</v>
      </c>
      <c r="C6066" s="1" t="s">
        <v>91</v>
      </c>
      <c r="D6066" s="1">
        <v>2004</v>
      </c>
      <c r="E6066" s="14">
        <v>0</v>
      </c>
      <c r="G6066" s="1">
        <v>0</v>
      </c>
      <c r="H6066" s="1">
        <v>0</v>
      </c>
      <c r="I6066" s="1">
        <v>180.29</v>
      </c>
      <c r="M6066" s="1" t="s">
        <v>677</v>
      </c>
      <c r="N6066" s="1" t="s">
        <v>425</v>
      </c>
      <c r="O6066" s="1" t="s">
        <v>625</v>
      </c>
      <c r="P6066" s="1" t="s">
        <v>423</v>
      </c>
      <c r="Q6066" s="1">
        <v>0</v>
      </c>
      <c r="S6066" s="1">
        <v>0</v>
      </c>
      <c r="T6066" s="1">
        <v>0</v>
      </c>
      <c r="V6066" s="1">
        <f t="shared" si="103"/>
        <v>0</v>
      </c>
      <c r="W6066" s="1">
        <v>0</v>
      </c>
      <c r="X6066" s="64">
        <v>6.78</v>
      </c>
      <c r="Y6066" s="1">
        <v>1</v>
      </c>
      <c r="Z6066" s="6">
        <v>0</v>
      </c>
      <c r="AA6066" s="6">
        <v>0</v>
      </c>
    </row>
    <row r="6067" spans="1:27" x14ac:dyDescent="0.2">
      <c r="A6067" s="1">
        <v>28</v>
      </c>
      <c r="B6067" s="1" t="s">
        <v>90</v>
      </c>
      <c r="C6067" s="1" t="s">
        <v>91</v>
      </c>
      <c r="D6067" s="1">
        <v>2005</v>
      </c>
      <c r="E6067" s="14">
        <v>0</v>
      </c>
      <c r="G6067" s="1">
        <v>0</v>
      </c>
      <c r="H6067" s="1">
        <v>0</v>
      </c>
      <c r="I6067" s="1">
        <v>213.58</v>
      </c>
      <c r="M6067" s="1" t="s">
        <v>677</v>
      </c>
      <c r="N6067" s="1" t="s">
        <v>425</v>
      </c>
      <c r="O6067" s="1" t="s">
        <v>625</v>
      </c>
      <c r="P6067" s="1" t="s">
        <v>423</v>
      </c>
      <c r="Q6067" s="1">
        <v>0</v>
      </c>
      <c r="S6067" s="1">
        <v>0</v>
      </c>
      <c r="T6067" s="1">
        <v>0</v>
      </c>
      <c r="V6067" s="1">
        <f t="shared" si="103"/>
        <v>0</v>
      </c>
      <c r="W6067" s="1">
        <v>0</v>
      </c>
      <c r="X6067" s="64">
        <v>3.5510000000000002</v>
      </c>
      <c r="Y6067" s="1">
        <v>1</v>
      </c>
      <c r="Z6067" s="6">
        <v>0</v>
      </c>
      <c r="AA6067" s="6">
        <v>0</v>
      </c>
    </row>
    <row r="6068" spans="1:27" x14ac:dyDescent="0.2">
      <c r="A6068" s="1">
        <v>28</v>
      </c>
      <c r="B6068" s="1" t="s">
        <v>90</v>
      </c>
      <c r="C6068" s="1" t="s">
        <v>91</v>
      </c>
      <c r="D6068" s="1">
        <v>2006</v>
      </c>
      <c r="E6068" s="11">
        <v>0</v>
      </c>
      <c r="G6068" s="1">
        <v>0</v>
      </c>
      <c r="H6068" s="1">
        <v>0</v>
      </c>
      <c r="I6068" s="1">
        <v>191.62</v>
      </c>
      <c r="M6068" s="1" t="s">
        <v>677</v>
      </c>
      <c r="N6068" s="1" t="s">
        <v>425</v>
      </c>
      <c r="O6068" s="1" t="s">
        <v>625</v>
      </c>
      <c r="P6068" s="1" t="s">
        <v>423</v>
      </c>
      <c r="Q6068" s="1">
        <v>0</v>
      </c>
      <c r="S6068" s="1">
        <v>0</v>
      </c>
      <c r="T6068" s="1">
        <v>0</v>
      </c>
      <c r="V6068" s="1">
        <f t="shared" si="103"/>
        <v>0</v>
      </c>
      <c r="W6068" s="1">
        <v>0</v>
      </c>
      <c r="X6068" s="29">
        <v>3.8780000000000001</v>
      </c>
      <c r="Y6068" s="1">
        <v>1</v>
      </c>
      <c r="Z6068" s="6">
        <v>0</v>
      </c>
      <c r="AA6068" s="6">
        <v>0</v>
      </c>
    </row>
    <row r="6069" spans="1:27" x14ac:dyDescent="0.2">
      <c r="A6069" s="1">
        <v>28</v>
      </c>
      <c r="B6069" s="1" t="s">
        <v>90</v>
      </c>
      <c r="C6069" s="1" t="s">
        <v>91</v>
      </c>
      <c r="D6069" s="1">
        <v>2007</v>
      </c>
      <c r="E6069" s="11">
        <v>0</v>
      </c>
      <c r="G6069" s="1">
        <v>0</v>
      </c>
      <c r="H6069" s="1">
        <v>0</v>
      </c>
      <c r="I6069" s="1">
        <v>172.61</v>
      </c>
      <c r="M6069" s="1" t="s">
        <v>677</v>
      </c>
      <c r="N6069" s="1" t="s">
        <v>425</v>
      </c>
      <c r="O6069" s="1" t="s">
        <v>625</v>
      </c>
      <c r="P6069" s="1" t="s">
        <v>423</v>
      </c>
      <c r="Q6069" s="1">
        <v>0</v>
      </c>
      <c r="S6069" s="1">
        <v>0</v>
      </c>
      <c r="T6069" s="1">
        <v>0</v>
      </c>
      <c r="V6069" s="1">
        <f t="shared" si="103"/>
        <v>0</v>
      </c>
      <c r="W6069" s="1">
        <v>0</v>
      </c>
      <c r="X6069" s="29">
        <v>7.9349999999999996</v>
      </c>
      <c r="Y6069" s="1">
        <v>1</v>
      </c>
      <c r="Z6069" s="6">
        <v>0</v>
      </c>
      <c r="AA6069" s="6">
        <v>0</v>
      </c>
    </row>
    <row r="6070" spans="1:27" x14ac:dyDescent="0.2">
      <c r="A6070" s="1">
        <v>28</v>
      </c>
      <c r="B6070" s="1" t="s">
        <v>90</v>
      </c>
      <c r="C6070" s="1" t="s">
        <v>91</v>
      </c>
      <c r="D6070" s="1">
        <v>2008</v>
      </c>
      <c r="E6070" s="13">
        <v>1</v>
      </c>
      <c r="G6070" s="1">
        <v>1</v>
      </c>
      <c r="H6070" s="1">
        <v>0</v>
      </c>
      <c r="I6070" s="1">
        <v>187.91</v>
      </c>
      <c r="M6070" s="1" t="s">
        <v>677</v>
      </c>
      <c r="N6070" s="1" t="s">
        <v>425</v>
      </c>
      <c r="O6070" s="1" t="s">
        <v>625</v>
      </c>
      <c r="P6070" s="1" t="s">
        <v>423</v>
      </c>
      <c r="Q6070" s="1">
        <v>0</v>
      </c>
      <c r="S6070" s="1">
        <v>0</v>
      </c>
      <c r="T6070" s="1">
        <v>0</v>
      </c>
      <c r="V6070" s="1">
        <f t="shared" si="103"/>
        <v>0</v>
      </c>
      <c r="W6070" s="1">
        <v>1</v>
      </c>
      <c r="X6070" s="29">
        <v>6.0659999999999998</v>
      </c>
      <c r="Y6070" s="1">
        <v>1</v>
      </c>
      <c r="Z6070" s="6">
        <v>0</v>
      </c>
      <c r="AA6070" s="6">
        <v>0</v>
      </c>
    </row>
    <row r="6071" spans="1:27" x14ac:dyDescent="0.2">
      <c r="A6071" s="1">
        <v>28</v>
      </c>
      <c r="B6071" s="1" t="s">
        <v>90</v>
      </c>
      <c r="C6071" s="1" t="s">
        <v>91</v>
      </c>
      <c r="D6071" s="1">
        <v>2009</v>
      </c>
      <c r="E6071" s="13">
        <v>1</v>
      </c>
      <c r="G6071" s="1">
        <v>1</v>
      </c>
      <c r="H6071" s="1">
        <v>0</v>
      </c>
      <c r="I6071" s="1">
        <v>188.07</v>
      </c>
      <c r="M6071" s="1" t="s">
        <v>677</v>
      </c>
      <c r="N6071" s="1" t="s">
        <v>425</v>
      </c>
      <c r="O6071" s="1" t="s">
        <v>625</v>
      </c>
      <c r="P6071" s="1" t="s">
        <v>423</v>
      </c>
      <c r="Q6071" s="1">
        <v>0</v>
      </c>
      <c r="S6071" s="1">
        <v>0</v>
      </c>
      <c r="T6071" s="1">
        <v>0</v>
      </c>
      <c r="V6071" s="1">
        <f t="shared" si="103"/>
        <v>0</v>
      </c>
      <c r="W6071" s="1">
        <v>0</v>
      </c>
      <c r="X6071" s="29">
        <v>4.2089999999999996</v>
      </c>
      <c r="Y6071" s="1">
        <v>1</v>
      </c>
      <c r="Z6071" s="6">
        <v>0</v>
      </c>
      <c r="AA6071" s="6">
        <v>0</v>
      </c>
    </row>
    <row r="6072" spans="1:27" x14ac:dyDescent="0.2">
      <c r="A6072" s="1">
        <v>28</v>
      </c>
      <c r="B6072" s="1" t="s">
        <v>90</v>
      </c>
      <c r="C6072" s="1" t="s">
        <v>91</v>
      </c>
      <c r="D6072" s="1">
        <v>2010</v>
      </c>
      <c r="E6072" s="13">
        <v>1</v>
      </c>
      <c r="G6072" s="1">
        <v>1</v>
      </c>
      <c r="H6072" s="1">
        <v>0</v>
      </c>
      <c r="I6072" s="1">
        <v>208.65</v>
      </c>
      <c r="M6072" s="1" t="s">
        <v>677</v>
      </c>
      <c r="N6072" s="1" t="s">
        <v>425</v>
      </c>
      <c r="O6072" s="1" t="s">
        <v>625</v>
      </c>
      <c r="P6072" s="1" t="s">
        <v>423</v>
      </c>
      <c r="Q6072" s="1">
        <v>0</v>
      </c>
      <c r="S6072" s="1">
        <v>0</v>
      </c>
      <c r="T6072" s="1">
        <v>0</v>
      </c>
      <c r="V6072" s="1">
        <f t="shared" si="103"/>
        <v>0</v>
      </c>
      <c r="W6072" s="1">
        <v>0</v>
      </c>
      <c r="X6072" s="29">
        <v>4.8810000000000002</v>
      </c>
      <c r="Y6072" s="1">
        <v>1</v>
      </c>
      <c r="Z6072" s="6">
        <v>0</v>
      </c>
      <c r="AA6072" s="6">
        <v>0</v>
      </c>
    </row>
    <row r="6073" spans="1:27" x14ac:dyDescent="0.2">
      <c r="A6073" s="1">
        <v>28</v>
      </c>
      <c r="B6073" s="1" t="s">
        <v>90</v>
      </c>
      <c r="C6073" s="1" t="s">
        <v>91</v>
      </c>
      <c r="D6073" s="1">
        <v>2011</v>
      </c>
      <c r="E6073" s="13">
        <v>1</v>
      </c>
      <c r="G6073" s="1">
        <v>1</v>
      </c>
      <c r="H6073" s="1">
        <v>0</v>
      </c>
      <c r="I6073" s="1">
        <v>240.68</v>
      </c>
      <c r="M6073" s="1" t="s">
        <v>677</v>
      </c>
      <c r="N6073" s="1" t="s">
        <v>425</v>
      </c>
      <c r="O6073" s="1" t="s">
        <v>625</v>
      </c>
      <c r="P6073" s="1" t="s">
        <v>423</v>
      </c>
      <c r="Q6073" s="1">
        <v>0</v>
      </c>
      <c r="S6073" s="1">
        <v>0</v>
      </c>
      <c r="T6073" s="1">
        <v>0</v>
      </c>
      <c r="V6073" s="1">
        <f t="shared" si="103"/>
        <v>0</v>
      </c>
      <c r="W6073" s="1">
        <v>1</v>
      </c>
      <c r="X6073" s="29">
        <v>3.9569999999999999</v>
      </c>
      <c r="Y6073" s="1">
        <v>1</v>
      </c>
      <c r="Z6073" s="49">
        <v>1</v>
      </c>
      <c r="AA6073" s="6">
        <v>0</v>
      </c>
    </row>
    <row r="6074" spans="1:27" ht="12.95" customHeight="1" x14ac:dyDescent="0.25">
      <c r="A6074" s="1">
        <v>28</v>
      </c>
      <c r="B6074" s="1" t="s">
        <v>90</v>
      </c>
      <c r="C6074" s="1" t="s">
        <v>91</v>
      </c>
      <c r="D6074" s="1">
        <v>2012</v>
      </c>
      <c r="E6074" s="13">
        <v>1</v>
      </c>
      <c r="G6074" s="1">
        <v>1</v>
      </c>
      <c r="H6074" s="1">
        <v>0</v>
      </c>
      <c r="I6074" s="1">
        <v>220.93</v>
      </c>
      <c r="M6074" s="1" t="s">
        <v>677</v>
      </c>
      <c r="N6074" s="1" t="s">
        <v>425</v>
      </c>
      <c r="O6074" s="1" t="s">
        <v>625</v>
      </c>
      <c r="P6074" s="1" t="s">
        <v>423</v>
      </c>
      <c r="Q6074" s="1">
        <v>0</v>
      </c>
      <c r="S6074" s="1">
        <v>0</v>
      </c>
      <c r="T6074" s="1">
        <v>0</v>
      </c>
      <c r="V6074" s="1">
        <f t="shared" si="103"/>
        <v>0</v>
      </c>
      <c r="W6074" s="1">
        <v>0</v>
      </c>
      <c r="X6074" s="42">
        <v>5.7060000000000004</v>
      </c>
      <c r="Y6074" s="1">
        <v>1</v>
      </c>
      <c r="Z6074" s="6">
        <v>0</v>
      </c>
      <c r="AA6074" s="6">
        <v>0</v>
      </c>
    </row>
    <row r="6075" spans="1:27" ht="15" customHeight="1" x14ac:dyDescent="0.25">
      <c r="A6075" s="1">
        <v>28</v>
      </c>
      <c r="B6075" s="1" t="s">
        <v>90</v>
      </c>
      <c r="C6075" s="1" t="s">
        <v>91</v>
      </c>
      <c r="D6075" s="1">
        <v>2013</v>
      </c>
      <c r="E6075" s="13">
        <v>1</v>
      </c>
      <c r="G6075" s="1">
        <v>1</v>
      </c>
      <c r="H6075" s="1">
        <v>0</v>
      </c>
      <c r="I6075" s="1">
        <v>216.19025974025973</v>
      </c>
      <c r="M6075" s="1" t="s">
        <v>677</v>
      </c>
      <c r="N6075" s="1" t="s">
        <v>425</v>
      </c>
      <c r="O6075" s="1" t="s">
        <v>625</v>
      </c>
      <c r="P6075" s="1" t="s">
        <v>423</v>
      </c>
      <c r="Q6075" s="1">
        <v>0</v>
      </c>
      <c r="S6075" s="1">
        <v>0</v>
      </c>
      <c r="T6075" s="1">
        <v>0</v>
      </c>
      <c r="V6075" s="1">
        <f t="shared" si="103"/>
        <v>0</v>
      </c>
      <c r="W6075" s="1">
        <v>0</v>
      </c>
      <c r="X6075" s="42">
        <v>1.726</v>
      </c>
      <c r="Y6075" s="1">
        <v>1</v>
      </c>
      <c r="Z6075" s="6">
        <v>0</v>
      </c>
      <c r="AA6075" s="6">
        <v>0</v>
      </c>
    </row>
    <row r="6076" spans="1:27" ht="15" customHeight="1" x14ac:dyDescent="0.25">
      <c r="A6076" s="1">
        <v>28</v>
      </c>
      <c r="B6076" s="1" t="s">
        <v>90</v>
      </c>
      <c r="C6076" s="1" t="s">
        <v>91</v>
      </c>
      <c r="D6076" s="1">
        <v>2014</v>
      </c>
      <c r="E6076" s="13">
        <v>1</v>
      </c>
      <c r="G6076" s="1">
        <v>1</v>
      </c>
      <c r="H6076" s="1">
        <v>0</v>
      </c>
      <c r="I6076" s="1">
        <v>259.20614755796129</v>
      </c>
      <c r="M6076" s="1" t="s">
        <v>677</v>
      </c>
      <c r="N6076" s="1" t="s">
        <v>425</v>
      </c>
      <c r="O6076" s="1" t="s">
        <v>625</v>
      </c>
      <c r="P6076" s="1" t="s">
        <v>423</v>
      </c>
      <c r="Q6076" s="1">
        <v>0</v>
      </c>
      <c r="S6076" s="1">
        <v>0</v>
      </c>
      <c r="T6076" s="1">
        <v>0</v>
      </c>
      <c r="V6076" s="1">
        <f t="shared" si="103"/>
        <v>0</v>
      </c>
      <c r="W6076" s="1">
        <v>0</v>
      </c>
      <c r="X6076" s="42">
        <v>-0.2</v>
      </c>
      <c r="Y6076" s="1">
        <v>1</v>
      </c>
      <c r="Z6076" s="49">
        <v>1</v>
      </c>
      <c r="AA6076" s="6">
        <v>0</v>
      </c>
    </row>
    <row r="6077" spans="1:27" ht="15" customHeight="1" x14ac:dyDescent="0.25">
      <c r="A6077" s="1">
        <v>28</v>
      </c>
      <c r="B6077" s="1" t="s">
        <v>90</v>
      </c>
      <c r="C6077" s="1" t="s">
        <v>91</v>
      </c>
      <c r="D6077" s="1">
        <v>2015</v>
      </c>
      <c r="E6077" s="1" t="s">
        <v>5</v>
      </c>
      <c r="G6077" s="1">
        <v>1</v>
      </c>
      <c r="H6077" s="1">
        <v>0</v>
      </c>
      <c r="I6077" s="1">
        <v>286.63</v>
      </c>
      <c r="M6077" s="1" t="s">
        <v>677</v>
      </c>
      <c r="N6077" s="1" t="s">
        <v>425</v>
      </c>
      <c r="O6077" s="1" t="s">
        <v>625</v>
      </c>
      <c r="P6077" s="1" t="s">
        <v>423</v>
      </c>
      <c r="Q6077" s="1">
        <v>0</v>
      </c>
      <c r="S6077" s="1">
        <v>0</v>
      </c>
      <c r="T6077" s="1">
        <v>0</v>
      </c>
      <c r="V6077" s="1">
        <f t="shared" si="103"/>
        <v>0</v>
      </c>
      <c r="W6077" s="1">
        <v>0</v>
      </c>
      <c r="X6077" s="42">
        <v>-0.1</v>
      </c>
      <c r="Y6077" s="1">
        <v>1</v>
      </c>
      <c r="Z6077" s="1">
        <v>1</v>
      </c>
      <c r="AA6077" s="6">
        <v>0</v>
      </c>
    </row>
    <row r="6078" spans="1:27" ht="15" customHeight="1" x14ac:dyDescent="0.25">
      <c r="A6078" s="1">
        <v>28</v>
      </c>
      <c r="B6078" s="1" t="s">
        <v>90</v>
      </c>
      <c r="C6078" s="1" t="s">
        <v>91</v>
      </c>
      <c r="D6078" s="1">
        <v>2016</v>
      </c>
      <c r="E6078" s="1" t="s">
        <v>5</v>
      </c>
      <c r="G6078" s="1">
        <v>1</v>
      </c>
      <c r="H6078" s="1">
        <v>0</v>
      </c>
      <c r="I6078" s="1">
        <v>288.64</v>
      </c>
      <c r="M6078" s="1" t="s">
        <v>677</v>
      </c>
      <c r="N6078" s="1" t="s">
        <v>425</v>
      </c>
      <c r="O6078" s="1" t="s">
        <v>625</v>
      </c>
      <c r="P6078" s="1" t="s">
        <v>685</v>
      </c>
      <c r="Q6078" s="1" t="s">
        <v>5</v>
      </c>
      <c r="S6078" s="1">
        <v>0</v>
      </c>
      <c r="T6078" s="1">
        <v>0</v>
      </c>
      <c r="V6078" s="1">
        <f t="shared" si="103"/>
        <v>0</v>
      </c>
      <c r="W6078" s="1" t="s">
        <v>5</v>
      </c>
      <c r="X6078" s="42">
        <v>0.5</v>
      </c>
      <c r="Y6078" s="1">
        <v>1</v>
      </c>
      <c r="Z6078" s="1">
        <v>0</v>
      </c>
      <c r="AA6078" s="6">
        <v>0</v>
      </c>
    </row>
    <row r="6079" spans="1:27" ht="15" customHeight="1" x14ac:dyDescent="0.2">
      <c r="A6079" s="1">
        <v>29</v>
      </c>
      <c r="B6079" s="1" t="s">
        <v>92</v>
      </c>
      <c r="C6079" s="1" t="s">
        <v>93</v>
      </c>
      <c r="D6079" s="1">
        <v>1800</v>
      </c>
      <c r="E6079" s="11">
        <v>0</v>
      </c>
      <c r="G6079" s="1">
        <v>0</v>
      </c>
      <c r="H6079" s="1" t="s">
        <v>5</v>
      </c>
      <c r="M6079" s="1" t="s">
        <v>677</v>
      </c>
      <c r="O6079" s="1" t="s">
        <v>626</v>
      </c>
      <c r="P6079" s="1" t="s">
        <v>423</v>
      </c>
      <c r="Q6079" s="1" t="s">
        <v>5</v>
      </c>
      <c r="S6079" s="1" t="s">
        <v>5</v>
      </c>
      <c r="T6079" s="1" t="s">
        <v>5</v>
      </c>
      <c r="V6079" s="1" t="s">
        <v>5</v>
      </c>
      <c r="W6079" s="1" t="s">
        <v>5</v>
      </c>
      <c r="X6079" s="11"/>
      <c r="Y6079" s="23">
        <v>0</v>
      </c>
      <c r="Z6079" s="60">
        <v>0</v>
      </c>
      <c r="AA6079" s="11">
        <v>0</v>
      </c>
    </row>
    <row r="6080" spans="1:27" ht="12.75" customHeight="1" x14ac:dyDescent="0.2">
      <c r="A6080" s="1">
        <v>29</v>
      </c>
      <c r="B6080" s="1" t="s">
        <v>92</v>
      </c>
      <c r="C6080" s="1" t="s">
        <v>93</v>
      </c>
      <c r="D6080" s="1">
        <v>1801</v>
      </c>
      <c r="E6080" s="11">
        <v>0</v>
      </c>
      <c r="G6080" s="1">
        <v>0</v>
      </c>
      <c r="H6080" s="1" t="s">
        <v>5</v>
      </c>
      <c r="M6080" s="1" t="s">
        <v>677</v>
      </c>
      <c r="O6080" s="1" t="s">
        <v>626</v>
      </c>
      <c r="P6080" s="1" t="s">
        <v>423</v>
      </c>
      <c r="Q6080" s="1" t="s">
        <v>5</v>
      </c>
      <c r="S6080" s="1" t="s">
        <v>5</v>
      </c>
      <c r="T6080" s="1" t="s">
        <v>5</v>
      </c>
      <c r="V6080" s="1" t="s">
        <v>5</v>
      </c>
      <c r="W6080" s="1" t="s">
        <v>5</v>
      </c>
      <c r="X6080" s="11"/>
      <c r="Y6080" s="23">
        <v>0</v>
      </c>
      <c r="Z6080" s="60">
        <v>0</v>
      </c>
      <c r="AA6080" s="11">
        <v>0</v>
      </c>
    </row>
    <row r="6081" spans="1:27" ht="12.75" customHeight="1" x14ac:dyDescent="0.2">
      <c r="A6081" s="1">
        <v>29</v>
      </c>
      <c r="B6081" s="1" t="s">
        <v>92</v>
      </c>
      <c r="C6081" s="1" t="s">
        <v>93</v>
      </c>
      <c r="D6081" s="1">
        <v>1802</v>
      </c>
      <c r="E6081" s="11">
        <v>0</v>
      </c>
      <c r="G6081" s="1">
        <v>0</v>
      </c>
      <c r="H6081" s="1" t="s">
        <v>5</v>
      </c>
      <c r="M6081" s="1" t="s">
        <v>677</v>
      </c>
      <c r="O6081" s="1" t="s">
        <v>626</v>
      </c>
      <c r="P6081" s="1" t="s">
        <v>423</v>
      </c>
      <c r="Q6081" s="1" t="s">
        <v>5</v>
      </c>
      <c r="S6081" s="1" t="s">
        <v>5</v>
      </c>
      <c r="T6081" s="1" t="s">
        <v>5</v>
      </c>
      <c r="V6081" s="1" t="s">
        <v>5</v>
      </c>
      <c r="W6081" s="1" t="s">
        <v>5</v>
      </c>
      <c r="X6081" s="11"/>
      <c r="Y6081" s="23">
        <v>0</v>
      </c>
      <c r="Z6081" s="60">
        <v>0</v>
      </c>
      <c r="AA6081" s="11">
        <v>0</v>
      </c>
    </row>
    <row r="6082" spans="1:27" ht="12.75" customHeight="1" x14ac:dyDescent="0.2">
      <c r="A6082" s="1">
        <v>29</v>
      </c>
      <c r="B6082" s="1" t="s">
        <v>92</v>
      </c>
      <c r="C6082" s="1" t="s">
        <v>93</v>
      </c>
      <c r="D6082" s="1">
        <v>1803</v>
      </c>
      <c r="E6082" s="11">
        <v>0</v>
      </c>
      <c r="G6082" s="1">
        <v>0</v>
      </c>
      <c r="H6082" s="1" t="s">
        <v>5</v>
      </c>
      <c r="M6082" s="1" t="s">
        <v>677</v>
      </c>
      <c r="O6082" s="1" t="s">
        <v>626</v>
      </c>
      <c r="P6082" s="1" t="s">
        <v>423</v>
      </c>
      <c r="Q6082" s="1" t="s">
        <v>5</v>
      </c>
      <c r="S6082" s="1" t="s">
        <v>5</v>
      </c>
      <c r="T6082" s="1" t="s">
        <v>5</v>
      </c>
      <c r="V6082" s="1" t="s">
        <v>5</v>
      </c>
      <c r="W6082" s="1" t="s">
        <v>5</v>
      </c>
      <c r="X6082" s="11"/>
      <c r="Y6082" s="23">
        <v>0</v>
      </c>
      <c r="Z6082" s="60">
        <v>0</v>
      </c>
      <c r="AA6082" s="11">
        <v>0</v>
      </c>
    </row>
    <row r="6083" spans="1:27" ht="12.75" customHeight="1" x14ac:dyDescent="0.2">
      <c r="A6083" s="1">
        <v>29</v>
      </c>
      <c r="B6083" s="1" t="s">
        <v>92</v>
      </c>
      <c r="C6083" s="1" t="s">
        <v>93</v>
      </c>
      <c r="D6083" s="1">
        <v>1804</v>
      </c>
      <c r="E6083" s="11">
        <v>0</v>
      </c>
      <c r="G6083" s="1">
        <v>0</v>
      </c>
      <c r="H6083" s="1" t="s">
        <v>5</v>
      </c>
      <c r="M6083" s="1" t="s">
        <v>677</v>
      </c>
      <c r="O6083" s="1" t="s">
        <v>626</v>
      </c>
      <c r="P6083" s="1" t="s">
        <v>423</v>
      </c>
      <c r="Q6083" s="1" t="s">
        <v>5</v>
      </c>
      <c r="S6083" s="1" t="s">
        <v>5</v>
      </c>
      <c r="T6083" s="1" t="s">
        <v>5</v>
      </c>
      <c r="V6083" s="1" t="s">
        <v>5</v>
      </c>
      <c r="W6083" s="1" t="s">
        <v>5</v>
      </c>
      <c r="X6083" s="11"/>
      <c r="Y6083" s="23">
        <v>0</v>
      </c>
      <c r="Z6083" s="60">
        <v>0</v>
      </c>
      <c r="AA6083" s="11">
        <v>0</v>
      </c>
    </row>
    <row r="6084" spans="1:27" ht="12.75" customHeight="1" x14ac:dyDescent="0.2">
      <c r="A6084" s="1">
        <v>29</v>
      </c>
      <c r="B6084" s="1" t="s">
        <v>92</v>
      </c>
      <c r="C6084" s="1" t="s">
        <v>93</v>
      </c>
      <c r="D6084" s="1">
        <v>1805</v>
      </c>
      <c r="E6084" s="11">
        <v>0</v>
      </c>
      <c r="G6084" s="1">
        <v>0</v>
      </c>
      <c r="H6084" s="1" t="s">
        <v>5</v>
      </c>
      <c r="M6084" s="1" t="s">
        <v>677</v>
      </c>
      <c r="O6084" s="1" t="s">
        <v>626</v>
      </c>
      <c r="P6084" s="1" t="s">
        <v>423</v>
      </c>
      <c r="Q6084" s="1" t="s">
        <v>5</v>
      </c>
      <c r="S6084" s="1" t="s">
        <v>5</v>
      </c>
      <c r="T6084" s="1" t="s">
        <v>5</v>
      </c>
      <c r="V6084" s="1" t="s">
        <v>5</v>
      </c>
      <c r="W6084" s="1" t="s">
        <v>5</v>
      </c>
      <c r="X6084" s="11"/>
      <c r="Y6084" s="23">
        <v>0</v>
      </c>
      <c r="Z6084" s="60">
        <v>0</v>
      </c>
      <c r="AA6084" s="11">
        <v>0</v>
      </c>
    </row>
    <row r="6085" spans="1:27" x14ac:dyDescent="0.2">
      <c r="A6085" s="1">
        <v>29</v>
      </c>
      <c r="B6085" s="1" t="s">
        <v>92</v>
      </c>
      <c r="C6085" s="1" t="s">
        <v>93</v>
      </c>
      <c r="D6085" s="1">
        <v>1806</v>
      </c>
      <c r="E6085" s="11">
        <v>0</v>
      </c>
      <c r="G6085" s="1">
        <v>0</v>
      </c>
      <c r="H6085" s="1" t="s">
        <v>5</v>
      </c>
      <c r="M6085" s="1" t="s">
        <v>677</v>
      </c>
      <c r="O6085" s="1" t="s">
        <v>626</v>
      </c>
      <c r="P6085" s="1" t="s">
        <v>423</v>
      </c>
      <c r="Q6085" s="1" t="s">
        <v>5</v>
      </c>
      <c r="S6085" s="1" t="s">
        <v>5</v>
      </c>
      <c r="T6085" s="1" t="s">
        <v>5</v>
      </c>
      <c r="V6085" s="1" t="s">
        <v>5</v>
      </c>
      <c r="W6085" s="1" t="s">
        <v>5</v>
      </c>
      <c r="X6085" s="11"/>
      <c r="Y6085" s="23">
        <v>0</v>
      </c>
      <c r="Z6085" s="60">
        <v>0</v>
      </c>
      <c r="AA6085" s="11">
        <v>0</v>
      </c>
    </row>
    <row r="6086" spans="1:27" x14ac:dyDescent="0.2">
      <c r="A6086" s="1">
        <v>29</v>
      </c>
      <c r="B6086" s="1" t="s">
        <v>92</v>
      </c>
      <c r="C6086" s="1" t="s">
        <v>93</v>
      </c>
      <c r="D6086" s="1">
        <v>1807</v>
      </c>
      <c r="E6086" s="11">
        <v>0</v>
      </c>
      <c r="G6086" s="1">
        <v>0</v>
      </c>
      <c r="H6086" s="1" t="s">
        <v>5</v>
      </c>
      <c r="M6086" s="1" t="s">
        <v>677</v>
      </c>
      <c r="O6086" s="1" t="s">
        <v>626</v>
      </c>
      <c r="P6086" s="1" t="s">
        <v>423</v>
      </c>
      <c r="Q6086" s="1" t="s">
        <v>5</v>
      </c>
      <c r="S6086" s="1" t="s">
        <v>5</v>
      </c>
      <c r="T6086" s="1" t="s">
        <v>5</v>
      </c>
      <c r="V6086" s="1" t="s">
        <v>5</v>
      </c>
      <c r="W6086" s="1" t="s">
        <v>5</v>
      </c>
      <c r="X6086" s="11"/>
      <c r="Y6086" s="23">
        <v>0</v>
      </c>
      <c r="Z6086" s="60">
        <v>0</v>
      </c>
      <c r="AA6086" s="11">
        <v>0</v>
      </c>
    </row>
    <row r="6087" spans="1:27" x14ac:dyDescent="0.2">
      <c r="A6087" s="1">
        <v>29</v>
      </c>
      <c r="B6087" s="1" t="s">
        <v>92</v>
      </c>
      <c r="C6087" s="1" t="s">
        <v>93</v>
      </c>
      <c r="D6087" s="1">
        <v>1808</v>
      </c>
      <c r="E6087" s="11">
        <v>0</v>
      </c>
      <c r="G6087" s="1">
        <v>0</v>
      </c>
      <c r="H6087" s="1" t="s">
        <v>5</v>
      </c>
      <c r="M6087" s="1" t="s">
        <v>677</v>
      </c>
      <c r="O6087" s="1" t="s">
        <v>626</v>
      </c>
      <c r="P6087" s="1" t="s">
        <v>423</v>
      </c>
      <c r="Q6087" s="1" t="s">
        <v>5</v>
      </c>
      <c r="S6087" s="1" t="s">
        <v>5</v>
      </c>
      <c r="T6087" s="1" t="s">
        <v>5</v>
      </c>
      <c r="V6087" s="1" t="s">
        <v>5</v>
      </c>
      <c r="W6087" s="1" t="s">
        <v>5</v>
      </c>
      <c r="X6087" s="11"/>
      <c r="Y6087" s="23">
        <v>0</v>
      </c>
      <c r="Z6087" s="60">
        <v>0</v>
      </c>
      <c r="AA6087" s="11">
        <v>0</v>
      </c>
    </row>
    <row r="6088" spans="1:27" x14ac:dyDescent="0.2">
      <c r="A6088" s="1">
        <v>29</v>
      </c>
      <c r="B6088" s="1" t="s">
        <v>92</v>
      </c>
      <c r="C6088" s="1" t="s">
        <v>93</v>
      </c>
      <c r="D6088" s="1">
        <v>1809</v>
      </c>
      <c r="E6088" s="11">
        <v>0</v>
      </c>
      <c r="G6088" s="1">
        <v>0</v>
      </c>
      <c r="H6088" s="1" t="s">
        <v>5</v>
      </c>
      <c r="M6088" s="1" t="s">
        <v>677</v>
      </c>
      <c r="O6088" s="1" t="s">
        <v>626</v>
      </c>
      <c r="P6088" s="1" t="s">
        <v>423</v>
      </c>
      <c r="Q6088" s="1" t="s">
        <v>5</v>
      </c>
      <c r="S6088" s="1" t="s">
        <v>5</v>
      </c>
      <c r="T6088" s="1" t="s">
        <v>5</v>
      </c>
      <c r="V6088" s="1" t="s">
        <v>5</v>
      </c>
      <c r="W6088" s="1" t="s">
        <v>5</v>
      </c>
      <c r="X6088" s="11"/>
      <c r="Y6088" s="23">
        <v>0</v>
      </c>
      <c r="Z6088" s="60">
        <v>0</v>
      </c>
      <c r="AA6088" s="11">
        <v>0</v>
      </c>
    </row>
    <row r="6089" spans="1:27" x14ac:dyDescent="0.2">
      <c r="A6089" s="1">
        <v>29</v>
      </c>
      <c r="B6089" s="1" t="s">
        <v>92</v>
      </c>
      <c r="C6089" s="1" t="s">
        <v>93</v>
      </c>
      <c r="D6089" s="1">
        <v>1810</v>
      </c>
      <c r="E6089" s="11">
        <v>0</v>
      </c>
      <c r="G6089" s="1">
        <v>0</v>
      </c>
      <c r="H6089" s="1" t="s">
        <v>5</v>
      </c>
      <c r="M6089" s="1" t="s">
        <v>677</v>
      </c>
      <c r="O6089" s="1" t="s">
        <v>626</v>
      </c>
      <c r="P6089" s="1" t="s">
        <v>423</v>
      </c>
      <c r="Q6089" s="1" t="s">
        <v>5</v>
      </c>
      <c r="S6089" s="1" t="s">
        <v>5</v>
      </c>
      <c r="T6089" s="1" t="s">
        <v>5</v>
      </c>
      <c r="V6089" s="1" t="s">
        <v>5</v>
      </c>
      <c r="W6089" s="1" t="s">
        <v>5</v>
      </c>
      <c r="X6089" s="11"/>
      <c r="Y6089" s="23">
        <v>0</v>
      </c>
      <c r="Z6089" s="60">
        <v>0</v>
      </c>
      <c r="AA6089" s="11">
        <v>0</v>
      </c>
    </row>
    <row r="6090" spans="1:27" x14ac:dyDescent="0.2">
      <c r="A6090" s="1">
        <v>29</v>
      </c>
      <c r="B6090" s="1" t="s">
        <v>92</v>
      </c>
      <c r="C6090" s="1" t="s">
        <v>93</v>
      </c>
      <c r="D6090" s="1">
        <v>1811</v>
      </c>
      <c r="E6090" s="11">
        <v>0</v>
      </c>
      <c r="G6090" s="1">
        <v>0</v>
      </c>
      <c r="H6090" s="1" t="s">
        <v>5</v>
      </c>
      <c r="M6090" s="1" t="s">
        <v>677</v>
      </c>
      <c r="O6090" s="1" t="s">
        <v>626</v>
      </c>
      <c r="P6090" s="1" t="s">
        <v>423</v>
      </c>
      <c r="Q6090" s="1" t="s">
        <v>5</v>
      </c>
      <c r="S6090" s="1" t="s">
        <v>5</v>
      </c>
      <c r="T6090" s="1" t="s">
        <v>5</v>
      </c>
      <c r="V6090" s="1" t="s">
        <v>5</v>
      </c>
      <c r="W6090" s="1" t="s">
        <v>5</v>
      </c>
      <c r="X6090" s="11"/>
      <c r="Y6090" s="23">
        <v>0</v>
      </c>
      <c r="Z6090" s="60">
        <v>0</v>
      </c>
      <c r="AA6090" s="11">
        <v>0</v>
      </c>
    </row>
    <row r="6091" spans="1:27" x14ac:dyDescent="0.2">
      <c r="A6091" s="1">
        <v>29</v>
      </c>
      <c r="B6091" s="1" t="s">
        <v>92</v>
      </c>
      <c r="C6091" s="1" t="s">
        <v>93</v>
      </c>
      <c r="D6091" s="1">
        <v>1812</v>
      </c>
      <c r="E6091" s="11">
        <v>0</v>
      </c>
      <c r="G6091" s="1">
        <v>0</v>
      </c>
      <c r="H6091" s="1" t="s">
        <v>5</v>
      </c>
      <c r="M6091" s="1" t="s">
        <v>677</v>
      </c>
      <c r="O6091" s="1" t="s">
        <v>626</v>
      </c>
      <c r="P6091" s="1" t="s">
        <v>423</v>
      </c>
      <c r="Q6091" s="1" t="s">
        <v>5</v>
      </c>
      <c r="S6091" s="1" t="s">
        <v>5</v>
      </c>
      <c r="T6091" s="1" t="s">
        <v>5</v>
      </c>
      <c r="V6091" s="1" t="s">
        <v>5</v>
      </c>
      <c r="W6091" s="1" t="s">
        <v>5</v>
      </c>
      <c r="X6091" s="11"/>
      <c r="Y6091" s="23">
        <v>0</v>
      </c>
      <c r="Z6091" s="60">
        <v>0</v>
      </c>
      <c r="AA6091" s="11">
        <v>0</v>
      </c>
    </row>
    <row r="6092" spans="1:27" x14ac:dyDescent="0.2">
      <c r="A6092" s="1">
        <v>29</v>
      </c>
      <c r="B6092" s="1" t="s">
        <v>92</v>
      </c>
      <c r="C6092" s="1" t="s">
        <v>93</v>
      </c>
      <c r="D6092" s="1">
        <v>1813</v>
      </c>
      <c r="E6092" s="11">
        <v>0</v>
      </c>
      <c r="G6092" s="1">
        <v>0</v>
      </c>
      <c r="H6092" s="1" t="s">
        <v>5</v>
      </c>
      <c r="M6092" s="1" t="s">
        <v>677</v>
      </c>
      <c r="O6092" s="1" t="s">
        <v>626</v>
      </c>
      <c r="P6092" s="1" t="s">
        <v>423</v>
      </c>
      <c r="Q6092" s="1" t="s">
        <v>5</v>
      </c>
      <c r="S6092" s="1" t="s">
        <v>5</v>
      </c>
      <c r="T6092" s="1" t="s">
        <v>5</v>
      </c>
      <c r="V6092" s="1" t="s">
        <v>5</v>
      </c>
      <c r="W6092" s="1" t="s">
        <v>5</v>
      </c>
      <c r="X6092" s="11"/>
      <c r="Y6092" s="23">
        <v>0</v>
      </c>
      <c r="Z6092" s="60">
        <v>0</v>
      </c>
      <c r="AA6092" s="11">
        <v>0</v>
      </c>
    </row>
    <row r="6093" spans="1:27" x14ac:dyDescent="0.2">
      <c r="A6093" s="1">
        <v>29</v>
      </c>
      <c r="B6093" s="1" t="s">
        <v>92</v>
      </c>
      <c r="C6093" s="1" t="s">
        <v>93</v>
      </c>
      <c r="D6093" s="1">
        <v>1814</v>
      </c>
      <c r="E6093" s="11">
        <v>0</v>
      </c>
      <c r="G6093" s="1">
        <v>0</v>
      </c>
      <c r="H6093" s="1" t="s">
        <v>5</v>
      </c>
      <c r="M6093" s="1" t="s">
        <v>677</v>
      </c>
      <c r="O6093" s="1" t="s">
        <v>626</v>
      </c>
      <c r="P6093" s="1" t="s">
        <v>423</v>
      </c>
      <c r="Q6093" s="1" t="s">
        <v>5</v>
      </c>
      <c r="S6093" s="1" t="s">
        <v>5</v>
      </c>
      <c r="T6093" s="1" t="s">
        <v>5</v>
      </c>
      <c r="V6093" s="1" t="s">
        <v>5</v>
      </c>
      <c r="W6093" s="1" t="s">
        <v>5</v>
      </c>
      <c r="X6093" s="11"/>
      <c r="Y6093" s="23">
        <v>0</v>
      </c>
      <c r="Z6093" s="60">
        <v>0</v>
      </c>
      <c r="AA6093" s="11">
        <v>0</v>
      </c>
    </row>
    <row r="6094" spans="1:27" ht="12.75" customHeight="1" x14ac:dyDescent="0.2">
      <c r="A6094" s="1">
        <v>29</v>
      </c>
      <c r="B6094" s="1" t="s">
        <v>92</v>
      </c>
      <c r="C6094" s="1" t="s">
        <v>93</v>
      </c>
      <c r="D6094" s="1">
        <v>1815</v>
      </c>
      <c r="E6094" s="11">
        <v>0</v>
      </c>
      <c r="G6094" s="1">
        <v>0</v>
      </c>
      <c r="H6094" s="1" t="s">
        <v>5</v>
      </c>
      <c r="M6094" s="1" t="s">
        <v>677</v>
      </c>
      <c r="O6094" s="1" t="s">
        <v>626</v>
      </c>
      <c r="P6094" s="1" t="s">
        <v>423</v>
      </c>
      <c r="Q6094" s="1" t="s">
        <v>5</v>
      </c>
      <c r="S6094" s="1" t="s">
        <v>5</v>
      </c>
      <c r="T6094" s="1" t="s">
        <v>5</v>
      </c>
      <c r="V6094" s="1" t="s">
        <v>5</v>
      </c>
      <c r="W6094" s="1" t="s">
        <v>5</v>
      </c>
      <c r="X6094" s="11"/>
      <c r="Y6094" s="23">
        <v>0</v>
      </c>
      <c r="Z6094" s="60">
        <v>0</v>
      </c>
      <c r="AA6094" s="11">
        <v>0</v>
      </c>
    </row>
    <row r="6095" spans="1:27" x14ac:dyDescent="0.2">
      <c r="A6095" s="1">
        <v>29</v>
      </c>
      <c r="B6095" s="1" t="s">
        <v>92</v>
      </c>
      <c r="C6095" s="1" t="s">
        <v>93</v>
      </c>
      <c r="D6095" s="1">
        <v>1816</v>
      </c>
      <c r="E6095" s="11">
        <v>0</v>
      </c>
      <c r="G6095" s="1">
        <v>0</v>
      </c>
      <c r="H6095" s="1" t="s">
        <v>5</v>
      </c>
      <c r="M6095" s="1" t="s">
        <v>677</v>
      </c>
      <c r="O6095" s="1" t="s">
        <v>626</v>
      </c>
      <c r="P6095" s="1" t="s">
        <v>423</v>
      </c>
      <c r="Q6095" s="1" t="s">
        <v>5</v>
      </c>
      <c r="S6095" s="1" t="s">
        <v>5</v>
      </c>
      <c r="T6095" s="1" t="s">
        <v>5</v>
      </c>
      <c r="V6095" s="1" t="s">
        <v>5</v>
      </c>
      <c r="W6095" s="1" t="s">
        <v>5</v>
      </c>
      <c r="X6095" s="11"/>
      <c r="Y6095" s="23">
        <v>0</v>
      </c>
      <c r="Z6095" s="60">
        <v>0</v>
      </c>
      <c r="AA6095" s="11">
        <v>0</v>
      </c>
    </row>
    <row r="6096" spans="1:27" x14ac:dyDescent="0.2">
      <c r="A6096" s="1">
        <v>29</v>
      </c>
      <c r="B6096" s="1" t="s">
        <v>92</v>
      </c>
      <c r="C6096" s="1" t="s">
        <v>93</v>
      </c>
      <c r="D6096" s="1">
        <v>1817</v>
      </c>
      <c r="E6096" s="11">
        <v>0</v>
      </c>
      <c r="G6096" s="1">
        <v>0</v>
      </c>
      <c r="H6096" s="1" t="s">
        <v>5</v>
      </c>
      <c r="M6096" s="1" t="s">
        <v>677</v>
      </c>
      <c r="O6096" s="1" t="s">
        <v>626</v>
      </c>
      <c r="P6096" s="1" t="s">
        <v>423</v>
      </c>
      <c r="Q6096" s="1" t="s">
        <v>5</v>
      </c>
      <c r="S6096" s="1" t="s">
        <v>5</v>
      </c>
      <c r="T6096" s="1" t="s">
        <v>5</v>
      </c>
      <c r="V6096" s="1" t="s">
        <v>5</v>
      </c>
      <c r="W6096" s="1" t="s">
        <v>5</v>
      </c>
      <c r="X6096" s="11"/>
      <c r="Y6096" s="23">
        <v>0</v>
      </c>
      <c r="Z6096" s="60">
        <v>0</v>
      </c>
      <c r="AA6096" s="11">
        <v>0</v>
      </c>
    </row>
    <row r="6097" spans="1:27" x14ac:dyDescent="0.2">
      <c r="A6097" s="1">
        <v>29</v>
      </c>
      <c r="B6097" s="1" t="s">
        <v>92</v>
      </c>
      <c r="C6097" s="1" t="s">
        <v>93</v>
      </c>
      <c r="D6097" s="1">
        <v>1818</v>
      </c>
      <c r="E6097" s="11">
        <v>0</v>
      </c>
      <c r="G6097" s="1">
        <v>0</v>
      </c>
      <c r="H6097" s="1" t="s">
        <v>5</v>
      </c>
      <c r="M6097" s="1" t="s">
        <v>677</v>
      </c>
      <c r="O6097" s="1" t="s">
        <v>626</v>
      </c>
      <c r="P6097" s="1" t="s">
        <v>423</v>
      </c>
      <c r="Q6097" s="1" t="s">
        <v>5</v>
      </c>
      <c r="S6097" s="1" t="s">
        <v>5</v>
      </c>
      <c r="T6097" s="1" t="s">
        <v>5</v>
      </c>
      <c r="V6097" s="1" t="s">
        <v>5</v>
      </c>
      <c r="W6097" s="1" t="s">
        <v>5</v>
      </c>
      <c r="X6097" s="11"/>
      <c r="Y6097" s="23">
        <v>0</v>
      </c>
      <c r="Z6097" s="60">
        <v>0</v>
      </c>
      <c r="AA6097" s="11">
        <v>0</v>
      </c>
    </row>
    <row r="6098" spans="1:27" x14ac:dyDescent="0.2">
      <c r="A6098" s="1">
        <v>29</v>
      </c>
      <c r="B6098" s="1" t="s">
        <v>92</v>
      </c>
      <c r="C6098" s="1" t="s">
        <v>93</v>
      </c>
      <c r="D6098" s="1">
        <v>1819</v>
      </c>
      <c r="E6098" s="11">
        <v>0</v>
      </c>
      <c r="G6098" s="1">
        <v>0</v>
      </c>
      <c r="H6098" s="1" t="s">
        <v>5</v>
      </c>
      <c r="M6098" s="1" t="s">
        <v>677</v>
      </c>
      <c r="O6098" s="1" t="s">
        <v>626</v>
      </c>
      <c r="P6098" s="1" t="s">
        <v>423</v>
      </c>
      <c r="Q6098" s="1" t="s">
        <v>5</v>
      </c>
      <c r="S6098" s="1" t="s">
        <v>5</v>
      </c>
      <c r="T6098" s="1" t="s">
        <v>5</v>
      </c>
      <c r="V6098" s="1" t="s">
        <v>5</v>
      </c>
      <c r="W6098" s="1" t="s">
        <v>5</v>
      </c>
      <c r="X6098" s="11"/>
      <c r="Y6098" s="23">
        <v>0</v>
      </c>
      <c r="Z6098" s="60">
        <v>0</v>
      </c>
      <c r="AA6098" s="11">
        <v>0</v>
      </c>
    </row>
    <row r="6099" spans="1:27" x14ac:dyDescent="0.2">
      <c r="A6099" s="1">
        <v>29</v>
      </c>
      <c r="B6099" s="1" t="s">
        <v>92</v>
      </c>
      <c r="C6099" s="1" t="s">
        <v>93</v>
      </c>
      <c r="D6099" s="1">
        <v>1820</v>
      </c>
      <c r="E6099" s="11">
        <v>0</v>
      </c>
      <c r="G6099" s="1">
        <v>0</v>
      </c>
      <c r="H6099" s="1" t="s">
        <v>5</v>
      </c>
      <c r="M6099" s="1" t="s">
        <v>677</v>
      </c>
      <c r="O6099" s="1" t="s">
        <v>626</v>
      </c>
      <c r="P6099" s="1" t="s">
        <v>423</v>
      </c>
      <c r="Q6099" s="1" t="s">
        <v>5</v>
      </c>
      <c r="S6099" s="1" t="s">
        <v>5</v>
      </c>
      <c r="T6099" s="1" t="s">
        <v>5</v>
      </c>
      <c r="V6099" s="1" t="s">
        <v>5</v>
      </c>
      <c r="W6099" s="1" t="s">
        <v>5</v>
      </c>
      <c r="X6099" s="11"/>
      <c r="Y6099" s="23">
        <v>0</v>
      </c>
      <c r="Z6099" s="60">
        <v>0</v>
      </c>
      <c r="AA6099" s="11">
        <v>0</v>
      </c>
    </row>
    <row r="6100" spans="1:27" x14ac:dyDescent="0.2">
      <c r="A6100" s="1">
        <v>29</v>
      </c>
      <c r="B6100" s="1" t="s">
        <v>92</v>
      </c>
      <c r="C6100" s="1" t="s">
        <v>93</v>
      </c>
      <c r="D6100" s="1">
        <v>1821</v>
      </c>
      <c r="E6100" s="11">
        <v>0</v>
      </c>
      <c r="G6100" s="1">
        <v>0</v>
      </c>
      <c r="H6100" s="1" t="s">
        <v>5</v>
      </c>
      <c r="M6100" s="1" t="s">
        <v>677</v>
      </c>
      <c r="O6100" s="1" t="s">
        <v>626</v>
      </c>
      <c r="P6100" s="1" t="s">
        <v>423</v>
      </c>
      <c r="Q6100" s="1" t="s">
        <v>5</v>
      </c>
      <c r="S6100" s="1" t="s">
        <v>5</v>
      </c>
      <c r="T6100" s="1" t="s">
        <v>5</v>
      </c>
      <c r="V6100" s="1" t="s">
        <v>5</v>
      </c>
      <c r="W6100" s="1" t="s">
        <v>5</v>
      </c>
      <c r="X6100" s="11"/>
      <c r="Y6100" s="23">
        <v>0</v>
      </c>
      <c r="Z6100" s="60">
        <v>0</v>
      </c>
      <c r="AA6100" s="11">
        <v>0</v>
      </c>
    </row>
    <row r="6101" spans="1:27" x14ac:dyDescent="0.2">
      <c r="A6101" s="1">
        <v>29</v>
      </c>
      <c r="B6101" s="1" t="s">
        <v>92</v>
      </c>
      <c r="C6101" s="1" t="s">
        <v>93</v>
      </c>
      <c r="D6101" s="1">
        <v>1822</v>
      </c>
      <c r="E6101" s="11">
        <v>0</v>
      </c>
      <c r="G6101" s="1">
        <v>0</v>
      </c>
      <c r="H6101" s="1" t="s">
        <v>5</v>
      </c>
      <c r="M6101" s="1" t="s">
        <v>677</v>
      </c>
      <c r="O6101" s="1" t="s">
        <v>626</v>
      </c>
      <c r="P6101" s="1" t="s">
        <v>423</v>
      </c>
      <c r="Q6101" s="1" t="s">
        <v>5</v>
      </c>
      <c r="S6101" s="1" t="s">
        <v>5</v>
      </c>
      <c r="T6101" s="1" t="s">
        <v>5</v>
      </c>
      <c r="V6101" s="1" t="s">
        <v>5</v>
      </c>
      <c r="W6101" s="1" t="s">
        <v>5</v>
      </c>
      <c r="X6101" s="11"/>
      <c r="Y6101" s="23">
        <v>0</v>
      </c>
      <c r="Z6101" s="60">
        <v>0</v>
      </c>
      <c r="AA6101" s="11">
        <v>0</v>
      </c>
    </row>
    <row r="6102" spans="1:27" x14ac:dyDescent="0.2">
      <c r="A6102" s="1">
        <v>29</v>
      </c>
      <c r="B6102" s="1" t="s">
        <v>92</v>
      </c>
      <c r="C6102" s="1" t="s">
        <v>93</v>
      </c>
      <c r="D6102" s="1">
        <v>1823</v>
      </c>
      <c r="E6102" s="11">
        <v>0</v>
      </c>
      <c r="G6102" s="1">
        <v>0</v>
      </c>
      <c r="H6102" s="1" t="s">
        <v>5</v>
      </c>
      <c r="M6102" s="1" t="s">
        <v>677</v>
      </c>
      <c r="O6102" s="1" t="s">
        <v>626</v>
      </c>
      <c r="P6102" s="1" t="s">
        <v>423</v>
      </c>
      <c r="Q6102" s="1" t="s">
        <v>5</v>
      </c>
      <c r="S6102" s="1" t="s">
        <v>5</v>
      </c>
      <c r="T6102" s="1" t="s">
        <v>5</v>
      </c>
      <c r="V6102" s="1" t="s">
        <v>5</v>
      </c>
      <c r="W6102" s="1" t="s">
        <v>5</v>
      </c>
      <c r="X6102" s="11"/>
      <c r="Y6102" s="23">
        <v>0</v>
      </c>
      <c r="Z6102" s="60">
        <v>0</v>
      </c>
      <c r="AA6102" s="11">
        <v>0</v>
      </c>
    </row>
    <row r="6103" spans="1:27" x14ac:dyDescent="0.2">
      <c r="A6103" s="1">
        <v>29</v>
      </c>
      <c r="B6103" s="1" t="s">
        <v>92</v>
      </c>
      <c r="C6103" s="1" t="s">
        <v>93</v>
      </c>
      <c r="D6103" s="1">
        <v>1824</v>
      </c>
      <c r="E6103" s="11">
        <v>0</v>
      </c>
      <c r="G6103" s="1">
        <v>0</v>
      </c>
      <c r="H6103" s="1" t="s">
        <v>5</v>
      </c>
      <c r="M6103" s="1" t="s">
        <v>677</v>
      </c>
      <c r="O6103" s="1" t="s">
        <v>626</v>
      </c>
      <c r="P6103" s="1" t="s">
        <v>423</v>
      </c>
      <c r="Q6103" s="1" t="s">
        <v>5</v>
      </c>
      <c r="S6103" s="1" t="s">
        <v>5</v>
      </c>
      <c r="T6103" s="1" t="s">
        <v>5</v>
      </c>
      <c r="V6103" s="1" t="s">
        <v>5</v>
      </c>
      <c r="W6103" s="1" t="s">
        <v>5</v>
      </c>
      <c r="X6103" s="11"/>
      <c r="Y6103" s="23">
        <v>0</v>
      </c>
      <c r="Z6103" s="60">
        <v>0</v>
      </c>
      <c r="AA6103" s="11">
        <v>0</v>
      </c>
    </row>
    <row r="6104" spans="1:27" x14ac:dyDescent="0.2">
      <c r="A6104" s="1">
        <v>29</v>
      </c>
      <c r="B6104" s="1" t="s">
        <v>92</v>
      </c>
      <c r="C6104" s="1" t="s">
        <v>93</v>
      </c>
      <c r="D6104" s="1">
        <v>1825</v>
      </c>
      <c r="E6104" s="11">
        <v>0</v>
      </c>
      <c r="G6104" s="1">
        <v>0</v>
      </c>
      <c r="H6104" s="1" t="s">
        <v>5</v>
      </c>
      <c r="M6104" s="1" t="s">
        <v>677</v>
      </c>
      <c r="O6104" s="1" t="s">
        <v>626</v>
      </c>
      <c r="P6104" s="1" t="s">
        <v>423</v>
      </c>
      <c r="Q6104" s="1" t="s">
        <v>5</v>
      </c>
      <c r="S6104" s="1" t="s">
        <v>5</v>
      </c>
      <c r="T6104" s="1" t="s">
        <v>5</v>
      </c>
      <c r="V6104" s="1" t="s">
        <v>5</v>
      </c>
      <c r="W6104" s="1" t="s">
        <v>5</v>
      </c>
      <c r="X6104" s="11"/>
      <c r="Y6104" s="23">
        <v>0</v>
      </c>
      <c r="Z6104" s="60">
        <v>0</v>
      </c>
      <c r="AA6104" s="11">
        <v>0</v>
      </c>
    </row>
    <row r="6105" spans="1:27" x14ac:dyDescent="0.2">
      <c r="A6105" s="1">
        <v>29</v>
      </c>
      <c r="B6105" s="1" t="s">
        <v>92</v>
      </c>
      <c r="C6105" s="1" t="s">
        <v>93</v>
      </c>
      <c r="D6105" s="1">
        <v>1826</v>
      </c>
      <c r="E6105" s="11">
        <v>0</v>
      </c>
      <c r="G6105" s="1">
        <v>0</v>
      </c>
      <c r="H6105" s="1" t="s">
        <v>5</v>
      </c>
      <c r="M6105" s="1" t="s">
        <v>677</v>
      </c>
      <c r="O6105" s="1" t="s">
        <v>626</v>
      </c>
      <c r="P6105" s="1" t="s">
        <v>423</v>
      </c>
      <c r="Q6105" s="1" t="s">
        <v>5</v>
      </c>
      <c r="S6105" s="1" t="s">
        <v>5</v>
      </c>
      <c r="T6105" s="1" t="s">
        <v>5</v>
      </c>
      <c r="V6105" s="1" t="s">
        <v>5</v>
      </c>
      <c r="W6105" s="1" t="s">
        <v>5</v>
      </c>
      <c r="X6105" s="11"/>
      <c r="Y6105" s="23">
        <v>0</v>
      </c>
      <c r="Z6105" s="60">
        <v>0</v>
      </c>
      <c r="AA6105" s="11">
        <v>0</v>
      </c>
    </row>
    <row r="6106" spans="1:27" x14ac:dyDescent="0.2">
      <c r="A6106" s="1">
        <v>29</v>
      </c>
      <c r="B6106" s="1" t="s">
        <v>92</v>
      </c>
      <c r="C6106" s="1" t="s">
        <v>93</v>
      </c>
      <c r="D6106" s="1">
        <v>1827</v>
      </c>
      <c r="E6106" s="11">
        <v>0</v>
      </c>
      <c r="G6106" s="1">
        <v>0</v>
      </c>
      <c r="H6106" s="1" t="s">
        <v>5</v>
      </c>
      <c r="M6106" s="1" t="s">
        <v>677</v>
      </c>
      <c r="O6106" s="1" t="s">
        <v>626</v>
      </c>
      <c r="P6106" s="1" t="s">
        <v>423</v>
      </c>
      <c r="Q6106" s="1" t="s">
        <v>5</v>
      </c>
      <c r="S6106" s="1" t="s">
        <v>5</v>
      </c>
      <c r="T6106" s="1" t="s">
        <v>5</v>
      </c>
      <c r="V6106" s="1" t="s">
        <v>5</v>
      </c>
      <c r="W6106" s="1" t="s">
        <v>5</v>
      </c>
      <c r="X6106" s="11"/>
      <c r="Y6106" s="23">
        <v>0</v>
      </c>
      <c r="Z6106" s="60">
        <v>0</v>
      </c>
      <c r="AA6106" s="11">
        <v>0</v>
      </c>
    </row>
    <row r="6107" spans="1:27" x14ac:dyDescent="0.2">
      <c r="A6107" s="1">
        <v>29</v>
      </c>
      <c r="B6107" s="1" t="s">
        <v>92</v>
      </c>
      <c r="C6107" s="1" t="s">
        <v>93</v>
      </c>
      <c r="D6107" s="1">
        <v>1828</v>
      </c>
      <c r="E6107" s="11">
        <v>0</v>
      </c>
      <c r="G6107" s="1">
        <v>0</v>
      </c>
      <c r="H6107" s="1" t="s">
        <v>5</v>
      </c>
      <c r="M6107" s="1" t="s">
        <v>677</v>
      </c>
      <c r="O6107" s="1" t="s">
        <v>626</v>
      </c>
      <c r="P6107" s="1" t="s">
        <v>423</v>
      </c>
      <c r="Q6107" s="1" t="s">
        <v>5</v>
      </c>
      <c r="S6107" s="1" t="s">
        <v>5</v>
      </c>
      <c r="T6107" s="1" t="s">
        <v>5</v>
      </c>
      <c r="V6107" s="1" t="s">
        <v>5</v>
      </c>
      <c r="W6107" s="1" t="s">
        <v>5</v>
      </c>
      <c r="X6107" s="11"/>
      <c r="Y6107" s="23">
        <v>0</v>
      </c>
      <c r="Z6107" s="60">
        <v>0</v>
      </c>
      <c r="AA6107" s="11">
        <v>0</v>
      </c>
    </row>
    <row r="6108" spans="1:27" x14ac:dyDescent="0.2">
      <c r="A6108" s="1">
        <v>29</v>
      </c>
      <c r="B6108" s="1" t="s">
        <v>92</v>
      </c>
      <c r="C6108" s="1" t="s">
        <v>93</v>
      </c>
      <c r="D6108" s="1">
        <v>1829</v>
      </c>
      <c r="E6108" s="11">
        <v>0</v>
      </c>
      <c r="G6108" s="1">
        <v>0</v>
      </c>
      <c r="H6108" s="1" t="s">
        <v>5</v>
      </c>
      <c r="M6108" s="1" t="s">
        <v>677</v>
      </c>
      <c r="O6108" s="1" t="s">
        <v>626</v>
      </c>
      <c r="P6108" s="1" t="s">
        <v>423</v>
      </c>
      <c r="Q6108" s="1" t="s">
        <v>5</v>
      </c>
      <c r="S6108" s="1" t="s">
        <v>5</v>
      </c>
      <c r="T6108" s="1" t="s">
        <v>5</v>
      </c>
      <c r="V6108" s="1" t="s">
        <v>5</v>
      </c>
      <c r="W6108" s="1" t="s">
        <v>5</v>
      </c>
      <c r="X6108" s="11"/>
      <c r="Y6108" s="23">
        <v>0</v>
      </c>
      <c r="Z6108" s="60">
        <v>0</v>
      </c>
      <c r="AA6108" s="11">
        <v>0</v>
      </c>
    </row>
    <row r="6109" spans="1:27" x14ac:dyDescent="0.2">
      <c r="A6109" s="1">
        <v>29</v>
      </c>
      <c r="B6109" s="1" t="s">
        <v>92</v>
      </c>
      <c r="C6109" s="1" t="s">
        <v>93</v>
      </c>
      <c r="D6109" s="1">
        <v>1830</v>
      </c>
      <c r="E6109" s="11">
        <v>0</v>
      </c>
      <c r="G6109" s="1">
        <v>0</v>
      </c>
      <c r="H6109" s="1" t="s">
        <v>5</v>
      </c>
      <c r="M6109" s="1" t="s">
        <v>677</v>
      </c>
      <c r="O6109" s="1" t="s">
        <v>626</v>
      </c>
      <c r="P6109" s="1" t="s">
        <v>423</v>
      </c>
      <c r="Q6109" s="1" t="s">
        <v>5</v>
      </c>
      <c r="S6109" s="1" t="s">
        <v>5</v>
      </c>
      <c r="T6109" s="1" t="s">
        <v>5</v>
      </c>
      <c r="V6109" s="1" t="s">
        <v>5</v>
      </c>
      <c r="W6109" s="1" t="s">
        <v>5</v>
      </c>
      <c r="X6109" s="11"/>
      <c r="Y6109" s="23">
        <v>0</v>
      </c>
      <c r="Z6109" s="60">
        <v>0</v>
      </c>
      <c r="AA6109" s="11">
        <v>0</v>
      </c>
    </row>
    <row r="6110" spans="1:27" x14ac:dyDescent="0.2">
      <c r="A6110" s="1">
        <v>29</v>
      </c>
      <c r="B6110" s="1" t="s">
        <v>92</v>
      </c>
      <c r="C6110" s="1" t="s">
        <v>93</v>
      </c>
      <c r="D6110" s="1">
        <v>1831</v>
      </c>
      <c r="E6110" s="11">
        <v>0</v>
      </c>
      <c r="G6110" s="1">
        <v>0</v>
      </c>
      <c r="H6110" s="1" t="s">
        <v>5</v>
      </c>
      <c r="M6110" s="1" t="s">
        <v>677</v>
      </c>
      <c r="O6110" s="1" t="s">
        <v>626</v>
      </c>
      <c r="P6110" s="1" t="s">
        <v>423</v>
      </c>
      <c r="Q6110" s="1" t="s">
        <v>5</v>
      </c>
      <c r="S6110" s="1" t="s">
        <v>5</v>
      </c>
      <c r="T6110" s="1" t="s">
        <v>5</v>
      </c>
      <c r="V6110" s="1" t="s">
        <v>5</v>
      </c>
      <c r="W6110" s="1" t="s">
        <v>5</v>
      </c>
      <c r="X6110" s="11"/>
      <c r="Y6110" s="23">
        <v>0</v>
      </c>
      <c r="Z6110" s="60">
        <v>0</v>
      </c>
      <c r="AA6110" s="11">
        <v>0</v>
      </c>
    </row>
    <row r="6111" spans="1:27" x14ac:dyDescent="0.2">
      <c r="A6111" s="1">
        <v>29</v>
      </c>
      <c r="B6111" s="1" t="s">
        <v>92</v>
      </c>
      <c r="C6111" s="1" t="s">
        <v>93</v>
      </c>
      <c r="D6111" s="1">
        <v>1832</v>
      </c>
      <c r="E6111" s="11">
        <v>0</v>
      </c>
      <c r="G6111" s="1">
        <v>0</v>
      </c>
      <c r="H6111" s="1" t="s">
        <v>5</v>
      </c>
      <c r="M6111" s="1" t="s">
        <v>677</v>
      </c>
      <c r="O6111" s="1" t="s">
        <v>626</v>
      </c>
      <c r="P6111" s="1" t="s">
        <v>423</v>
      </c>
      <c r="Q6111" s="1" t="s">
        <v>5</v>
      </c>
      <c r="S6111" s="1" t="s">
        <v>5</v>
      </c>
      <c r="T6111" s="1" t="s">
        <v>5</v>
      </c>
      <c r="V6111" s="1" t="s">
        <v>5</v>
      </c>
      <c r="W6111" s="1" t="s">
        <v>5</v>
      </c>
      <c r="X6111" s="11"/>
      <c r="Y6111" s="23">
        <v>0</v>
      </c>
      <c r="Z6111" s="60">
        <v>0</v>
      </c>
      <c r="AA6111" s="11">
        <v>0</v>
      </c>
    </row>
    <row r="6112" spans="1:27" x14ac:dyDescent="0.2">
      <c r="A6112" s="1">
        <v>29</v>
      </c>
      <c r="B6112" s="1" t="s">
        <v>92</v>
      </c>
      <c r="C6112" s="1" t="s">
        <v>93</v>
      </c>
      <c r="D6112" s="1">
        <v>1833</v>
      </c>
      <c r="E6112" s="11">
        <v>0</v>
      </c>
      <c r="G6112" s="1">
        <v>0</v>
      </c>
      <c r="H6112" s="1" t="s">
        <v>5</v>
      </c>
      <c r="M6112" s="1" t="s">
        <v>677</v>
      </c>
      <c r="O6112" s="1" t="s">
        <v>626</v>
      </c>
      <c r="P6112" s="1" t="s">
        <v>423</v>
      </c>
      <c r="Q6112" s="1" t="s">
        <v>5</v>
      </c>
      <c r="S6112" s="1" t="s">
        <v>5</v>
      </c>
      <c r="T6112" s="1" t="s">
        <v>5</v>
      </c>
      <c r="V6112" s="1" t="s">
        <v>5</v>
      </c>
      <c r="W6112" s="1" t="s">
        <v>5</v>
      </c>
      <c r="X6112" s="11"/>
      <c r="Y6112" s="23">
        <v>0</v>
      </c>
      <c r="Z6112" s="60">
        <v>0</v>
      </c>
      <c r="AA6112" s="11">
        <v>0</v>
      </c>
    </row>
    <row r="6113" spans="1:27" x14ac:dyDescent="0.2">
      <c r="A6113" s="1">
        <v>29</v>
      </c>
      <c r="B6113" s="1" t="s">
        <v>92</v>
      </c>
      <c r="C6113" s="1" t="s">
        <v>93</v>
      </c>
      <c r="D6113" s="1">
        <v>1834</v>
      </c>
      <c r="E6113" s="11">
        <v>0</v>
      </c>
      <c r="G6113" s="1">
        <v>0</v>
      </c>
      <c r="H6113" s="1" t="s">
        <v>5</v>
      </c>
      <c r="M6113" s="1" t="s">
        <v>677</v>
      </c>
      <c r="O6113" s="1" t="s">
        <v>626</v>
      </c>
      <c r="P6113" s="1" t="s">
        <v>423</v>
      </c>
      <c r="Q6113" s="1" t="s">
        <v>5</v>
      </c>
      <c r="S6113" s="1" t="s">
        <v>5</v>
      </c>
      <c r="T6113" s="1" t="s">
        <v>5</v>
      </c>
      <c r="V6113" s="1" t="s">
        <v>5</v>
      </c>
      <c r="W6113" s="1" t="s">
        <v>5</v>
      </c>
      <c r="X6113" s="11"/>
      <c r="Y6113" s="23">
        <v>0</v>
      </c>
      <c r="Z6113" s="60">
        <v>0</v>
      </c>
      <c r="AA6113" s="11">
        <v>0</v>
      </c>
    </row>
    <row r="6114" spans="1:27" x14ac:dyDescent="0.2">
      <c r="A6114" s="1">
        <v>29</v>
      </c>
      <c r="B6114" s="1" t="s">
        <v>92</v>
      </c>
      <c r="C6114" s="1" t="s">
        <v>93</v>
      </c>
      <c r="D6114" s="1">
        <v>1835</v>
      </c>
      <c r="E6114" s="11">
        <v>0</v>
      </c>
      <c r="G6114" s="1">
        <v>0</v>
      </c>
      <c r="H6114" s="1" t="s">
        <v>5</v>
      </c>
      <c r="M6114" s="1" t="s">
        <v>677</v>
      </c>
      <c r="O6114" s="1" t="s">
        <v>626</v>
      </c>
      <c r="P6114" s="1" t="s">
        <v>423</v>
      </c>
      <c r="Q6114" s="1" t="s">
        <v>5</v>
      </c>
      <c r="S6114" s="1" t="s">
        <v>5</v>
      </c>
      <c r="T6114" s="1" t="s">
        <v>5</v>
      </c>
      <c r="V6114" s="1" t="s">
        <v>5</v>
      </c>
      <c r="W6114" s="1" t="s">
        <v>5</v>
      </c>
      <c r="X6114" s="11"/>
      <c r="Y6114" s="23">
        <v>0</v>
      </c>
      <c r="Z6114" s="60">
        <v>0</v>
      </c>
      <c r="AA6114" s="11">
        <v>0</v>
      </c>
    </row>
    <row r="6115" spans="1:27" x14ac:dyDescent="0.2">
      <c r="A6115" s="1">
        <v>29</v>
      </c>
      <c r="B6115" s="1" t="s">
        <v>92</v>
      </c>
      <c r="C6115" s="1" t="s">
        <v>93</v>
      </c>
      <c r="D6115" s="1">
        <v>1836</v>
      </c>
      <c r="E6115" s="11">
        <v>0</v>
      </c>
      <c r="G6115" s="1">
        <v>0</v>
      </c>
      <c r="H6115" s="1" t="s">
        <v>5</v>
      </c>
      <c r="M6115" s="1" t="s">
        <v>677</v>
      </c>
      <c r="O6115" s="1" t="s">
        <v>626</v>
      </c>
      <c r="P6115" s="1" t="s">
        <v>423</v>
      </c>
      <c r="Q6115" s="1" t="s">
        <v>5</v>
      </c>
      <c r="S6115" s="1" t="s">
        <v>5</v>
      </c>
      <c r="T6115" s="1" t="s">
        <v>5</v>
      </c>
      <c r="V6115" s="1" t="s">
        <v>5</v>
      </c>
      <c r="W6115" s="1" t="s">
        <v>5</v>
      </c>
      <c r="X6115" s="11"/>
      <c r="Y6115" s="23">
        <v>0</v>
      </c>
      <c r="Z6115" s="60">
        <v>0</v>
      </c>
      <c r="AA6115" s="11">
        <v>0</v>
      </c>
    </row>
    <row r="6116" spans="1:27" x14ac:dyDescent="0.2">
      <c r="A6116" s="1">
        <v>29</v>
      </c>
      <c r="B6116" s="1" t="s">
        <v>92</v>
      </c>
      <c r="C6116" s="1" t="s">
        <v>93</v>
      </c>
      <c r="D6116" s="1">
        <v>1837</v>
      </c>
      <c r="E6116" s="11">
        <v>0</v>
      </c>
      <c r="G6116" s="1">
        <v>0</v>
      </c>
      <c r="H6116" s="1" t="s">
        <v>5</v>
      </c>
      <c r="M6116" s="1" t="s">
        <v>677</v>
      </c>
      <c r="O6116" s="1" t="s">
        <v>626</v>
      </c>
      <c r="P6116" s="1" t="s">
        <v>423</v>
      </c>
      <c r="Q6116" s="1" t="s">
        <v>5</v>
      </c>
      <c r="S6116" s="1" t="s">
        <v>5</v>
      </c>
      <c r="T6116" s="1" t="s">
        <v>5</v>
      </c>
      <c r="V6116" s="1" t="s">
        <v>5</v>
      </c>
      <c r="W6116" s="1" t="s">
        <v>5</v>
      </c>
      <c r="X6116" s="11"/>
      <c r="Y6116" s="23">
        <v>0</v>
      </c>
      <c r="Z6116" s="60">
        <v>0</v>
      </c>
      <c r="AA6116" s="11">
        <v>0</v>
      </c>
    </row>
    <row r="6117" spans="1:27" x14ac:dyDescent="0.2">
      <c r="A6117" s="1">
        <v>29</v>
      </c>
      <c r="B6117" s="1" t="s">
        <v>92</v>
      </c>
      <c r="C6117" s="1" t="s">
        <v>93</v>
      </c>
      <c r="D6117" s="1">
        <v>1838</v>
      </c>
      <c r="E6117" s="11">
        <v>0</v>
      </c>
      <c r="G6117" s="1">
        <v>0</v>
      </c>
      <c r="H6117" s="1" t="s">
        <v>5</v>
      </c>
      <c r="M6117" s="1" t="s">
        <v>677</v>
      </c>
      <c r="O6117" s="1" t="s">
        <v>626</v>
      </c>
      <c r="P6117" s="1" t="s">
        <v>423</v>
      </c>
      <c r="Q6117" s="1" t="s">
        <v>5</v>
      </c>
      <c r="S6117" s="1" t="s">
        <v>5</v>
      </c>
      <c r="T6117" s="1" t="s">
        <v>5</v>
      </c>
      <c r="V6117" s="1" t="s">
        <v>5</v>
      </c>
      <c r="W6117" s="1" t="s">
        <v>5</v>
      </c>
      <c r="X6117" s="11"/>
      <c r="Y6117" s="23">
        <v>0</v>
      </c>
      <c r="Z6117" s="60">
        <v>0</v>
      </c>
      <c r="AA6117" s="11">
        <v>0</v>
      </c>
    </row>
    <row r="6118" spans="1:27" x14ac:dyDescent="0.2">
      <c r="A6118" s="1">
        <v>29</v>
      </c>
      <c r="B6118" s="1" t="s">
        <v>92</v>
      </c>
      <c r="C6118" s="1" t="s">
        <v>93</v>
      </c>
      <c r="D6118" s="1">
        <v>1839</v>
      </c>
      <c r="E6118" s="11">
        <v>0</v>
      </c>
      <c r="G6118" s="1">
        <v>0</v>
      </c>
      <c r="H6118" s="1" t="s">
        <v>5</v>
      </c>
      <c r="M6118" s="1" t="s">
        <v>677</v>
      </c>
      <c r="O6118" s="1" t="s">
        <v>626</v>
      </c>
      <c r="P6118" s="1" t="s">
        <v>423</v>
      </c>
      <c r="Q6118" s="1" t="s">
        <v>5</v>
      </c>
      <c r="S6118" s="1" t="s">
        <v>5</v>
      </c>
      <c r="T6118" s="1" t="s">
        <v>5</v>
      </c>
      <c r="V6118" s="1" t="s">
        <v>5</v>
      </c>
      <c r="W6118" s="1" t="s">
        <v>5</v>
      </c>
      <c r="X6118" s="11"/>
      <c r="Y6118" s="23">
        <v>0</v>
      </c>
      <c r="Z6118" s="60">
        <v>0</v>
      </c>
      <c r="AA6118" s="11">
        <v>0</v>
      </c>
    </row>
    <row r="6119" spans="1:27" x14ac:dyDescent="0.2">
      <c r="A6119" s="1">
        <v>29</v>
      </c>
      <c r="B6119" s="1" t="s">
        <v>92</v>
      </c>
      <c r="C6119" s="1" t="s">
        <v>93</v>
      </c>
      <c r="D6119" s="1">
        <v>1840</v>
      </c>
      <c r="E6119" s="11">
        <v>0</v>
      </c>
      <c r="G6119" s="1">
        <v>0</v>
      </c>
      <c r="H6119" s="1" t="s">
        <v>5</v>
      </c>
      <c r="M6119" s="1" t="s">
        <v>677</v>
      </c>
      <c r="O6119" s="1" t="s">
        <v>626</v>
      </c>
      <c r="P6119" s="1" t="s">
        <v>423</v>
      </c>
      <c r="Q6119" s="1" t="s">
        <v>5</v>
      </c>
      <c r="S6119" s="1" t="s">
        <v>5</v>
      </c>
      <c r="T6119" s="1" t="s">
        <v>5</v>
      </c>
      <c r="V6119" s="1" t="s">
        <v>5</v>
      </c>
      <c r="W6119" s="1" t="s">
        <v>5</v>
      </c>
      <c r="X6119" s="11"/>
      <c r="Y6119" s="23">
        <v>0</v>
      </c>
      <c r="Z6119" s="60">
        <v>0</v>
      </c>
      <c r="AA6119" s="11">
        <v>0</v>
      </c>
    </row>
    <row r="6120" spans="1:27" x14ac:dyDescent="0.2">
      <c r="A6120" s="1">
        <v>29</v>
      </c>
      <c r="B6120" s="1" t="s">
        <v>92</v>
      </c>
      <c r="C6120" s="1" t="s">
        <v>93</v>
      </c>
      <c r="D6120" s="1">
        <v>1841</v>
      </c>
      <c r="E6120" s="11">
        <v>0</v>
      </c>
      <c r="G6120" s="1">
        <v>0</v>
      </c>
      <c r="H6120" s="1" t="s">
        <v>5</v>
      </c>
      <c r="M6120" s="1" t="s">
        <v>677</v>
      </c>
      <c r="O6120" s="1" t="s">
        <v>626</v>
      </c>
      <c r="P6120" s="1" t="s">
        <v>423</v>
      </c>
      <c r="Q6120" s="1" t="s">
        <v>5</v>
      </c>
      <c r="S6120" s="1" t="s">
        <v>5</v>
      </c>
      <c r="T6120" s="1" t="s">
        <v>5</v>
      </c>
      <c r="V6120" s="1" t="s">
        <v>5</v>
      </c>
      <c r="W6120" s="1" t="s">
        <v>5</v>
      </c>
      <c r="X6120" s="11"/>
      <c r="Y6120" s="23">
        <v>0</v>
      </c>
      <c r="Z6120" s="60">
        <v>0</v>
      </c>
      <c r="AA6120" s="11">
        <v>0</v>
      </c>
    </row>
    <row r="6121" spans="1:27" x14ac:dyDescent="0.2">
      <c r="A6121" s="1">
        <v>29</v>
      </c>
      <c r="B6121" s="1" t="s">
        <v>92</v>
      </c>
      <c r="C6121" s="1" t="s">
        <v>93</v>
      </c>
      <c r="D6121" s="1">
        <v>1842</v>
      </c>
      <c r="E6121" s="11">
        <v>0</v>
      </c>
      <c r="G6121" s="1">
        <v>0</v>
      </c>
      <c r="H6121" s="1" t="s">
        <v>5</v>
      </c>
      <c r="M6121" s="1" t="s">
        <v>677</v>
      </c>
      <c r="O6121" s="1" t="s">
        <v>626</v>
      </c>
      <c r="P6121" s="1" t="s">
        <v>423</v>
      </c>
      <c r="Q6121" s="1" t="s">
        <v>5</v>
      </c>
      <c r="S6121" s="1" t="s">
        <v>5</v>
      </c>
      <c r="T6121" s="1" t="s">
        <v>5</v>
      </c>
      <c r="V6121" s="1" t="s">
        <v>5</v>
      </c>
      <c r="W6121" s="1" t="s">
        <v>5</v>
      </c>
      <c r="X6121" s="11"/>
      <c r="Y6121" s="23">
        <v>0</v>
      </c>
      <c r="Z6121" s="60">
        <v>0</v>
      </c>
      <c r="AA6121" s="11">
        <v>0</v>
      </c>
    </row>
    <row r="6122" spans="1:27" x14ac:dyDescent="0.2">
      <c r="A6122" s="1">
        <v>29</v>
      </c>
      <c r="B6122" s="1" t="s">
        <v>92</v>
      </c>
      <c r="C6122" s="1" t="s">
        <v>93</v>
      </c>
      <c r="D6122" s="1">
        <v>1843</v>
      </c>
      <c r="E6122" s="11">
        <v>0</v>
      </c>
      <c r="G6122" s="1">
        <v>0</v>
      </c>
      <c r="H6122" s="1" t="s">
        <v>5</v>
      </c>
      <c r="M6122" s="1" t="s">
        <v>677</v>
      </c>
      <c r="O6122" s="1" t="s">
        <v>626</v>
      </c>
      <c r="P6122" s="1" t="s">
        <v>423</v>
      </c>
      <c r="Q6122" s="1" t="s">
        <v>5</v>
      </c>
      <c r="S6122" s="1" t="s">
        <v>5</v>
      </c>
      <c r="T6122" s="1" t="s">
        <v>5</v>
      </c>
      <c r="V6122" s="1" t="s">
        <v>5</v>
      </c>
      <c r="W6122" s="1" t="s">
        <v>5</v>
      </c>
      <c r="X6122" s="11"/>
      <c r="Y6122" s="23">
        <v>0</v>
      </c>
      <c r="Z6122" s="60">
        <v>0</v>
      </c>
      <c r="AA6122" s="11">
        <v>0</v>
      </c>
    </row>
    <row r="6123" spans="1:27" x14ac:dyDescent="0.2">
      <c r="A6123" s="1">
        <v>29</v>
      </c>
      <c r="B6123" s="1" t="s">
        <v>92</v>
      </c>
      <c r="C6123" s="1" t="s">
        <v>93</v>
      </c>
      <c r="D6123" s="1">
        <v>1844</v>
      </c>
      <c r="E6123" s="11">
        <v>0</v>
      </c>
      <c r="G6123" s="1">
        <v>0</v>
      </c>
      <c r="H6123" s="1" t="s">
        <v>5</v>
      </c>
      <c r="M6123" s="1" t="s">
        <v>677</v>
      </c>
      <c r="O6123" s="1" t="s">
        <v>626</v>
      </c>
      <c r="P6123" s="1" t="s">
        <v>423</v>
      </c>
      <c r="Q6123" s="1" t="s">
        <v>5</v>
      </c>
      <c r="S6123" s="1" t="s">
        <v>5</v>
      </c>
      <c r="T6123" s="1" t="s">
        <v>5</v>
      </c>
      <c r="V6123" s="1" t="s">
        <v>5</v>
      </c>
      <c r="W6123" s="1" t="s">
        <v>5</v>
      </c>
      <c r="X6123" s="11"/>
      <c r="Y6123" s="23">
        <v>0</v>
      </c>
      <c r="Z6123" s="60">
        <v>0</v>
      </c>
      <c r="AA6123" s="11">
        <v>0</v>
      </c>
    </row>
    <row r="6124" spans="1:27" x14ac:dyDescent="0.2">
      <c r="A6124" s="1">
        <v>29</v>
      </c>
      <c r="B6124" s="1" t="s">
        <v>92</v>
      </c>
      <c r="C6124" s="1" t="s">
        <v>93</v>
      </c>
      <c r="D6124" s="1">
        <v>1845</v>
      </c>
      <c r="E6124" s="11">
        <v>0</v>
      </c>
      <c r="G6124" s="1">
        <v>0</v>
      </c>
      <c r="H6124" s="1" t="s">
        <v>5</v>
      </c>
      <c r="M6124" s="1" t="s">
        <v>677</v>
      </c>
      <c r="O6124" s="1" t="s">
        <v>626</v>
      </c>
      <c r="P6124" s="1" t="s">
        <v>423</v>
      </c>
      <c r="Q6124" s="1" t="s">
        <v>5</v>
      </c>
      <c r="S6124" s="1" t="s">
        <v>5</v>
      </c>
      <c r="T6124" s="1" t="s">
        <v>5</v>
      </c>
      <c r="V6124" s="1" t="s">
        <v>5</v>
      </c>
      <c r="W6124" s="1" t="s">
        <v>5</v>
      </c>
      <c r="X6124" s="11"/>
      <c r="Y6124" s="23">
        <v>0</v>
      </c>
      <c r="Z6124" s="60">
        <v>0</v>
      </c>
      <c r="AA6124" s="11">
        <v>0</v>
      </c>
    </row>
    <row r="6125" spans="1:27" x14ac:dyDescent="0.2">
      <c r="A6125" s="1">
        <v>29</v>
      </c>
      <c r="B6125" s="1" t="s">
        <v>92</v>
      </c>
      <c r="C6125" s="1" t="s">
        <v>93</v>
      </c>
      <c r="D6125" s="1">
        <v>1846</v>
      </c>
      <c r="E6125" s="11">
        <v>0</v>
      </c>
      <c r="G6125" s="1">
        <v>0</v>
      </c>
      <c r="H6125" s="1" t="s">
        <v>5</v>
      </c>
      <c r="M6125" s="1" t="s">
        <v>677</v>
      </c>
      <c r="O6125" s="1" t="s">
        <v>626</v>
      </c>
      <c r="P6125" s="1" t="s">
        <v>423</v>
      </c>
      <c r="Q6125" s="1" t="s">
        <v>5</v>
      </c>
      <c r="S6125" s="1" t="s">
        <v>5</v>
      </c>
      <c r="T6125" s="1" t="s">
        <v>5</v>
      </c>
      <c r="V6125" s="1" t="s">
        <v>5</v>
      </c>
      <c r="W6125" s="1" t="s">
        <v>5</v>
      </c>
      <c r="X6125" s="11"/>
      <c r="Y6125" s="23">
        <v>0</v>
      </c>
      <c r="Z6125" s="60">
        <v>0</v>
      </c>
      <c r="AA6125" s="11">
        <v>0</v>
      </c>
    </row>
    <row r="6126" spans="1:27" x14ac:dyDescent="0.2">
      <c r="A6126" s="1">
        <v>29</v>
      </c>
      <c r="B6126" s="1" t="s">
        <v>92</v>
      </c>
      <c r="C6126" s="1" t="s">
        <v>93</v>
      </c>
      <c r="D6126" s="1">
        <v>1847</v>
      </c>
      <c r="E6126" s="11">
        <v>0</v>
      </c>
      <c r="G6126" s="1">
        <v>0</v>
      </c>
      <c r="H6126" s="1" t="s">
        <v>5</v>
      </c>
      <c r="M6126" s="1" t="s">
        <v>677</v>
      </c>
      <c r="O6126" s="1" t="s">
        <v>626</v>
      </c>
      <c r="P6126" s="1" t="s">
        <v>423</v>
      </c>
      <c r="Q6126" s="1" t="s">
        <v>5</v>
      </c>
      <c r="S6126" s="1" t="s">
        <v>5</v>
      </c>
      <c r="T6126" s="1" t="s">
        <v>5</v>
      </c>
      <c r="V6126" s="1" t="s">
        <v>5</v>
      </c>
      <c r="W6126" s="1" t="s">
        <v>5</v>
      </c>
      <c r="X6126" s="11"/>
      <c r="Y6126" s="23">
        <v>0</v>
      </c>
      <c r="Z6126" s="60">
        <v>0</v>
      </c>
      <c r="AA6126" s="11">
        <v>0</v>
      </c>
    </row>
    <row r="6127" spans="1:27" x14ac:dyDescent="0.2">
      <c r="A6127" s="1">
        <v>29</v>
      </c>
      <c r="B6127" s="1" t="s">
        <v>92</v>
      </c>
      <c r="C6127" s="1" t="s">
        <v>93</v>
      </c>
      <c r="D6127" s="1">
        <v>1848</v>
      </c>
      <c r="E6127" s="11">
        <v>0</v>
      </c>
      <c r="G6127" s="1">
        <v>0</v>
      </c>
      <c r="H6127" s="1" t="s">
        <v>5</v>
      </c>
      <c r="M6127" s="1" t="s">
        <v>677</v>
      </c>
      <c r="O6127" s="1" t="s">
        <v>626</v>
      </c>
      <c r="P6127" s="1" t="s">
        <v>423</v>
      </c>
      <c r="Q6127" s="1" t="s">
        <v>5</v>
      </c>
      <c r="S6127" s="1" t="s">
        <v>5</v>
      </c>
      <c r="T6127" s="1" t="s">
        <v>5</v>
      </c>
      <c r="V6127" s="1" t="s">
        <v>5</v>
      </c>
      <c r="W6127" s="1" t="s">
        <v>5</v>
      </c>
      <c r="X6127" s="11"/>
      <c r="Y6127" s="23">
        <v>0</v>
      </c>
      <c r="Z6127" s="60">
        <v>0</v>
      </c>
      <c r="AA6127" s="11">
        <v>0</v>
      </c>
    </row>
    <row r="6128" spans="1:27" x14ac:dyDescent="0.2">
      <c r="A6128" s="1">
        <v>29</v>
      </c>
      <c r="B6128" s="1" t="s">
        <v>92</v>
      </c>
      <c r="C6128" s="1" t="s">
        <v>93</v>
      </c>
      <c r="D6128" s="1">
        <v>1849</v>
      </c>
      <c r="E6128" s="11">
        <v>0</v>
      </c>
      <c r="G6128" s="1">
        <v>0</v>
      </c>
      <c r="H6128" s="1" t="s">
        <v>5</v>
      </c>
      <c r="M6128" s="1" t="s">
        <v>677</v>
      </c>
      <c r="O6128" s="1" t="s">
        <v>626</v>
      </c>
      <c r="P6128" s="1" t="s">
        <v>423</v>
      </c>
      <c r="Q6128" s="1" t="s">
        <v>5</v>
      </c>
      <c r="S6128" s="1" t="s">
        <v>5</v>
      </c>
      <c r="T6128" s="1" t="s">
        <v>5</v>
      </c>
      <c r="V6128" s="1" t="s">
        <v>5</v>
      </c>
      <c r="W6128" s="1" t="s">
        <v>5</v>
      </c>
      <c r="X6128" s="11"/>
      <c r="Y6128" s="23">
        <v>0</v>
      </c>
      <c r="Z6128" s="60">
        <v>0</v>
      </c>
      <c r="AA6128" s="11">
        <v>0</v>
      </c>
    </row>
    <row r="6129" spans="1:27" x14ac:dyDescent="0.2">
      <c r="A6129" s="1">
        <v>29</v>
      </c>
      <c r="B6129" s="1" t="s">
        <v>92</v>
      </c>
      <c r="C6129" s="1" t="s">
        <v>93</v>
      </c>
      <c r="D6129" s="1">
        <v>1850</v>
      </c>
      <c r="E6129" s="11">
        <v>0</v>
      </c>
      <c r="G6129" s="1">
        <v>0</v>
      </c>
      <c r="H6129" s="1" t="s">
        <v>5</v>
      </c>
      <c r="M6129" s="1" t="s">
        <v>677</v>
      </c>
      <c r="O6129" s="1" t="s">
        <v>626</v>
      </c>
      <c r="P6129" s="1" t="s">
        <v>423</v>
      </c>
      <c r="Q6129" s="1" t="s">
        <v>5</v>
      </c>
      <c r="S6129" s="1" t="s">
        <v>5</v>
      </c>
      <c r="T6129" s="1" t="s">
        <v>5</v>
      </c>
      <c r="V6129" s="1" t="s">
        <v>5</v>
      </c>
      <c r="W6129" s="1" t="s">
        <v>5</v>
      </c>
      <c r="X6129" s="11"/>
      <c r="Y6129" s="23">
        <v>0</v>
      </c>
      <c r="Z6129" s="60">
        <v>0</v>
      </c>
      <c r="AA6129" s="11">
        <v>0</v>
      </c>
    </row>
    <row r="6130" spans="1:27" x14ac:dyDescent="0.2">
      <c r="A6130" s="1">
        <v>29</v>
      </c>
      <c r="B6130" s="1" t="s">
        <v>92</v>
      </c>
      <c r="C6130" s="1" t="s">
        <v>93</v>
      </c>
      <c r="D6130" s="1">
        <v>1851</v>
      </c>
      <c r="E6130" s="11">
        <v>0</v>
      </c>
      <c r="G6130" s="1">
        <v>0</v>
      </c>
      <c r="H6130" s="1" t="s">
        <v>5</v>
      </c>
      <c r="M6130" s="1" t="s">
        <v>677</v>
      </c>
      <c r="O6130" s="1" t="s">
        <v>626</v>
      </c>
      <c r="P6130" s="1" t="s">
        <v>423</v>
      </c>
      <c r="Q6130" s="1" t="s">
        <v>5</v>
      </c>
      <c r="S6130" s="1" t="s">
        <v>5</v>
      </c>
      <c r="T6130" s="1" t="s">
        <v>5</v>
      </c>
      <c r="V6130" s="1" t="s">
        <v>5</v>
      </c>
      <c r="W6130" s="1" t="s">
        <v>5</v>
      </c>
      <c r="X6130" s="11"/>
      <c r="Y6130" s="23">
        <v>0</v>
      </c>
      <c r="Z6130" s="60">
        <v>0</v>
      </c>
      <c r="AA6130" s="11">
        <v>0</v>
      </c>
    </row>
    <row r="6131" spans="1:27" x14ac:dyDescent="0.2">
      <c r="A6131" s="1">
        <v>29</v>
      </c>
      <c r="B6131" s="1" t="s">
        <v>92</v>
      </c>
      <c r="C6131" s="1" t="s">
        <v>93</v>
      </c>
      <c r="D6131" s="1">
        <v>1852</v>
      </c>
      <c r="E6131" s="11">
        <v>0</v>
      </c>
      <c r="G6131" s="1">
        <v>0</v>
      </c>
      <c r="H6131" s="1" t="s">
        <v>5</v>
      </c>
      <c r="M6131" s="1" t="s">
        <v>677</v>
      </c>
      <c r="O6131" s="1" t="s">
        <v>626</v>
      </c>
      <c r="P6131" s="1" t="s">
        <v>423</v>
      </c>
      <c r="Q6131" s="1" t="s">
        <v>5</v>
      </c>
      <c r="S6131" s="1" t="s">
        <v>5</v>
      </c>
      <c r="T6131" s="1" t="s">
        <v>5</v>
      </c>
      <c r="V6131" s="1" t="s">
        <v>5</v>
      </c>
      <c r="W6131" s="1" t="s">
        <v>5</v>
      </c>
      <c r="X6131" s="11"/>
      <c r="Y6131" s="23">
        <v>0</v>
      </c>
      <c r="Z6131" s="60">
        <v>0</v>
      </c>
      <c r="AA6131" s="11">
        <v>0</v>
      </c>
    </row>
    <row r="6132" spans="1:27" x14ac:dyDescent="0.2">
      <c r="A6132" s="1">
        <v>29</v>
      </c>
      <c r="B6132" s="1" t="s">
        <v>92</v>
      </c>
      <c r="C6132" s="1" t="s">
        <v>93</v>
      </c>
      <c r="D6132" s="1">
        <v>1853</v>
      </c>
      <c r="E6132" s="11">
        <v>0</v>
      </c>
      <c r="G6132" s="1">
        <v>0</v>
      </c>
      <c r="H6132" s="1" t="s">
        <v>5</v>
      </c>
      <c r="M6132" s="1" t="s">
        <v>677</v>
      </c>
      <c r="O6132" s="1" t="s">
        <v>626</v>
      </c>
      <c r="P6132" s="1" t="s">
        <v>423</v>
      </c>
      <c r="Q6132" s="1" t="s">
        <v>5</v>
      </c>
      <c r="S6132" s="1" t="s">
        <v>5</v>
      </c>
      <c r="T6132" s="1" t="s">
        <v>5</v>
      </c>
      <c r="V6132" s="1" t="s">
        <v>5</v>
      </c>
      <c r="W6132" s="1" t="s">
        <v>5</v>
      </c>
      <c r="X6132" s="11"/>
      <c r="Y6132" s="23">
        <v>0</v>
      </c>
      <c r="Z6132" s="60">
        <v>0</v>
      </c>
      <c r="AA6132" s="11">
        <v>0</v>
      </c>
    </row>
    <row r="6133" spans="1:27" x14ac:dyDescent="0.2">
      <c r="A6133" s="1">
        <v>29</v>
      </c>
      <c r="B6133" s="1" t="s">
        <v>92</v>
      </c>
      <c r="C6133" s="1" t="s">
        <v>93</v>
      </c>
      <c r="D6133" s="1">
        <v>1854</v>
      </c>
      <c r="E6133" s="11">
        <v>0</v>
      </c>
      <c r="G6133" s="1">
        <v>0</v>
      </c>
      <c r="H6133" s="1" t="s">
        <v>5</v>
      </c>
      <c r="M6133" s="1" t="s">
        <v>677</v>
      </c>
      <c r="O6133" s="1" t="s">
        <v>626</v>
      </c>
      <c r="P6133" s="1" t="s">
        <v>423</v>
      </c>
      <c r="Q6133" s="1" t="s">
        <v>5</v>
      </c>
      <c r="S6133" s="1" t="s">
        <v>5</v>
      </c>
      <c r="T6133" s="1" t="s">
        <v>5</v>
      </c>
      <c r="V6133" s="1" t="s">
        <v>5</v>
      </c>
      <c r="W6133" s="1" t="s">
        <v>5</v>
      </c>
      <c r="X6133" s="11"/>
      <c r="Y6133" s="23">
        <v>0</v>
      </c>
      <c r="Z6133" s="60">
        <v>0</v>
      </c>
      <c r="AA6133" s="11">
        <v>0</v>
      </c>
    </row>
    <row r="6134" spans="1:27" x14ac:dyDescent="0.2">
      <c r="A6134" s="1">
        <v>29</v>
      </c>
      <c r="B6134" s="1" t="s">
        <v>92</v>
      </c>
      <c r="C6134" s="1" t="s">
        <v>93</v>
      </c>
      <c r="D6134" s="1">
        <v>1855</v>
      </c>
      <c r="E6134" s="11">
        <v>0</v>
      </c>
      <c r="G6134" s="1">
        <v>0</v>
      </c>
      <c r="H6134" s="1" t="s">
        <v>5</v>
      </c>
      <c r="M6134" s="1" t="s">
        <v>677</v>
      </c>
      <c r="O6134" s="1" t="s">
        <v>626</v>
      </c>
      <c r="P6134" s="1" t="s">
        <v>423</v>
      </c>
      <c r="Q6134" s="1" t="s">
        <v>5</v>
      </c>
      <c r="S6134" s="1" t="s">
        <v>5</v>
      </c>
      <c r="T6134" s="1" t="s">
        <v>5</v>
      </c>
      <c r="V6134" s="1" t="s">
        <v>5</v>
      </c>
      <c r="W6134" s="1" t="s">
        <v>5</v>
      </c>
      <c r="X6134" s="11"/>
      <c r="Y6134" s="23">
        <v>0</v>
      </c>
      <c r="Z6134" s="60">
        <v>0</v>
      </c>
      <c r="AA6134" s="11">
        <v>0</v>
      </c>
    </row>
    <row r="6135" spans="1:27" x14ac:dyDescent="0.2">
      <c r="A6135" s="1">
        <v>29</v>
      </c>
      <c r="B6135" s="1" t="s">
        <v>92</v>
      </c>
      <c r="C6135" s="1" t="s">
        <v>93</v>
      </c>
      <c r="D6135" s="1">
        <v>1856</v>
      </c>
      <c r="E6135" s="11">
        <v>0</v>
      </c>
      <c r="G6135" s="1">
        <v>0</v>
      </c>
      <c r="H6135" s="1" t="s">
        <v>5</v>
      </c>
      <c r="M6135" s="1" t="s">
        <v>677</v>
      </c>
      <c r="O6135" s="1" t="s">
        <v>626</v>
      </c>
      <c r="P6135" s="1" t="s">
        <v>423</v>
      </c>
      <c r="Q6135" s="1" t="s">
        <v>5</v>
      </c>
      <c r="S6135" s="1" t="s">
        <v>5</v>
      </c>
      <c r="T6135" s="1" t="s">
        <v>5</v>
      </c>
      <c r="V6135" s="1" t="s">
        <v>5</v>
      </c>
      <c r="W6135" s="1" t="s">
        <v>5</v>
      </c>
      <c r="X6135" s="11"/>
      <c r="Y6135" s="23">
        <v>0</v>
      </c>
      <c r="Z6135" s="60">
        <v>0</v>
      </c>
      <c r="AA6135" s="11">
        <v>0</v>
      </c>
    </row>
    <row r="6136" spans="1:27" x14ac:dyDescent="0.2">
      <c r="A6136" s="1">
        <v>29</v>
      </c>
      <c r="B6136" s="1" t="s">
        <v>92</v>
      </c>
      <c r="C6136" s="1" t="s">
        <v>93</v>
      </c>
      <c r="D6136" s="1">
        <v>1857</v>
      </c>
      <c r="E6136" s="11">
        <v>0</v>
      </c>
      <c r="G6136" s="1">
        <v>0</v>
      </c>
      <c r="H6136" s="1" t="s">
        <v>5</v>
      </c>
      <c r="M6136" s="1" t="s">
        <v>677</v>
      </c>
      <c r="O6136" s="1" t="s">
        <v>626</v>
      </c>
      <c r="P6136" s="1" t="s">
        <v>423</v>
      </c>
      <c r="Q6136" s="1" t="s">
        <v>5</v>
      </c>
      <c r="S6136" s="1" t="s">
        <v>5</v>
      </c>
      <c r="T6136" s="1" t="s">
        <v>5</v>
      </c>
      <c r="V6136" s="1" t="s">
        <v>5</v>
      </c>
      <c r="W6136" s="1" t="s">
        <v>5</v>
      </c>
      <c r="X6136" s="11"/>
      <c r="Y6136" s="23">
        <v>0</v>
      </c>
      <c r="Z6136" s="60">
        <v>0</v>
      </c>
      <c r="AA6136" s="11">
        <v>0</v>
      </c>
    </row>
    <row r="6137" spans="1:27" x14ac:dyDescent="0.2">
      <c r="A6137" s="1">
        <v>29</v>
      </c>
      <c r="B6137" s="1" t="s">
        <v>92</v>
      </c>
      <c r="C6137" s="1" t="s">
        <v>93</v>
      </c>
      <c r="D6137" s="1">
        <v>1858</v>
      </c>
      <c r="E6137" s="11">
        <v>0</v>
      </c>
      <c r="G6137" s="1">
        <v>0</v>
      </c>
      <c r="H6137" s="1" t="s">
        <v>5</v>
      </c>
      <c r="M6137" s="1" t="s">
        <v>677</v>
      </c>
      <c r="O6137" s="1" t="s">
        <v>626</v>
      </c>
      <c r="P6137" s="1" t="s">
        <v>423</v>
      </c>
      <c r="Q6137" s="1" t="s">
        <v>5</v>
      </c>
      <c r="S6137" s="1" t="s">
        <v>5</v>
      </c>
      <c r="T6137" s="1" t="s">
        <v>5</v>
      </c>
      <c r="V6137" s="1" t="s">
        <v>5</v>
      </c>
      <c r="W6137" s="1" t="s">
        <v>5</v>
      </c>
      <c r="X6137" s="11"/>
      <c r="Y6137" s="23">
        <v>0</v>
      </c>
      <c r="Z6137" s="60">
        <v>0</v>
      </c>
      <c r="AA6137" s="11">
        <v>0</v>
      </c>
    </row>
    <row r="6138" spans="1:27" x14ac:dyDescent="0.2">
      <c r="A6138" s="1">
        <v>29</v>
      </c>
      <c r="B6138" s="1" t="s">
        <v>92</v>
      </c>
      <c r="C6138" s="1" t="s">
        <v>93</v>
      </c>
      <c r="D6138" s="1">
        <v>1859</v>
      </c>
      <c r="E6138" s="11">
        <v>0</v>
      </c>
      <c r="G6138" s="1">
        <v>0</v>
      </c>
      <c r="H6138" s="1" t="s">
        <v>5</v>
      </c>
      <c r="M6138" s="1" t="s">
        <v>677</v>
      </c>
      <c r="O6138" s="1" t="s">
        <v>626</v>
      </c>
      <c r="P6138" s="1" t="s">
        <v>423</v>
      </c>
      <c r="Q6138" s="1" t="s">
        <v>5</v>
      </c>
      <c r="S6138" s="1" t="s">
        <v>5</v>
      </c>
      <c r="T6138" s="1" t="s">
        <v>5</v>
      </c>
      <c r="V6138" s="1" t="s">
        <v>5</v>
      </c>
      <c r="W6138" s="1" t="s">
        <v>5</v>
      </c>
      <c r="X6138" s="11"/>
      <c r="Y6138" s="23">
        <v>0</v>
      </c>
      <c r="Z6138" s="60">
        <v>0</v>
      </c>
      <c r="AA6138" s="11">
        <v>0</v>
      </c>
    </row>
    <row r="6139" spans="1:27" x14ac:dyDescent="0.2">
      <c r="A6139" s="1">
        <v>29</v>
      </c>
      <c r="B6139" s="1" t="s">
        <v>92</v>
      </c>
      <c r="C6139" s="1" t="s">
        <v>93</v>
      </c>
      <c r="D6139" s="1">
        <v>1860</v>
      </c>
      <c r="E6139" s="11">
        <v>0</v>
      </c>
      <c r="G6139" s="1">
        <v>0</v>
      </c>
      <c r="H6139" s="1" t="s">
        <v>5</v>
      </c>
      <c r="M6139" s="1" t="s">
        <v>677</v>
      </c>
      <c r="O6139" s="1" t="s">
        <v>626</v>
      </c>
      <c r="P6139" s="1" t="s">
        <v>423</v>
      </c>
      <c r="Q6139" s="1" t="s">
        <v>5</v>
      </c>
      <c r="S6139" s="1" t="s">
        <v>5</v>
      </c>
      <c r="T6139" s="1" t="s">
        <v>5</v>
      </c>
      <c r="V6139" s="1" t="s">
        <v>5</v>
      </c>
      <c r="W6139" s="1" t="s">
        <v>5</v>
      </c>
      <c r="X6139" s="11"/>
      <c r="Y6139" s="23">
        <v>0</v>
      </c>
      <c r="Z6139" s="60">
        <v>0</v>
      </c>
      <c r="AA6139" s="11">
        <v>0</v>
      </c>
    </row>
    <row r="6140" spans="1:27" x14ac:dyDescent="0.2">
      <c r="A6140" s="1">
        <v>29</v>
      </c>
      <c r="B6140" s="1" t="s">
        <v>92</v>
      </c>
      <c r="C6140" s="1" t="s">
        <v>93</v>
      </c>
      <c r="D6140" s="1">
        <v>1861</v>
      </c>
      <c r="E6140" s="11">
        <v>0</v>
      </c>
      <c r="G6140" s="1">
        <v>0</v>
      </c>
      <c r="H6140" s="1" t="s">
        <v>5</v>
      </c>
      <c r="M6140" s="1" t="s">
        <v>677</v>
      </c>
      <c r="O6140" s="1" t="s">
        <v>626</v>
      </c>
      <c r="P6140" s="1" t="s">
        <v>423</v>
      </c>
      <c r="Q6140" s="1" t="s">
        <v>5</v>
      </c>
      <c r="S6140" s="1" t="s">
        <v>5</v>
      </c>
      <c r="T6140" s="1" t="s">
        <v>5</v>
      </c>
      <c r="V6140" s="1" t="s">
        <v>5</v>
      </c>
      <c r="W6140" s="1" t="s">
        <v>5</v>
      </c>
      <c r="X6140" s="11"/>
      <c r="Y6140" s="23">
        <v>0</v>
      </c>
      <c r="Z6140" s="60">
        <v>0</v>
      </c>
      <c r="AA6140" s="11">
        <v>0</v>
      </c>
    </row>
    <row r="6141" spans="1:27" x14ac:dyDescent="0.2">
      <c r="A6141" s="1">
        <v>29</v>
      </c>
      <c r="B6141" s="1" t="s">
        <v>92</v>
      </c>
      <c r="C6141" s="1" t="s">
        <v>93</v>
      </c>
      <c r="D6141" s="1">
        <v>1862</v>
      </c>
      <c r="E6141" s="11">
        <v>0</v>
      </c>
      <c r="G6141" s="1">
        <v>0</v>
      </c>
      <c r="H6141" s="1" t="s">
        <v>5</v>
      </c>
      <c r="M6141" s="1" t="s">
        <v>677</v>
      </c>
      <c r="O6141" s="1" t="s">
        <v>626</v>
      </c>
      <c r="P6141" s="1" t="s">
        <v>423</v>
      </c>
      <c r="Q6141" s="1" t="s">
        <v>5</v>
      </c>
      <c r="S6141" s="1" t="s">
        <v>5</v>
      </c>
      <c r="T6141" s="1" t="s">
        <v>5</v>
      </c>
      <c r="V6141" s="1" t="s">
        <v>5</v>
      </c>
      <c r="W6141" s="1" t="s">
        <v>5</v>
      </c>
      <c r="X6141" s="11"/>
      <c r="Y6141" s="23">
        <v>0</v>
      </c>
      <c r="Z6141" s="60">
        <v>0</v>
      </c>
      <c r="AA6141" s="11">
        <v>0</v>
      </c>
    </row>
    <row r="6142" spans="1:27" x14ac:dyDescent="0.2">
      <c r="A6142" s="1">
        <v>29</v>
      </c>
      <c r="B6142" s="1" t="s">
        <v>92</v>
      </c>
      <c r="C6142" s="1" t="s">
        <v>93</v>
      </c>
      <c r="D6142" s="1">
        <v>1863</v>
      </c>
      <c r="E6142" s="11">
        <v>0</v>
      </c>
      <c r="G6142" s="1">
        <v>0</v>
      </c>
      <c r="H6142" s="1" t="s">
        <v>5</v>
      </c>
      <c r="M6142" s="1" t="s">
        <v>677</v>
      </c>
      <c r="O6142" s="1" t="s">
        <v>626</v>
      </c>
      <c r="P6142" s="1" t="s">
        <v>423</v>
      </c>
      <c r="Q6142" s="1" t="s">
        <v>5</v>
      </c>
      <c r="S6142" s="1" t="s">
        <v>5</v>
      </c>
      <c r="T6142" s="1" t="s">
        <v>5</v>
      </c>
      <c r="V6142" s="1" t="s">
        <v>5</v>
      </c>
      <c r="W6142" s="1" t="s">
        <v>5</v>
      </c>
      <c r="X6142" s="11"/>
      <c r="Y6142" s="23">
        <v>0</v>
      </c>
      <c r="Z6142" s="60">
        <v>0</v>
      </c>
      <c r="AA6142" s="11">
        <v>0</v>
      </c>
    </row>
    <row r="6143" spans="1:27" x14ac:dyDescent="0.2">
      <c r="A6143" s="1">
        <v>29</v>
      </c>
      <c r="B6143" s="1" t="s">
        <v>92</v>
      </c>
      <c r="C6143" s="1" t="s">
        <v>93</v>
      </c>
      <c r="D6143" s="1">
        <v>1864</v>
      </c>
      <c r="E6143" s="11">
        <v>0</v>
      </c>
      <c r="G6143" s="1">
        <v>0</v>
      </c>
      <c r="H6143" s="1" t="s">
        <v>5</v>
      </c>
      <c r="M6143" s="1" t="s">
        <v>677</v>
      </c>
      <c r="O6143" s="1" t="s">
        <v>626</v>
      </c>
      <c r="P6143" s="1" t="s">
        <v>423</v>
      </c>
      <c r="Q6143" s="1" t="s">
        <v>5</v>
      </c>
      <c r="S6143" s="1" t="s">
        <v>5</v>
      </c>
      <c r="T6143" s="1" t="s">
        <v>5</v>
      </c>
      <c r="V6143" s="1" t="s">
        <v>5</v>
      </c>
      <c r="W6143" s="1" t="s">
        <v>5</v>
      </c>
      <c r="X6143" s="11"/>
      <c r="Y6143" s="23">
        <v>0</v>
      </c>
      <c r="Z6143" s="60">
        <v>0</v>
      </c>
      <c r="AA6143" s="11">
        <v>0</v>
      </c>
    </row>
    <row r="6144" spans="1:27" x14ac:dyDescent="0.2">
      <c r="A6144" s="1">
        <v>29</v>
      </c>
      <c r="B6144" s="1" t="s">
        <v>92</v>
      </c>
      <c r="C6144" s="1" t="s">
        <v>93</v>
      </c>
      <c r="D6144" s="1">
        <v>1865</v>
      </c>
      <c r="E6144" s="11">
        <v>0</v>
      </c>
      <c r="G6144" s="1">
        <v>0</v>
      </c>
      <c r="H6144" s="1" t="s">
        <v>5</v>
      </c>
      <c r="M6144" s="1" t="s">
        <v>677</v>
      </c>
      <c r="O6144" s="1" t="s">
        <v>626</v>
      </c>
      <c r="P6144" s="1" t="s">
        <v>423</v>
      </c>
      <c r="Q6144" s="1" t="s">
        <v>5</v>
      </c>
      <c r="S6144" s="1" t="s">
        <v>5</v>
      </c>
      <c r="T6144" s="1" t="s">
        <v>5</v>
      </c>
      <c r="V6144" s="1" t="s">
        <v>5</v>
      </c>
      <c r="W6144" s="1" t="s">
        <v>5</v>
      </c>
      <c r="X6144" s="11"/>
      <c r="Y6144" s="23">
        <v>0</v>
      </c>
      <c r="Z6144" s="60">
        <v>0</v>
      </c>
      <c r="AA6144" s="11">
        <v>0</v>
      </c>
    </row>
    <row r="6145" spans="1:27" x14ac:dyDescent="0.2">
      <c r="A6145" s="1">
        <v>29</v>
      </c>
      <c r="B6145" s="1" t="s">
        <v>92</v>
      </c>
      <c r="C6145" s="1" t="s">
        <v>93</v>
      </c>
      <c r="D6145" s="1">
        <v>1866</v>
      </c>
      <c r="E6145" s="11">
        <v>0</v>
      </c>
      <c r="G6145" s="1">
        <v>0</v>
      </c>
      <c r="H6145" s="1" t="s">
        <v>5</v>
      </c>
      <c r="M6145" s="1" t="s">
        <v>677</v>
      </c>
      <c r="O6145" s="1" t="s">
        <v>626</v>
      </c>
      <c r="P6145" s="1" t="s">
        <v>423</v>
      </c>
      <c r="Q6145" s="1" t="s">
        <v>5</v>
      </c>
      <c r="S6145" s="1" t="s">
        <v>5</v>
      </c>
      <c r="T6145" s="1" t="s">
        <v>5</v>
      </c>
      <c r="V6145" s="1" t="s">
        <v>5</v>
      </c>
      <c r="W6145" s="1" t="s">
        <v>5</v>
      </c>
      <c r="X6145" s="11"/>
      <c r="Y6145" s="23">
        <v>0</v>
      </c>
      <c r="Z6145" s="60">
        <v>0</v>
      </c>
      <c r="AA6145" s="11">
        <v>0</v>
      </c>
    </row>
    <row r="6146" spans="1:27" x14ac:dyDescent="0.2">
      <c r="A6146" s="1">
        <v>29</v>
      </c>
      <c r="B6146" s="1" t="s">
        <v>92</v>
      </c>
      <c r="C6146" s="1" t="s">
        <v>93</v>
      </c>
      <c r="D6146" s="1">
        <v>1867</v>
      </c>
      <c r="E6146" s="11">
        <v>0</v>
      </c>
      <c r="G6146" s="1">
        <v>0</v>
      </c>
      <c r="H6146" s="1" t="s">
        <v>5</v>
      </c>
      <c r="M6146" s="1" t="s">
        <v>677</v>
      </c>
      <c r="O6146" s="1" t="s">
        <v>626</v>
      </c>
      <c r="P6146" s="1" t="s">
        <v>423</v>
      </c>
      <c r="Q6146" s="1" t="s">
        <v>5</v>
      </c>
      <c r="S6146" s="1" t="s">
        <v>5</v>
      </c>
      <c r="T6146" s="1" t="s">
        <v>5</v>
      </c>
      <c r="V6146" s="1" t="s">
        <v>5</v>
      </c>
      <c r="W6146" s="1" t="s">
        <v>5</v>
      </c>
      <c r="X6146" s="11"/>
      <c r="Y6146" s="23">
        <v>0</v>
      </c>
      <c r="Z6146" s="60">
        <v>0</v>
      </c>
      <c r="AA6146" s="11">
        <v>0</v>
      </c>
    </row>
    <row r="6147" spans="1:27" x14ac:dyDescent="0.2">
      <c r="A6147" s="1">
        <v>29</v>
      </c>
      <c r="B6147" s="1" t="s">
        <v>92</v>
      </c>
      <c r="C6147" s="1" t="s">
        <v>93</v>
      </c>
      <c r="D6147" s="1">
        <v>1868</v>
      </c>
      <c r="E6147" s="11">
        <v>0</v>
      </c>
      <c r="G6147" s="1">
        <v>0</v>
      </c>
      <c r="H6147" s="1" t="s">
        <v>5</v>
      </c>
      <c r="M6147" s="1" t="s">
        <v>677</v>
      </c>
      <c r="O6147" s="1" t="s">
        <v>626</v>
      </c>
      <c r="P6147" s="1" t="s">
        <v>423</v>
      </c>
      <c r="Q6147" s="1" t="s">
        <v>5</v>
      </c>
      <c r="S6147" s="1" t="s">
        <v>5</v>
      </c>
      <c r="T6147" s="1" t="s">
        <v>5</v>
      </c>
      <c r="V6147" s="1" t="s">
        <v>5</v>
      </c>
      <c r="W6147" s="1" t="s">
        <v>5</v>
      </c>
      <c r="X6147" s="11"/>
      <c r="Y6147" s="23">
        <v>0</v>
      </c>
      <c r="Z6147" s="60">
        <v>0</v>
      </c>
      <c r="AA6147" s="11">
        <v>0</v>
      </c>
    </row>
    <row r="6148" spans="1:27" x14ac:dyDescent="0.2">
      <c r="A6148" s="1">
        <v>29</v>
      </c>
      <c r="B6148" s="1" t="s">
        <v>92</v>
      </c>
      <c r="C6148" s="1" t="s">
        <v>93</v>
      </c>
      <c r="D6148" s="1">
        <v>1869</v>
      </c>
      <c r="E6148" s="11">
        <v>0</v>
      </c>
      <c r="G6148" s="1">
        <v>0</v>
      </c>
      <c r="H6148" s="1" t="s">
        <v>5</v>
      </c>
      <c r="M6148" s="1" t="s">
        <v>677</v>
      </c>
      <c r="O6148" s="1" t="s">
        <v>626</v>
      </c>
      <c r="P6148" s="1" t="s">
        <v>423</v>
      </c>
      <c r="Q6148" s="1" t="s">
        <v>5</v>
      </c>
      <c r="S6148" s="1" t="s">
        <v>5</v>
      </c>
      <c r="T6148" s="1" t="s">
        <v>5</v>
      </c>
      <c r="V6148" s="1" t="s">
        <v>5</v>
      </c>
      <c r="W6148" s="1" t="s">
        <v>5</v>
      </c>
      <c r="X6148" s="11"/>
      <c r="Y6148" s="23">
        <v>0</v>
      </c>
      <c r="Z6148" s="60">
        <v>0</v>
      </c>
      <c r="AA6148" s="11">
        <v>0</v>
      </c>
    </row>
    <row r="6149" spans="1:27" x14ac:dyDescent="0.2">
      <c r="A6149" s="1">
        <v>29</v>
      </c>
      <c r="B6149" s="1" t="s">
        <v>92</v>
      </c>
      <c r="C6149" s="1" t="s">
        <v>93</v>
      </c>
      <c r="D6149" s="1">
        <v>1870</v>
      </c>
      <c r="E6149" s="11">
        <v>0</v>
      </c>
      <c r="G6149" s="1">
        <v>0</v>
      </c>
      <c r="H6149" s="1" t="s">
        <v>5</v>
      </c>
      <c r="M6149" s="1" t="s">
        <v>677</v>
      </c>
      <c r="O6149" s="1" t="s">
        <v>626</v>
      </c>
      <c r="P6149" s="1" t="s">
        <v>423</v>
      </c>
      <c r="Q6149" s="1" t="s">
        <v>5</v>
      </c>
      <c r="S6149" s="1" t="s">
        <v>5</v>
      </c>
      <c r="T6149" s="1" t="s">
        <v>5</v>
      </c>
      <c r="V6149" s="1" t="s">
        <v>5</v>
      </c>
      <c r="W6149" s="1" t="s">
        <v>5</v>
      </c>
      <c r="X6149" s="96"/>
      <c r="Y6149" s="23">
        <v>0</v>
      </c>
      <c r="Z6149" s="60">
        <v>0</v>
      </c>
      <c r="AA6149" s="11">
        <v>0</v>
      </c>
    </row>
    <row r="6150" spans="1:27" x14ac:dyDescent="0.2">
      <c r="A6150" s="1">
        <v>29</v>
      </c>
      <c r="B6150" s="1" t="s">
        <v>92</v>
      </c>
      <c r="C6150" s="1" t="s">
        <v>93</v>
      </c>
      <c r="D6150" s="1">
        <v>1871</v>
      </c>
      <c r="E6150" s="11">
        <v>0</v>
      </c>
      <c r="G6150" s="1">
        <v>0</v>
      </c>
      <c r="H6150" s="1" t="s">
        <v>5</v>
      </c>
      <c r="M6150" s="1" t="s">
        <v>677</v>
      </c>
      <c r="O6150" s="1" t="s">
        <v>626</v>
      </c>
      <c r="P6150" s="1" t="s">
        <v>423</v>
      </c>
      <c r="Q6150" s="1" t="s">
        <v>5</v>
      </c>
      <c r="S6150" s="1" t="s">
        <v>5</v>
      </c>
      <c r="T6150" s="1" t="s">
        <v>5</v>
      </c>
      <c r="V6150" s="1" t="s">
        <v>5</v>
      </c>
      <c r="W6150" s="1" t="s">
        <v>5</v>
      </c>
      <c r="X6150" s="96"/>
      <c r="Y6150" s="23">
        <v>0</v>
      </c>
      <c r="Z6150" s="60">
        <v>0</v>
      </c>
      <c r="AA6150" s="11">
        <v>0</v>
      </c>
    </row>
    <row r="6151" spans="1:27" x14ac:dyDescent="0.2">
      <c r="A6151" s="1">
        <v>29</v>
      </c>
      <c r="B6151" s="1" t="s">
        <v>92</v>
      </c>
      <c r="C6151" s="1" t="s">
        <v>93</v>
      </c>
      <c r="D6151" s="1">
        <v>1872</v>
      </c>
      <c r="E6151" s="11">
        <v>0</v>
      </c>
      <c r="G6151" s="1">
        <v>0</v>
      </c>
      <c r="H6151" s="1" t="s">
        <v>5</v>
      </c>
      <c r="M6151" s="1" t="s">
        <v>677</v>
      </c>
      <c r="O6151" s="1" t="s">
        <v>626</v>
      </c>
      <c r="P6151" s="1" t="s">
        <v>423</v>
      </c>
      <c r="Q6151" s="1" t="s">
        <v>5</v>
      </c>
      <c r="S6151" s="1" t="s">
        <v>5</v>
      </c>
      <c r="T6151" s="1" t="s">
        <v>5</v>
      </c>
      <c r="V6151" s="1" t="s">
        <v>5</v>
      </c>
      <c r="W6151" s="1" t="s">
        <v>5</v>
      </c>
      <c r="X6151" s="11"/>
      <c r="Y6151" s="23">
        <v>0</v>
      </c>
      <c r="Z6151" s="60">
        <v>0</v>
      </c>
      <c r="AA6151" s="11">
        <v>0</v>
      </c>
    </row>
    <row r="6152" spans="1:27" x14ac:dyDescent="0.2">
      <c r="A6152" s="1">
        <v>29</v>
      </c>
      <c r="B6152" s="1" t="s">
        <v>92</v>
      </c>
      <c r="C6152" s="1" t="s">
        <v>93</v>
      </c>
      <c r="D6152" s="1">
        <v>1873</v>
      </c>
      <c r="E6152" s="11">
        <v>0</v>
      </c>
      <c r="G6152" s="1">
        <v>0</v>
      </c>
      <c r="H6152" s="1" t="s">
        <v>5</v>
      </c>
      <c r="M6152" s="1" t="s">
        <v>677</v>
      </c>
      <c r="O6152" s="1" t="s">
        <v>626</v>
      </c>
      <c r="P6152" s="1" t="s">
        <v>423</v>
      </c>
      <c r="Q6152" s="1" t="s">
        <v>5</v>
      </c>
      <c r="S6152" s="1" t="s">
        <v>5</v>
      </c>
      <c r="T6152" s="1" t="s">
        <v>5</v>
      </c>
      <c r="V6152" s="1" t="s">
        <v>5</v>
      </c>
      <c r="W6152" s="1" t="s">
        <v>5</v>
      </c>
      <c r="X6152" s="11"/>
      <c r="Y6152" s="23">
        <v>0</v>
      </c>
      <c r="Z6152" s="60">
        <v>0</v>
      </c>
      <c r="AA6152" s="11">
        <v>0</v>
      </c>
    </row>
    <row r="6153" spans="1:27" x14ac:dyDescent="0.2">
      <c r="A6153" s="1">
        <v>29</v>
      </c>
      <c r="B6153" s="1" t="s">
        <v>92</v>
      </c>
      <c r="C6153" s="1" t="s">
        <v>93</v>
      </c>
      <c r="D6153" s="1">
        <v>1874</v>
      </c>
      <c r="E6153" s="11">
        <v>0</v>
      </c>
      <c r="G6153" s="1">
        <v>0</v>
      </c>
      <c r="H6153" s="1" t="s">
        <v>5</v>
      </c>
      <c r="M6153" s="1" t="s">
        <v>677</v>
      </c>
      <c r="O6153" s="1" t="s">
        <v>626</v>
      </c>
      <c r="P6153" s="1" t="s">
        <v>423</v>
      </c>
      <c r="Q6153" s="1" t="s">
        <v>5</v>
      </c>
      <c r="S6153" s="1" t="s">
        <v>5</v>
      </c>
      <c r="T6153" s="1" t="s">
        <v>5</v>
      </c>
      <c r="V6153" s="1" t="s">
        <v>5</v>
      </c>
      <c r="W6153" s="1" t="s">
        <v>5</v>
      </c>
      <c r="X6153" s="11"/>
      <c r="Y6153" s="23">
        <v>0</v>
      </c>
      <c r="Z6153" s="60">
        <v>0</v>
      </c>
      <c r="AA6153" s="11">
        <v>0</v>
      </c>
    </row>
    <row r="6154" spans="1:27" x14ac:dyDescent="0.2">
      <c r="A6154" s="1">
        <v>29</v>
      </c>
      <c r="B6154" s="1" t="s">
        <v>92</v>
      </c>
      <c r="C6154" s="1" t="s">
        <v>93</v>
      </c>
      <c r="D6154" s="1">
        <v>1875</v>
      </c>
      <c r="E6154" s="11">
        <v>0</v>
      </c>
      <c r="G6154" s="1">
        <v>0</v>
      </c>
      <c r="H6154" s="1" t="s">
        <v>5</v>
      </c>
      <c r="M6154" s="1" t="s">
        <v>677</v>
      </c>
      <c r="O6154" s="1" t="s">
        <v>626</v>
      </c>
      <c r="P6154" s="1" t="s">
        <v>423</v>
      </c>
      <c r="Q6154" s="1" t="s">
        <v>5</v>
      </c>
      <c r="S6154" s="1" t="s">
        <v>5</v>
      </c>
      <c r="T6154" s="1" t="s">
        <v>5</v>
      </c>
      <c r="V6154" s="1" t="s">
        <v>5</v>
      </c>
      <c r="W6154" s="1" t="s">
        <v>5</v>
      </c>
      <c r="X6154" s="11"/>
      <c r="Y6154" s="23">
        <v>0</v>
      </c>
      <c r="Z6154" s="60">
        <v>0</v>
      </c>
      <c r="AA6154" s="11">
        <v>0</v>
      </c>
    </row>
    <row r="6155" spans="1:27" x14ac:dyDescent="0.2">
      <c r="A6155" s="1">
        <v>29</v>
      </c>
      <c r="B6155" s="1" t="s">
        <v>92</v>
      </c>
      <c r="C6155" s="1" t="s">
        <v>93</v>
      </c>
      <c r="D6155" s="1">
        <v>1876</v>
      </c>
      <c r="E6155" s="11">
        <v>0</v>
      </c>
      <c r="G6155" s="1">
        <v>0</v>
      </c>
      <c r="H6155" s="1" t="s">
        <v>5</v>
      </c>
      <c r="M6155" s="1" t="s">
        <v>677</v>
      </c>
      <c r="O6155" s="1" t="s">
        <v>626</v>
      </c>
      <c r="P6155" s="1" t="s">
        <v>423</v>
      </c>
      <c r="Q6155" s="1" t="s">
        <v>5</v>
      </c>
      <c r="S6155" s="1" t="s">
        <v>5</v>
      </c>
      <c r="T6155" s="1" t="s">
        <v>5</v>
      </c>
      <c r="V6155" s="1" t="s">
        <v>5</v>
      </c>
      <c r="W6155" s="1" t="s">
        <v>5</v>
      </c>
      <c r="X6155" s="11"/>
      <c r="Y6155" s="23">
        <v>0</v>
      </c>
      <c r="Z6155" s="60">
        <v>0</v>
      </c>
      <c r="AA6155" s="11">
        <v>0</v>
      </c>
    </row>
    <row r="6156" spans="1:27" x14ac:dyDescent="0.2">
      <c r="A6156" s="1">
        <v>29</v>
      </c>
      <c r="B6156" s="1" t="s">
        <v>92</v>
      </c>
      <c r="C6156" s="1" t="s">
        <v>93</v>
      </c>
      <c r="D6156" s="1">
        <v>1877</v>
      </c>
      <c r="E6156" s="11">
        <v>0</v>
      </c>
      <c r="G6156" s="1">
        <v>0</v>
      </c>
      <c r="H6156" s="1" t="s">
        <v>5</v>
      </c>
      <c r="M6156" s="1" t="s">
        <v>677</v>
      </c>
      <c r="O6156" s="1" t="s">
        <v>626</v>
      </c>
      <c r="P6156" s="1" t="s">
        <v>423</v>
      </c>
      <c r="Q6156" s="1" t="s">
        <v>5</v>
      </c>
      <c r="S6156" s="1" t="s">
        <v>5</v>
      </c>
      <c r="T6156" s="1" t="s">
        <v>5</v>
      </c>
      <c r="V6156" s="1" t="s">
        <v>5</v>
      </c>
      <c r="W6156" s="1" t="s">
        <v>5</v>
      </c>
      <c r="X6156" s="11"/>
      <c r="Y6156" s="23">
        <v>0</v>
      </c>
      <c r="Z6156" s="60">
        <v>0</v>
      </c>
      <c r="AA6156" s="11">
        <v>0</v>
      </c>
    </row>
    <row r="6157" spans="1:27" x14ac:dyDescent="0.2">
      <c r="A6157" s="1">
        <v>29</v>
      </c>
      <c r="B6157" s="1" t="s">
        <v>92</v>
      </c>
      <c r="C6157" s="1" t="s">
        <v>93</v>
      </c>
      <c r="D6157" s="1">
        <v>1878</v>
      </c>
      <c r="E6157" s="11">
        <v>0</v>
      </c>
      <c r="G6157" s="1">
        <v>0</v>
      </c>
      <c r="H6157" s="1" t="s">
        <v>5</v>
      </c>
      <c r="M6157" s="1" t="s">
        <v>677</v>
      </c>
      <c r="O6157" s="1" t="s">
        <v>626</v>
      </c>
      <c r="P6157" s="1" t="s">
        <v>423</v>
      </c>
      <c r="Q6157" s="1" t="s">
        <v>5</v>
      </c>
      <c r="S6157" s="1" t="s">
        <v>5</v>
      </c>
      <c r="T6157" s="1" t="s">
        <v>5</v>
      </c>
      <c r="V6157" s="1" t="s">
        <v>5</v>
      </c>
      <c r="W6157" s="1" t="s">
        <v>5</v>
      </c>
      <c r="X6157" s="11"/>
      <c r="Y6157" s="23">
        <v>0</v>
      </c>
      <c r="Z6157" s="60">
        <v>0</v>
      </c>
      <c r="AA6157" s="11">
        <v>0</v>
      </c>
    </row>
    <row r="6158" spans="1:27" x14ac:dyDescent="0.2">
      <c r="A6158" s="1">
        <v>29</v>
      </c>
      <c r="B6158" s="1" t="s">
        <v>92</v>
      </c>
      <c r="C6158" s="1" t="s">
        <v>93</v>
      </c>
      <c r="D6158" s="1">
        <v>1879</v>
      </c>
      <c r="E6158" s="11">
        <v>0</v>
      </c>
      <c r="G6158" s="1">
        <v>0</v>
      </c>
      <c r="H6158" s="1" t="s">
        <v>5</v>
      </c>
      <c r="M6158" s="1" t="s">
        <v>677</v>
      </c>
      <c r="O6158" s="1" t="s">
        <v>626</v>
      </c>
      <c r="P6158" s="1" t="s">
        <v>423</v>
      </c>
      <c r="Q6158" s="1" t="s">
        <v>5</v>
      </c>
      <c r="S6158" s="1" t="s">
        <v>5</v>
      </c>
      <c r="T6158" s="1" t="s">
        <v>5</v>
      </c>
      <c r="V6158" s="1" t="s">
        <v>5</v>
      </c>
      <c r="W6158" s="1" t="s">
        <v>5</v>
      </c>
      <c r="X6158" s="11"/>
      <c r="Y6158" s="23">
        <v>0</v>
      </c>
      <c r="Z6158" s="60">
        <v>0</v>
      </c>
      <c r="AA6158" s="11">
        <v>0</v>
      </c>
    </row>
    <row r="6159" spans="1:27" x14ac:dyDescent="0.2">
      <c r="A6159" s="1">
        <v>29</v>
      </c>
      <c r="B6159" s="1" t="s">
        <v>92</v>
      </c>
      <c r="C6159" s="1" t="s">
        <v>93</v>
      </c>
      <c r="D6159" s="1">
        <v>1880</v>
      </c>
      <c r="E6159" s="11">
        <v>0</v>
      </c>
      <c r="G6159" s="1">
        <v>0</v>
      </c>
      <c r="H6159" s="1" t="s">
        <v>5</v>
      </c>
      <c r="M6159" s="1" t="s">
        <v>677</v>
      </c>
      <c r="O6159" s="1" t="s">
        <v>626</v>
      </c>
      <c r="P6159" s="1" t="s">
        <v>423</v>
      </c>
      <c r="Q6159" s="1" t="s">
        <v>5</v>
      </c>
      <c r="S6159" s="1" t="s">
        <v>5</v>
      </c>
      <c r="T6159" s="1" t="s">
        <v>5</v>
      </c>
      <c r="V6159" s="1" t="s">
        <v>5</v>
      </c>
      <c r="W6159" s="1" t="s">
        <v>5</v>
      </c>
      <c r="X6159" s="11"/>
      <c r="Y6159" s="23">
        <v>0</v>
      </c>
      <c r="Z6159" s="60">
        <v>0</v>
      </c>
      <c r="AA6159" s="11">
        <v>0</v>
      </c>
    </row>
    <row r="6160" spans="1:27" x14ac:dyDescent="0.2">
      <c r="A6160" s="1">
        <v>29</v>
      </c>
      <c r="B6160" s="1" t="s">
        <v>92</v>
      </c>
      <c r="C6160" s="1" t="s">
        <v>93</v>
      </c>
      <c r="D6160" s="1">
        <v>1881</v>
      </c>
      <c r="E6160" s="11">
        <v>0</v>
      </c>
      <c r="G6160" s="1">
        <v>0</v>
      </c>
      <c r="H6160" s="1" t="s">
        <v>5</v>
      </c>
      <c r="M6160" s="1" t="s">
        <v>677</v>
      </c>
      <c r="O6160" s="1" t="s">
        <v>626</v>
      </c>
      <c r="P6160" s="1" t="s">
        <v>423</v>
      </c>
      <c r="Q6160" s="1" t="s">
        <v>5</v>
      </c>
      <c r="S6160" s="1" t="s">
        <v>5</v>
      </c>
      <c r="T6160" s="1" t="s">
        <v>5</v>
      </c>
      <c r="V6160" s="1" t="s">
        <v>5</v>
      </c>
      <c r="W6160" s="1" t="s">
        <v>5</v>
      </c>
      <c r="X6160" s="11"/>
      <c r="Y6160" s="23">
        <v>0</v>
      </c>
      <c r="Z6160" s="60">
        <v>0</v>
      </c>
      <c r="AA6160" s="11">
        <v>0</v>
      </c>
    </row>
    <row r="6161" spans="1:27" x14ac:dyDescent="0.2">
      <c r="A6161" s="1">
        <v>29</v>
      </c>
      <c r="B6161" s="1" t="s">
        <v>92</v>
      </c>
      <c r="C6161" s="1" t="s">
        <v>93</v>
      </c>
      <c r="D6161" s="1">
        <v>1882</v>
      </c>
      <c r="E6161" s="11">
        <v>0</v>
      </c>
      <c r="G6161" s="1">
        <v>0</v>
      </c>
      <c r="H6161" s="1" t="s">
        <v>5</v>
      </c>
      <c r="M6161" s="1" t="s">
        <v>677</v>
      </c>
      <c r="O6161" s="1" t="s">
        <v>626</v>
      </c>
      <c r="P6161" s="1" t="s">
        <v>423</v>
      </c>
      <c r="Q6161" s="1" t="s">
        <v>5</v>
      </c>
      <c r="S6161" s="1" t="s">
        <v>5</v>
      </c>
      <c r="T6161" s="1" t="s">
        <v>5</v>
      </c>
      <c r="V6161" s="1" t="s">
        <v>5</v>
      </c>
      <c r="W6161" s="1" t="s">
        <v>5</v>
      </c>
      <c r="X6161" s="11"/>
      <c r="Y6161" s="23">
        <v>0</v>
      </c>
      <c r="Z6161" s="60">
        <v>0</v>
      </c>
      <c r="AA6161" s="11">
        <v>0</v>
      </c>
    </row>
    <row r="6162" spans="1:27" x14ac:dyDescent="0.2">
      <c r="A6162" s="1">
        <v>29</v>
      </c>
      <c r="B6162" s="1" t="s">
        <v>92</v>
      </c>
      <c r="C6162" s="1" t="s">
        <v>93</v>
      </c>
      <c r="D6162" s="1">
        <v>1883</v>
      </c>
      <c r="E6162" s="11">
        <v>0</v>
      </c>
      <c r="G6162" s="1">
        <v>0</v>
      </c>
      <c r="H6162" s="1" t="s">
        <v>5</v>
      </c>
      <c r="M6162" s="1" t="s">
        <v>677</v>
      </c>
      <c r="O6162" s="1" t="s">
        <v>626</v>
      </c>
      <c r="P6162" s="1" t="s">
        <v>423</v>
      </c>
      <c r="Q6162" s="1" t="s">
        <v>5</v>
      </c>
      <c r="S6162" s="1" t="s">
        <v>5</v>
      </c>
      <c r="T6162" s="1" t="s">
        <v>5</v>
      </c>
      <c r="V6162" s="1" t="s">
        <v>5</v>
      </c>
      <c r="W6162" s="1" t="s">
        <v>5</v>
      </c>
      <c r="X6162" s="11"/>
      <c r="Y6162" s="23">
        <v>0</v>
      </c>
      <c r="Z6162" s="60">
        <v>0</v>
      </c>
      <c r="AA6162" s="11">
        <v>0</v>
      </c>
    </row>
    <row r="6163" spans="1:27" x14ac:dyDescent="0.2">
      <c r="A6163" s="1">
        <v>29</v>
      </c>
      <c r="B6163" s="1" t="s">
        <v>92</v>
      </c>
      <c r="C6163" s="1" t="s">
        <v>93</v>
      </c>
      <c r="D6163" s="1">
        <v>1884</v>
      </c>
      <c r="E6163" s="11">
        <v>0</v>
      </c>
      <c r="G6163" s="1">
        <v>0</v>
      </c>
      <c r="H6163" s="1" t="s">
        <v>5</v>
      </c>
      <c r="M6163" s="1" t="s">
        <v>677</v>
      </c>
      <c r="O6163" s="1" t="s">
        <v>626</v>
      </c>
      <c r="P6163" s="1" t="s">
        <v>423</v>
      </c>
      <c r="Q6163" s="1" t="s">
        <v>5</v>
      </c>
      <c r="S6163" s="1" t="s">
        <v>5</v>
      </c>
      <c r="T6163" s="1" t="s">
        <v>5</v>
      </c>
      <c r="V6163" s="1" t="s">
        <v>5</v>
      </c>
      <c r="W6163" s="1" t="s">
        <v>5</v>
      </c>
      <c r="X6163" s="11"/>
      <c r="Y6163" s="23">
        <v>0</v>
      </c>
      <c r="Z6163" s="60">
        <v>0</v>
      </c>
      <c r="AA6163" s="11">
        <v>0</v>
      </c>
    </row>
    <row r="6164" spans="1:27" ht="12.75" customHeight="1" x14ac:dyDescent="0.2">
      <c r="A6164" s="1">
        <v>29</v>
      </c>
      <c r="B6164" s="1" t="s">
        <v>92</v>
      </c>
      <c r="C6164" s="1" t="s">
        <v>93</v>
      </c>
      <c r="D6164" s="1">
        <v>1885</v>
      </c>
      <c r="E6164" s="11">
        <v>0</v>
      </c>
      <c r="G6164" s="1">
        <v>0</v>
      </c>
      <c r="H6164" s="1" t="s">
        <v>5</v>
      </c>
      <c r="M6164" s="1" t="s">
        <v>677</v>
      </c>
      <c r="O6164" s="1" t="s">
        <v>626</v>
      </c>
      <c r="P6164" s="1" t="s">
        <v>423</v>
      </c>
      <c r="Q6164" s="1" t="s">
        <v>5</v>
      </c>
      <c r="S6164" s="1" t="s">
        <v>5</v>
      </c>
      <c r="T6164" s="1" t="s">
        <v>5</v>
      </c>
      <c r="V6164" s="1" t="s">
        <v>5</v>
      </c>
      <c r="W6164" s="1" t="s">
        <v>5</v>
      </c>
      <c r="X6164" s="11"/>
      <c r="Y6164" s="23">
        <v>0</v>
      </c>
      <c r="Z6164" s="60">
        <v>0</v>
      </c>
      <c r="AA6164" s="11">
        <v>0</v>
      </c>
    </row>
    <row r="6165" spans="1:27" x14ac:dyDescent="0.2">
      <c r="A6165" s="1">
        <v>29</v>
      </c>
      <c r="B6165" s="1" t="s">
        <v>92</v>
      </c>
      <c r="C6165" s="1" t="s">
        <v>93</v>
      </c>
      <c r="D6165" s="1">
        <v>1886</v>
      </c>
      <c r="E6165" s="11">
        <v>0</v>
      </c>
      <c r="G6165" s="1">
        <v>0</v>
      </c>
      <c r="H6165" s="1" t="s">
        <v>5</v>
      </c>
      <c r="M6165" s="1" t="s">
        <v>677</v>
      </c>
      <c r="O6165" s="1" t="s">
        <v>626</v>
      </c>
      <c r="P6165" s="1" t="s">
        <v>423</v>
      </c>
      <c r="Q6165" s="1" t="s">
        <v>5</v>
      </c>
      <c r="S6165" s="1" t="s">
        <v>5</v>
      </c>
      <c r="T6165" s="1" t="s">
        <v>5</v>
      </c>
      <c r="V6165" s="1" t="s">
        <v>5</v>
      </c>
      <c r="W6165" s="1" t="s">
        <v>5</v>
      </c>
      <c r="X6165" s="11"/>
      <c r="Y6165" s="23">
        <v>0</v>
      </c>
      <c r="Z6165" s="60">
        <v>0</v>
      </c>
      <c r="AA6165" s="11">
        <v>0</v>
      </c>
    </row>
    <row r="6166" spans="1:27" x14ac:dyDescent="0.2">
      <c r="A6166" s="1">
        <v>29</v>
      </c>
      <c r="B6166" s="1" t="s">
        <v>92</v>
      </c>
      <c r="C6166" s="1" t="s">
        <v>93</v>
      </c>
      <c r="D6166" s="1">
        <v>1887</v>
      </c>
      <c r="E6166" s="11">
        <v>0</v>
      </c>
      <c r="G6166" s="1">
        <v>0</v>
      </c>
      <c r="H6166" s="1" t="s">
        <v>5</v>
      </c>
      <c r="M6166" s="1" t="s">
        <v>677</v>
      </c>
      <c r="O6166" s="1" t="s">
        <v>626</v>
      </c>
      <c r="P6166" s="1" t="s">
        <v>423</v>
      </c>
      <c r="Q6166" s="1" t="s">
        <v>5</v>
      </c>
      <c r="S6166" s="1" t="s">
        <v>5</v>
      </c>
      <c r="T6166" s="1" t="s">
        <v>5</v>
      </c>
      <c r="V6166" s="1" t="s">
        <v>5</v>
      </c>
      <c r="W6166" s="1" t="s">
        <v>5</v>
      </c>
      <c r="X6166" s="11"/>
      <c r="Y6166" s="23">
        <v>0</v>
      </c>
      <c r="Z6166" s="60">
        <v>0</v>
      </c>
      <c r="AA6166" s="11">
        <v>0</v>
      </c>
    </row>
    <row r="6167" spans="1:27" x14ac:dyDescent="0.2">
      <c r="A6167" s="1">
        <v>29</v>
      </c>
      <c r="B6167" s="1" t="s">
        <v>92</v>
      </c>
      <c r="C6167" s="1" t="s">
        <v>93</v>
      </c>
      <c r="D6167" s="1">
        <v>1888</v>
      </c>
      <c r="E6167" s="11">
        <v>0</v>
      </c>
      <c r="G6167" s="1">
        <v>0</v>
      </c>
      <c r="H6167" s="1" t="s">
        <v>5</v>
      </c>
      <c r="M6167" s="1" t="s">
        <v>677</v>
      </c>
      <c r="O6167" s="1" t="s">
        <v>626</v>
      </c>
      <c r="P6167" s="1" t="s">
        <v>423</v>
      </c>
      <c r="Q6167" s="1" t="s">
        <v>5</v>
      </c>
      <c r="S6167" s="1" t="s">
        <v>5</v>
      </c>
      <c r="T6167" s="1" t="s">
        <v>5</v>
      </c>
      <c r="V6167" s="1" t="s">
        <v>5</v>
      </c>
      <c r="W6167" s="1" t="s">
        <v>5</v>
      </c>
      <c r="X6167" s="11"/>
      <c r="Y6167" s="23">
        <v>0</v>
      </c>
      <c r="Z6167" s="60">
        <v>0</v>
      </c>
      <c r="AA6167" s="11">
        <v>0</v>
      </c>
    </row>
    <row r="6168" spans="1:27" x14ac:dyDescent="0.2">
      <c r="A6168" s="1">
        <v>29</v>
      </c>
      <c r="B6168" s="1" t="s">
        <v>92</v>
      </c>
      <c r="C6168" s="1" t="s">
        <v>93</v>
      </c>
      <c r="D6168" s="1">
        <v>1889</v>
      </c>
      <c r="E6168" s="11">
        <v>0</v>
      </c>
      <c r="G6168" s="1">
        <v>0</v>
      </c>
      <c r="H6168" s="1" t="s">
        <v>5</v>
      </c>
      <c r="M6168" s="1" t="s">
        <v>677</v>
      </c>
      <c r="O6168" s="1" t="s">
        <v>626</v>
      </c>
      <c r="P6168" s="1" t="s">
        <v>423</v>
      </c>
      <c r="Q6168" s="1" t="s">
        <v>5</v>
      </c>
      <c r="S6168" s="1" t="s">
        <v>5</v>
      </c>
      <c r="T6168" s="1" t="s">
        <v>5</v>
      </c>
      <c r="V6168" s="1" t="s">
        <v>5</v>
      </c>
      <c r="W6168" s="1" t="s">
        <v>5</v>
      </c>
      <c r="X6168" s="11"/>
      <c r="Y6168" s="23">
        <v>0</v>
      </c>
      <c r="Z6168" s="60">
        <v>0</v>
      </c>
      <c r="AA6168" s="11">
        <v>0</v>
      </c>
    </row>
    <row r="6169" spans="1:27" x14ac:dyDescent="0.2">
      <c r="A6169" s="1">
        <v>29</v>
      </c>
      <c r="B6169" s="1" t="s">
        <v>92</v>
      </c>
      <c r="C6169" s="1" t="s">
        <v>93</v>
      </c>
      <c r="D6169" s="1">
        <v>1890</v>
      </c>
      <c r="E6169" s="11">
        <v>0</v>
      </c>
      <c r="G6169" s="1">
        <v>0</v>
      </c>
      <c r="H6169" s="1" t="s">
        <v>5</v>
      </c>
      <c r="M6169" s="1" t="s">
        <v>677</v>
      </c>
      <c r="O6169" s="1" t="s">
        <v>626</v>
      </c>
      <c r="P6169" s="1" t="s">
        <v>423</v>
      </c>
      <c r="Q6169" s="1" t="s">
        <v>5</v>
      </c>
      <c r="S6169" s="1" t="s">
        <v>5</v>
      </c>
      <c r="T6169" s="1" t="s">
        <v>5</v>
      </c>
      <c r="V6169" s="1" t="s">
        <v>5</v>
      </c>
      <c r="W6169" s="1" t="s">
        <v>5</v>
      </c>
      <c r="X6169" s="11"/>
      <c r="Y6169" s="23">
        <v>0</v>
      </c>
      <c r="Z6169" s="60">
        <v>0</v>
      </c>
      <c r="AA6169" s="11">
        <v>0</v>
      </c>
    </row>
    <row r="6170" spans="1:27" x14ac:dyDescent="0.2">
      <c r="A6170" s="1">
        <v>29</v>
      </c>
      <c r="B6170" s="1" t="s">
        <v>92</v>
      </c>
      <c r="C6170" s="1" t="s">
        <v>93</v>
      </c>
      <c r="D6170" s="1">
        <v>1891</v>
      </c>
      <c r="E6170" s="11">
        <v>0</v>
      </c>
      <c r="G6170" s="1">
        <v>0</v>
      </c>
      <c r="H6170" s="1" t="s">
        <v>5</v>
      </c>
      <c r="M6170" s="1" t="s">
        <v>677</v>
      </c>
      <c r="O6170" s="1" t="s">
        <v>626</v>
      </c>
      <c r="P6170" s="1" t="s">
        <v>423</v>
      </c>
      <c r="Q6170" s="1" t="s">
        <v>5</v>
      </c>
      <c r="S6170" s="1" t="s">
        <v>5</v>
      </c>
      <c r="T6170" s="1" t="s">
        <v>5</v>
      </c>
      <c r="V6170" s="1" t="s">
        <v>5</v>
      </c>
      <c r="W6170" s="1" t="s">
        <v>5</v>
      </c>
      <c r="X6170" s="11"/>
      <c r="Y6170" s="23">
        <v>0</v>
      </c>
      <c r="Z6170" s="60">
        <v>0</v>
      </c>
      <c r="AA6170" s="11">
        <v>0</v>
      </c>
    </row>
    <row r="6171" spans="1:27" x14ac:dyDescent="0.2">
      <c r="A6171" s="1">
        <v>29</v>
      </c>
      <c r="B6171" s="1" t="s">
        <v>92</v>
      </c>
      <c r="C6171" s="1" t="s">
        <v>93</v>
      </c>
      <c r="D6171" s="1">
        <v>1892</v>
      </c>
      <c r="E6171" s="11">
        <v>0</v>
      </c>
      <c r="G6171" s="1">
        <v>0</v>
      </c>
      <c r="H6171" s="1" t="s">
        <v>5</v>
      </c>
      <c r="M6171" s="1" t="s">
        <v>677</v>
      </c>
      <c r="O6171" s="1" t="s">
        <v>626</v>
      </c>
      <c r="P6171" s="1" t="s">
        <v>423</v>
      </c>
      <c r="Q6171" s="1" t="s">
        <v>5</v>
      </c>
      <c r="S6171" s="1" t="s">
        <v>5</v>
      </c>
      <c r="T6171" s="1" t="s">
        <v>5</v>
      </c>
      <c r="V6171" s="1" t="s">
        <v>5</v>
      </c>
      <c r="W6171" s="1" t="s">
        <v>5</v>
      </c>
      <c r="X6171" s="11"/>
      <c r="Y6171" s="23">
        <v>0</v>
      </c>
      <c r="Z6171" s="60">
        <v>0</v>
      </c>
      <c r="AA6171" s="11">
        <v>0</v>
      </c>
    </row>
    <row r="6172" spans="1:27" x14ac:dyDescent="0.2">
      <c r="A6172" s="1">
        <v>29</v>
      </c>
      <c r="B6172" s="1" t="s">
        <v>92</v>
      </c>
      <c r="C6172" s="1" t="s">
        <v>93</v>
      </c>
      <c r="D6172" s="1">
        <v>1893</v>
      </c>
      <c r="E6172" s="11">
        <v>0</v>
      </c>
      <c r="G6172" s="1">
        <v>0</v>
      </c>
      <c r="H6172" s="1" t="s">
        <v>5</v>
      </c>
      <c r="M6172" s="1" t="s">
        <v>677</v>
      </c>
      <c r="O6172" s="1" t="s">
        <v>626</v>
      </c>
      <c r="P6172" s="1" t="s">
        <v>423</v>
      </c>
      <c r="Q6172" s="1" t="s">
        <v>5</v>
      </c>
      <c r="S6172" s="1" t="s">
        <v>5</v>
      </c>
      <c r="T6172" s="1" t="s">
        <v>5</v>
      </c>
      <c r="V6172" s="1" t="s">
        <v>5</v>
      </c>
      <c r="W6172" s="1" t="s">
        <v>5</v>
      </c>
      <c r="X6172" s="11"/>
      <c r="Y6172" s="23">
        <v>0</v>
      </c>
      <c r="Z6172" s="60">
        <v>0</v>
      </c>
      <c r="AA6172" s="11">
        <v>0</v>
      </c>
    </row>
    <row r="6173" spans="1:27" x14ac:dyDescent="0.2">
      <c r="A6173" s="1">
        <v>29</v>
      </c>
      <c r="B6173" s="1" t="s">
        <v>92</v>
      </c>
      <c r="C6173" s="1" t="s">
        <v>93</v>
      </c>
      <c r="D6173" s="1">
        <v>1894</v>
      </c>
      <c r="E6173" s="11">
        <v>0</v>
      </c>
      <c r="G6173" s="1">
        <v>0</v>
      </c>
      <c r="H6173" s="1" t="s">
        <v>5</v>
      </c>
      <c r="M6173" s="1" t="s">
        <v>677</v>
      </c>
      <c r="O6173" s="1" t="s">
        <v>626</v>
      </c>
      <c r="P6173" s="1" t="s">
        <v>423</v>
      </c>
      <c r="Q6173" s="1" t="s">
        <v>5</v>
      </c>
      <c r="S6173" s="1" t="s">
        <v>5</v>
      </c>
      <c r="T6173" s="1" t="s">
        <v>5</v>
      </c>
      <c r="V6173" s="1" t="s">
        <v>5</v>
      </c>
      <c r="W6173" s="1" t="s">
        <v>5</v>
      </c>
      <c r="X6173" s="11"/>
      <c r="Y6173" s="23">
        <v>0</v>
      </c>
      <c r="Z6173" s="60">
        <v>0</v>
      </c>
      <c r="AA6173" s="11">
        <v>0</v>
      </c>
    </row>
    <row r="6174" spans="1:27" x14ac:dyDescent="0.2">
      <c r="A6174" s="1">
        <v>29</v>
      </c>
      <c r="B6174" s="1" t="s">
        <v>92</v>
      </c>
      <c r="C6174" s="1" t="s">
        <v>93</v>
      </c>
      <c r="D6174" s="1">
        <v>1895</v>
      </c>
      <c r="E6174" s="11">
        <v>0</v>
      </c>
      <c r="G6174" s="1">
        <v>0</v>
      </c>
      <c r="H6174" s="1" t="s">
        <v>5</v>
      </c>
      <c r="M6174" s="1" t="s">
        <v>677</v>
      </c>
      <c r="O6174" s="1" t="s">
        <v>626</v>
      </c>
      <c r="P6174" s="1" t="s">
        <v>423</v>
      </c>
      <c r="Q6174" s="1" t="s">
        <v>5</v>
      </c>
      <c r="S6174" s="1" t="s">
        <v>5</v>
      </c>
      <c r="T6174" s="1" t="s">
        <v>5</v>
      </c>
      <c r="V6174" s="1" t="s">
        <v>5</v>
      </c>
      <c r="W6174" s="1" t="s">
        <v>5</v>
      </c>
      <c r="X6174" s="11"/>
      <c r="Y6174" s="23">
        <v>0</v>
      </c>
      <c r="Z6174" s="60">
        <v>0</v>
      </c>
      <c r="AA6174" s="11">
        <v>0</v>
      </c>
    </row>
    <row r="6175" spans="1:27" x14ac:dyDescent="0.2">
      <c r="A6175" s="1">
        <v>29</v>
      </c>
      <c r="B6175" s="1" t="s">
        <v>92</v>
      </c>
      <c r="C6175" s="1" t="s">
        <v>93</v>
      </c>
      <c r="D6175" s="1">
        <v>1896</v>
      </c>
      <c r="E6175" s="11">
        <v>0</v>
      </c>
      <c r="G6175" s="1">
        <v>0</v>
      </c>
      <c r="H6175" s="1" t="s">
        <v>5</v>
      </c>
      <c r="M6175" s="1" t="s">
        <v>677</v>
      </c>
      <c r="O6175" s="1" t="s">
        <v>626</v>
      </c>
      <c r="P6175" s="1" t="s">
        <v>423</v>
      </c>
      <c r="Q6175" s="1" t="s">
        <v>5</v>
      </c>
      <c r="S6175" s="1" t="s">
        <v>5</v>
      </c>
      <c r="T6175" s="1" t="s">
        <v>5</v>
      </c>
      <c r="V6175" s="1" t="s">
        <v>5</v>
      </c>
      <c r="W6175" s="1" t="s">
        <v>5</v>
      </c>
      <c r="X6175" s="11"/>
      <c r="Y6175" s="23">
        <v>0</v>
      </c>
      <c r="Z6175" s="60">
        <v>0</v>
      </c>
      <c r="AA6175" s="11">
        <v>0</v>
      </c>
    </row>
    <row r="6176" spans="1:27" x14ac:dyDescent="0.2">
      <c r="A6176" s="1">
        <v>29</v>
      </c>
      <c r="B6176" s="1" t="s">
        <v>92</v>
      </c>
      <c r="C6176" s="1" t="s">
        <v>93</v>
      </c>
      <c r="D6176" s="1">
        <v>1897</v>
      </c>
      <c r="E6176" s="11">
        <v>0</v>
      </c>
      <c r="G6176" s="1">
        <v>0</v>
      </c>
      <c r="H6176" s="1" t="s">
        <v>5</v>
      </c>
      <c r="M6176" s="1" t="s">
        <v>677</v>
      </c>
      <c r="O6176" s="1" t="s">
        <v>626</v>
      </c>
      <c r="P6176" s="1" t="s">
        <v>423</v>
      </c>
      <c r="Q6176" s="1" t="s">
        <v>5</v>
      </c>
      <c r="S6176" s="1" t="s">
        <v>5</v>
      </c>
      <c r="T6176" s="1" t="s">
        <v>5</v>
      </c>
      <c r="V6176" s="1" t="s">
        <v>5</v>
      </c>
      <c r="W6176" s="1" t="s">
        <v>5</v>
      </c>
      <c r="X6176" s="11"/>
      <c r="Y6176" s="23">
        <v>0</v>
      </c>
      <c r="Z6176" s="60">
        <v>0</v>
      </c>
      <c r="AA6176" s="11">
        <v>0</v>
      </c>
    </row>
    <row r="6177" spans="1:27" x14ac:dyDescent="0.2">
      <c r="A6177" s="1">
        <v>29</v>
      </c>
      <c r="B6177" s="1" t="s">
        <v>92</v>
      </c>
      <c r="C6177" s="1" t="s">
        <v>93</v>
      </c>
      <c r="D6177" s="1">
        <v>1898</v>
      </c>
      <c r="E6177" s="11">
        <v>0</v>
      </c>
      <c r="G6177" s="1">
        <v>0</v>
      </c>
      <c r="H6177" s="1" t="s">
        <v>5</v>
      </c>
      <c r="M6177" s="1" t="s">
        <v>677</v>
      </c>
      <c r="O6177" s="1" t="s">
        <v>626</v>
      </c>
      <c r="P6177" s="1" t="s">
        <v>423</v>
      </c>
      <c r="Q6177" s="1" t="s">
        <v>5</v>
      </c>
      <c r="S6177" s="1" t="s">
        <v>5</v>
      </c>
      <c r="T6177" s="1" t="s">
        <v>5</v>
      </c>
      <c r="V6177" s="1" t="s">
        <v>5</v>
      </c>
      <c r="W6177" s="1" t="s">
        <v>5</v>
      </c>
      <c r="X6177" s="11"/>
      <c r="Y6177" s="23">
        <v>0</v>
      </c>
      <c r="Z6177" s="60">
        <v>0</v>
      </c>
      <c r="AA6177" s="11">
        <v>0</v>
      </c>
    </row>
    <row r="6178" spans="1:27" x14ac:dyDescent="0.2">
      <c r="A6178" s="1">
        <v>29</v>
      </c>
      <c r="B6178" s="1" t="s">
        <v>92</v>
      </c>
      <c r="C6178" s="1" t="s">
        <v>93</v>
      </c>
      <c r="D6178" s="1">
        <v>1899</v>
      </c>
      <c r="E6178" s="11">
        <v>0</v>
      </c>
      <c r="G6178" s="1">
        <v>0</v>
      </c>
      <c r="H6178" s="1" t="s">
        <v>5</v>
      </c>
      <c r="M6178" s="1" t="s">
        <v>677</v>
      </c>
      <c r="O6178" s="1" t="s">
        <v>626</v>
      </c>
      <c r="P6178" s="1" t="s">
        <v>423</v>
      </c>
      <c r="Q6178" s="1" t="s">
        <v>5</v>
      </c>
      <c r="S6178" s="1" t="s">
        <v>5</v>
      </c>
      <c r="T6178" s="1" t="s">
        <v>5</v>
      </c>
      <c r="V6178" s="1" t="s">
        <v>5</v>
      </c>
      <c r="W6178" s="1" t="s">
        <v>5</v>
      </c>
      <c r="X6178" s="11"/>
      <c r="Y6178" s="23">
        <v>0</v>
      </c>
      <c r="Z6178" s="60">
        <v>0</v>
      </c>
      <c r="AA6178" s="11">
        <v>0</v>
      </c>
    </row>
    <row r="6179" spans="1:27" x14ac:dyDescent="0.2">
      <c r="A6179" s="1">
        <v>29</v>
      </c>
      <c r="B6179" s="1" t="s">
        <v>92</v>
      </c>
      <c r="C6179" s="1" t="s">
        <v>93</v>
      </c>
      <c r="D6179" s="1">
        <v>1900</v>
      </c>
      <c r="E6179" s="11">
        <v>0</v>
      </c>
      <c r="G6179" s="1">
        <v>0</v>
      </c>
      <c r="H6179" s="1" t="s">
        <v>5</v>
      </c>
      <c r="I6179" s="1">
        <v>3.7494999999999998</v>
      </c>
      <c r="M6179" s="1" t="s">
        <v>677</v>
      </c>
      <c r="O6179" s="1" t="s">
        <v>626</v>
      </c>
      <c r="P6179" s="1" t="s">
        <v>423</v>
      </c>
      <c r="Q6179" s="1" t="s">
        <v>5</v>
      </c>
      <c r="S6179" s="1" t="s">
        <v>5</v>
      </c>
      <c r="T6179" s="1" t="s">
        <v>5</v>
      </c>
      <c r="V6179" s="1" t="s">
        <v>5</v>
      </c>
      <c r="W6179" s="1" t="s">
        <v>5</v>
      </c>
      <c r="X6179" s="11"/>
      <c r="Y6179" s="23">
        <v>0</v>
      </c>
      <c r="Z6179" s="60">
        <v>0</v>
      </c>
      <c r="AA6179" s="11">
        <v>0</v>
      </c>
    </row>
    <row r="6180" spans="1:27" x14ac:dyDescent="0.2">
      <c r="A6180" s="1">
        <v>29</v>
      </c>
      <c r="B6180" s="1" t="s">
        <v>92</v>
      </c>
      <c r="C6180" s="1" t="s">
        <v>93</v>
      </c>
      <c r="D6180" s="1">
        <v>1901</v>
      </c>
      <c r="E6180" s="11">
        <v>0</v>
      </c>
      <c r="G6180" s="1">
        <v>0</v>
      </c>
      <c r="H6180" s="1" t="s">
        <v>5</v>
      </c>
      <c r="I6180" s="1">
        <v>3.7096</v>
      </c>
      <c r="M6180" s="1" t="s">
        <v>677</v>
      </c>
      <c r="O6180" s="1" t="s">
        <v>626</v>
      </c>
      <c r="P6180" s="1" t="s">
        <v>423</v>
      </c>
      <c r="Q6180" s="1" t="s">
        <v>5</v>
      </c>
      <c r="S6180" s="1" t="s">
        <v>5</v>
      </c>
      <c r="T6180" s="1" t="s">
        <v>5</v>
      </c>
      <c r="V6180" s="1" t="s">
        <v>5</v>
      </c>
      <c r="W6180" s="1" t="s">
        <v>5</v>
      </c>
      <c r="X6180" s="67">
        <v>1.2658227848101262</v>
      </c>
      <c r="Y6180" s="23">
        <v>0</v>
      </c>
      <c r="Z6180" s="60">
        <v>0</v>
      </c>
      <c r="AA6180" s="11">
        <v>0</v>
      </c>
    </row>
    <row r="6181" spans="1:27" x14ac:dyDescent="0.2">
      <c r="A6181" s="1">
        <v>29</v>
      </c>
      <c r="B6181" s="1" t="s">
        <v>92</v>
      </c>
      <c r="C6181" s="1" t="s">
        <v>93</v>
      </c>
      <c r="D6181" s="1">
        <v>1902</v>
      </c>
      <c r="E6181" s="11">
        <v>0</v>
      </c>
      <c r="G6181" s="1">
        <v>0</v>
      </c>
      <c r="H6181" s="1" t="s">
        <v>5</v>
      </c>
      <c r="I6181" s="1">
        <v>3.7263999999999999</v>
      </c>
      <c r="M6181" s="1" t="s">
        <v>677</v>
      </c>
      <c r="O6181" s="1" t="s">
        <v>626</v>
      </c>
      <c r="P6181" s="1" t="s">
        <v>423</v>
      </c>
      <c r="Q6181" s="1" t="s">
        <v>5</v>
      </c>
      <c r="S6181" s="1" t="s">
        <v>5</v>
      </c>
      <c r="T6181" s="1" t="s">
        <v>5</v>
      </c>
      <c r="V6181" s="1" t="s">
        <v>5</v>
      </c>
      <c r="W6181" s="1" t="s">
        <v>5</v>
      </c>
      <c r="X6181" s="67">
        <v>-1.25</v>
      </c>
      <c r="Y6181" s="23">
        <v>0</v>
      </c>
      <c r="Z6181" s="60">
        <v>0</v>
      </c>
      <c r="AA6181" s="11">
        <v>0</v>
      </c>
    </row>
    <row r="6182" spans="1:27" x14ac:dyDescent="0.2">
      <c r="A6182" s="1">
        <v>29</v>
      </c>
      <c r="B6182" s="1" t="s">
        <v>92</v>
      </c>
      <c r="C6182" s="1" t="s">
        <v>93</v>
      </c>
      <c r="D6182" s="1">
        <v>1903</v>
      </c>
      <c r="E6182" s="11">
        <v>0</v>
      </c>
      <c r="G6182" s="1">
        <v>0</v>
      </c>
      <c r="H6182" s="1" t="s">
        <v>5</v>
      </c>
      <c r="I6182" s="1">
        <v>3.7042000000000002</v>
      </c>
      <c r="M6182" s="1" t="s">
        <v>677</v>
      </c>
      <c r="O6182" s="1" t="s">
        <v>626</v>
      </c>
      <c r="P6182" s="1" t="s">
        <v>423</v>
      </c>
      <c r="Q6182" s="1" t="s">
        <v>5</v>
      </c>
      <c r="S6182" s="1" t="s">
        <v>5</v>
      </c>
      <c r="T6182" s="1" t="s">
        <v>5</v>
      </c>
      <c r="V6182" s="1" t="s">
        <v>5</v>
      </c>
      <c r="W6182" s="1" t="s">
        <v>5</v>
      </c>
      <c r="X6182" s="67">
        <v>1.2658227848101262</v>
      </c>
      <c r="Y6182" s="23">
        <v>0</v>
      </c>
      <c r="Z6182" s="60">
        <v>0</v>
      </c>
      <c r="AA6182" s="11">
        <v>0</v>
      </c>
    </row>
    <row r="6183" spans="1:27" x14ac:dyDescent="0.2">
      <c r="A6183" s="1">
        <v>29</v>
      </c>
      <c r="B6183" s="1" t="s">
        <v>92</v>
      </c>
      <c r="C6183" s="1" t="s">
        <v>93</v>
      </c>
      <c r="D6183" s="1">
        <v>1904</v>
      </c>
      <c r="E6183" s="11">
        <v>0</v>
      </c>
      <c r="G6183" s="1">
        <v>0</v>
      </c>
      <c r="H6183" s="1" t="s">
        <v>5</v>
      </c>
      <c r="I6183" s="1">
        <v>3.6983000000000001</v>
      </c>
      <c r="M6183" s="1" t="s">
        <v>677</v>
      </c>
      <c r="O6183" s="1" t="s">
        <v>626</v>
      </c>
      <c r="P6183" s="1" t="s">
        <v>423</v>
      </c>
      <c r="Q6183" s="1" t="s">
        <v>5</v>
      </c>
      <c r="S6183" s="1" t="s">
        <v>5</v>
      </c>
      <c r="T6183" s="1" t="s">
        <v>5</v>
      </c>
      <c r="V6183" s="1" t="s">
        <v>5</v>
      </c>
      <c r="W6183" s="1" t="s">
        <v>5</v>
      </c>
      <c r="X6183" s="67">
        <v>1.25</v>
      </c>
      <c r="Y6183" s="23">
        <v>0</v>
      </c>
      <c r="Z6183" s="60">
        <v>0</v>
      </c>
      <c r="AA6183" s="11">
        <v>0</v>
      </c>
    </row>
    <row r="6184" spans="1:27" x14ac:dyDescent="0.2">
      <c r="A6184" s="1">
        <v>29</v>
      </c>
      <c r="B6184" s="1" t="s">
        <v>92</v>
      </c>
      <c r="C6184" s="1" t="s">
        <v>93</v>
      </c>
      <c r="D6184" s="1">
        <v>1905</v>
      </c>
      <c r="E6184" s="11">
        <v>0</v>
      </c>
      <c r="G6184" s="1">
        <v>0</v>
      </c>
      <c r="H6184" s="1" t="s">
        <v>5</v>
      </c>
      <c r="I6184" s="1">
        <v>3.7094</v>
      </c>
      <c r="M6184" s="1" t="s">
        <v>677</v>
      </c>
      <c r="O6184" s="1" t="s">
        <v>626</v>
      </c>
      <c r="P6184" s="1" t="s">
        <v>423</v>
      </c>
      <c r="Q6184" s="1" t="s">
        <v>5</v>
      </c>
      <c r="S6184" s="1" t="s">
        <v>5</v>
      </c>
      <c r="T6184" s="1" t="s">
        <v>5</v>
      </c>
      <c r="V6184" s="1" t="s">
        <v>5</v>
      </c>
      <c r="W6184" s="1" t="s">
        <v>5</v>
      </c>
      <c r="X6184" s="67">
        <v>1.2345679012345698</v>
      </c>
      <c r="Y6184" s="23">
        <v>0</v>
      </c>
      <c r="Z6184" s="60">
        <v>0</v>
      </c>
      <c r="AA6184" s="11">
        <v>0</v>
      </c>
    </row>
    <row r="6185" spans="1:27" x14ac:dyDescent="0.2">
      <c r="A6185" s="1">
        <v>29</v>
      </c>
      <c r="B6185" s="1" t="s">
        <v>92</v>
      </c>
      <c r="C6185" s="1" t="s">
        <v>93</v>
      </c>
      <c r="D6185" s="1">
        <v>1906</v>
      </c>
      <c r="E6185" s="11">
        <v>0</v>
      </c>
      <c r="G6185" s="1">
        <v>0</v>
      </c>
      <c r="H6185" s="1" t="s">
        <v>5</v>
      </c>
      <c r="I6185" s="1">
        <v>3.7092999999999998</v>
      </c>
      <c r="M6185" s="1" t="s">
        <v>677</v>
      </c>
      <c r="O6185" s="1" t="s">
        <v>626</v>
      </c>
      <c r="P6185" s="1" t="s">
        <v>423</v>
      </c>
      <c r="Q6185" s="1" t="s">
        <v>5</v>
      </c>
      <c r="S6185" s="1" t="s">
        <v>5</v>
      </c>
      <c r="T6185" s="1" t="s">
        <v>5</v>
      </c>
      <c r="V6185" s="1" t="s">
        <v>5</v>
      </c>
      <c r="W6185" s="1" t="s">
        <v>5</v>
      </c>
      <c r="X6185" s="67">
        <v>1.2195121951219505</v>
      </c>
      <c r="Y6185" s="23">
        <v>0</v>
      </c>
      <c r="Z6185" s="60">
        <v>0</v>
      </c>
      <c r="AA6185" s="11">
        <v>0</v>
      </c>
    </row>
    <row r="6186" spans="1:27" x14ac:dyDescent="0.2">
      <c r="A6186" s="1">
        <v>29</v>
      </c>
      <c r="B6186" s="1" t="s">
        <v>92</v>
      </c>
      <c r="C6186" s="1" t="s">
        <v>93</v>
      </c>
      <c r="D6186" s="1">
        <v>1907</v>
      </c>
      <c r="E6186" s="11">
        <v>0</v>
      </c>
      <c r="G6186" s="1">
        <v>0</v>
      </c>
      <c r="H6186" s="1" t="s">
        <v>5</v>
      </c>
      <c r="I6186" s="1">
        <v>3.7296999999999998</v>
      </c>
      <c r="M6186" s="1" t="s">
        <v>677</v>
      </c>
      <c r="O6186" s="1" t="s">
        <v>626</v>
      </c>
      <c r="P6186" s="1" t="s">
        <v>423</v>
      </c>
      <c r="Q6186" s="1" t="s">
        <v>5</v>
      </c>
      <c r="S6186" s="1" t="s">
        <v>5</v>
      </c>
      <c r="T6186" s="1" t="s">
        <v>5</v>
      </c>
      <c r="V6186" s="1" t="s">
        <v>5</v>
      </c>
      <c r="W6186" s="1" t="s">
        <v>5</v>
      </c>
      <c r="X6186" s="67">
        <v>3.6144578313252964</v>
      </c>
      <c r="Y6186" s="23">
        <v>0</v>
      </c>
      <c r="Z6186" s="60">
        <v>0</v>
      </c>
      <c r="AA6186" s="11">
        <v>0</v>
      </c>
    </row>
    <row r="6187" spans="1:27" x14ac:dyDescent="0.2">
      <c r="A6187" s="1">
        <v>29</v>
      </c>
      <c r="B6187" s="1" t="s">
        <v>92</v>
      </c>
      <c r="C6187" s="1" t="s">
        <v>93</v>
      </c>
      <c r="D6187" s="1">
        <v>1908</v>
      </c>
      <c r="E6187" s="11">
        <v>0</v>
      </c>
      <c r="G6187" s="1">
        <v>0</v>
      </c>
      <c r="H6187" s="1" t="s">
        <v>5</v>
      </c>
      <c r="I6187" s="1">
        <v>3.7254</v>
      </c>
      <c r="M6187" s="1" t="s">
        <v>677</v>
      </c>
      <c r="O6187" s="1" t="s">
        <v>626</v>
      </c>
      <c r="P6187" s="1" t="s">
        <v>423</v>
      </c>
      <c r="Q6187" s="1" t="s">
        <v>5</v>
      </c>
      <c r="S6187" s="1" t="s">
        <v>5</v>
      </c>
      <c r="T6187" s="1" t="s">
        <v>5</v>
      </c>
      <c r="V6187" s="1" t="s">
        <v>5</v>
      </c>
      <c r="W6187" s="1" t="s">
        <v>5</v>
      </c>
      <c r="X6187" s="67">
        <v>2.3255813953488484</v>
      </c>
      <c r="Y6187" s="23">
        <v>0</v>
      </c>
      <c r="Z6187" s="60">
        <v>0</v>
      </c>
      <c r="AA6187" s="11">
        <v>0</v>
      </c>
    </row>
    <row r="6188" spans="1:27" x14ac:dyDescent="0.2">
      <c r="A6188" s="1">
        <v>29</v>
      </c>
      <c r="B6188" s="1" t="s">
        <v>92</v>
      </c>
      <c r="C6188" s="1" t="s">
        <v>93</v>
      </c>
      <c r="D6188" s="1">
        <v>1909</v>
      </c>
      <c r="E6188" s="11">
        <v>0</v>
      </c>
      <c r="G6188" s="1">
        <v>0</v>
      </c>
      <c r="H6188" s="1" t="s">
        <v>5</v>
      </c>
      <c r="I6188" s="1">
        <v>3.7259000000000002</v>
      </c>
      <c r="M6188" s="1" t="s">
        <v>677</v>
      </c>
      <c r="O6188" s="1" t="s">
        <v>626</v>
      </c>
      <c r="P6188" s="1" t="s">
        <v>423</v>
      </c>
      <c r="Q6188" s="1" t="s">
        <v>5</v>
      </c>
      <c r="S6188" s="1" t="s">
        <v>5</v>
      </c>
      <c r="T6188" s="1" t="s">
        <v>5</v>
      </c>
      <c r="V6188" s="1" t="s">
        <v>5</v>
      </c>
      <c r="W6188" s="1" t="s">
        <v>5</v>
      </c>
      <c r="X6188" s="67">
        <v>1.1363636363636402</v>
      </c>
      <c r="Y6188" s="23">
        <v>0</v>
      </c>
      <c r="Z6188" s="60">
        <v>0</v>
      </c>
      <c r="AA6188" s="11">
        <v>0</v>
      </c>
    </row>
    <row r="6189" spans="1:27" x14ac:dyDescent="0.2">
      <c r="A6189" s="1">
        <v>29</v>
      </c>
      <c r="B6189" s="1" t="s">
        <v>92</v>
      </c>
      <c r="C6189" s="1" t="s">
        <v>93</v>
      </c>
      <c r="D6189" s="1">
        <v>1910</v>
      </c>
      <c r="E6189" s="11">
        <v>0</v>
      </c>
      <c r="G6189" s="1">
        <v>0</v>
      </c>
      <c r="H6189" s="1" t="s">
        <v>5</v>
      </c>
      <c r="I6189" s="1">
        <v>3.7161</v>
      </c>
      <c r="M6189" s="1" t="s">
        <v>677</v>
      </c>
      <c r="O6189" s="1" t="s">
        <v>626</v>
      </c>
      <c r="P6189" s="1" t="s">
        <v>423</v>
      </c>
      <c r="Q6189" s="1" t="s">
        <v>5</v>
      </c>
      <c r="S6189" s="1" t="s">
        <v>5</v>
      </c>
      <c r="T6189" s="1" t="s">
        <v>5</v>
      </c>
      <c r="V6189" s="1" t="s">
        <v>5</v>
      </c>
      <c r="W6189" s="1" t="s">
        <v>5</v>
      </c>
      <c r="X6189" s="67">
        <v>0</v>
      </c>
      <c r="Y6189" s="23">
        <v>0</v>
      </c>
      <c r="Z6189" s="60">
        <v>0</v>
      </c>
      <c r="AA6189" s="11">
        <v>0</v>
      </c>
    </row>
    <row r="6190" spans="1:27" x14ac:dyDescent="0.2">
      <c r="A6190" s="1">
        <v>29</v>
      </c>
      <c r="B6190" s="1" t="s">
        <v>92</v>
      </c>
      <c r="C6190" s="1" t="s">
        <v>93</v>
      </c>
      <c r="D6190" s="1">
        <v>1911</v>
      </c>
      <c r="E6190" s="11">
        <v>0</v>
      </c>
      <c r="G6190" s="1">
        <v>0</v>
      </c>
      <c r="H6190" s="1" t="s">
        <v>5</v>
      </c>
      <c r="I6190" s="1">
        <v>3.7223000000000002</v>
      </c>
      <c r="M6190" s="1" t="s">
        <v>677</v>
      </c>
      <c r="O6190" s="1" t="s">
        <v>626</v>
      </c>
      <c r="P6190" s="1" t="s">
        <v>423</v>
      </c>
      <c r="Q6190" s="1" t="s">
        <v>5</v>
      </c>
      <c r="S6190" s="1" t="s">
        <v>5</v>
      </c>
      <c r="T6190" s="1" t="s">
        <v>5</v>
      </c>
      <c r="V6190" s="1" t="s">
        <v>5</v>
      </c>
      <c r="W6190" s="1" t="s">
        <v>5</v>
      </c>
      <c r="X6190" s="67">
        <v>4.4943820224719246</v>
      </c>
      <c r="Y6190" s="23">
        <v>0</v>
      </c>
      <c r="Z6190" s="60">
        <v>0</v>
      </c>
      <c r="AA6190" s="11">
        <v>0</v>
      </c>
    </row>
    <row r="6191" spans="1:27" x14ac:dyDescent="0.2">
      <c r="A6191" s="1">
        <v>29</v>
      </c>
      <c r="B6191" s="1" t="s">
        <v>92</v>
      </c>
      <c r="C6191" s="1" t="s">
        <v>93</v>
      </c>
      <c r="D6191" s="1">
        <v>1912</v>
      </c>
      <c r="E6191" s="11">
        <v>0</v>
      </c>
      <c r="G6191" s="1">
        <v>0</v>
      </c>
      <c r="H6191" s="1" t="s">
        <v>5</v>
      </c>
      <c r="I6191" s="1">
        <v>3.7191000000000001</v>
      </c>
      <c r="M6191" s="1" t="s">
        <v>677</v>
      </c>
      <c r="O6191" s="1" t="s">
        <v>626</v>
      </c>
      <c r="P6191" s="1" t="s">
        <v>423</v>
      </c>
      <c r="Q6191" s="1" t="s">
        <v>5</v>
      </c>
      <c r="S6191" s="1" t="s">
        <v>5</v>
      </c>
      <c r="T6191" s="1" t="s">
        <v>5</v>
      </c>
      <c r="V6191" s="1" t="s">
        <v>5</v>
      </c>
      <c r="W6191" s="1" t="s">
        <v>5</v>
      </c>
      <c r="X6191" s="67">
        <v>2.1505376344086073</v>
      </c>
      <c r="Y6191" s="23">
        <v>0</v>
      </c>
      <c r="Z6191" s="60">
        <v>0</v>
      </c>
      <c r="AA6191" s="11">
        <v>0</v>
      </c>
    </row>
    <row r="6192" spans="1:27" x14ac:dyDescent="0.2">
      <c r="A6192" s="1">
        <v>29</v>
      </c>
      <c r="B6192" s="1" t="s">
        <v>92</v>
      </c>
      <c r="C6192" s="1" t="s">
        <v>93</v>
      </c>
      <c r="D6192" s="1">
        <v>1913</v>
      </c>
      <c r="E6192" s="11">
        <v>0</v>
      </c>
      <c r="G6192" s="1">
        <v>0</v>
      </c>
      <c r="H6192" s="1" t="s">
        <v>5</v>
      </c>
      <c r="I6192" s="1">
        <v>3.7299000000000002</v>
      </c>
      <c r="M6192" s="1" t="s">
        <v>677</v>
      </c>
      <c r="O6192" s="1" t="s">
        <v>626</v>
      </c>
      <c r="P6192" s="1" t="s">
        <v>423</v>
      </c>
      <c r="Q6192" s="1" t="s">
        <v>5</v>
      </c>
      <c r="S6192" s="1" t="s">
        <v>5</v>
      </c>
      <c r="T6192" s="1" t="s">
        <v>5</v>
      </c>
      <c r="V6192" s="1" t="s">
        <v>5</v>
      </c>
      <c r="W6192" s="1" t="s">
        <v>5</v>
      </c>
      <c r="X6192" s="67">
        <v>3.1578947368421098</v>
      </c>
      <c r="Y6192" s="23">
        <v>0</v>
      </c>
      <c r="Z6192" s="60">
        <v>0</v>
      </c>
      <c r="AA6192" s="11">
        <v>0</v>
      </c>
    </row>
    <row r="6193" spans="1:27" x14ac:dyDescent="0.2">
      <c r="A6193" s="1">
        <v>29</v>
      </c>
      <c r="B6193" s="1" t="s">
        <v>92</v>
      </c>
      <c r="C6193" s="1" t="s">
        <v>93</v>
      </c>
      <c r="D6193" s="1">
        <v>1914</v>
      </c>
      <c r="E6193" s="11">
        <v>0</v>
      </c>
      <c r="G6193" s="1">
        <v>0</v>
      </c>
      <c r="H6193" s="1" t="s">
        <v>5</v>
      </c>
      <c r="I6193" s="1">
        <v>3.6446999999999998</v>
      </c>
      <c r="M6193" s="1" t="s">
        <v>677</v>
      </c>
      <c r="O6193" s="1" t="s">
        <v>626</v>
      </c>
      <c r="P6193" s="1" t="s">
        <v>423</v>
      </c>
      <c r="Q6193" s="1" t="s">
        <v>5</v>
      </c>
      <c r="S6193" s="1" t="s">
        <v>5</v>
      </c>
      <c r="T6193" s="1" t="s">
        <v>5</v>
      </c>
      <c r="V6193" s="1" t="s">
        <v>5</v>
      </c>
      <c r="W6193" s="1" t="s">
        <v>5</v>
      </c>
      <c r="X6193" s="67">
        <v>6.1224489795918373</v>
      </c>
      <c r="Y6193" s="23">
        <v>0</v>
      </c>
      <c r="Z6193" s="60">
        <v>0</v>
      </c>
      <c r="AA6193" s="11">
        <v>0</v>
      </c>
    </row>
    <row r="6194" spans="1:27" x14ac:dyDescent="0.2">
      <c r="A6194" s="1">
        <v>29</v>
      </c>
      <c r="B6194" s="1" t="s">
        <v>92</v>
      </c>
      <c r="C6194" s="1" t="s">
        <v>93</v>
      </c>
      <c r="D6194" s="1">
        <v>1915</v>
      </c>
      <c r="E6194" s="11">
        <v>0</v>
      </c>
      <c r="G6194" s="1">
        <v>0</v>
      </c>
      <c r="H6194" s="1" t="s">
        <v>5</v>
      </c>
      <c r="I6194" s="1">
        <v>3.6229</v>
      </c>
      <c r="M6194" s="1" t="s">
        <v>677</v>
      </c>
      <c r="O6194" s="1" t="s">
        <v>626</v>
      </c>
      <c r="P6194" s="1" t="s">
        <v>423</v>
      </c>
      <c r="Q6194" s="1" t="s">
        <v>5</v>
      </c>
      <c r="S6194" s="1" t="s">
        <v>5</v>
      </c>
      <c r="T6194" s="1" t="s">
        <v>5</v>
      </c>
      <c r="V6194" s="1" t="s">
        <v>5</v>
      </c>
      <c r="W6194" s="1" t="s">
        <v>5</v>
      </c>
      <c r="X6194" s="67">
        <v>17.307692307692307</v>
      </c>
      <c r="Y6194" s="23">
        <v>0</v>
      </c>
      <c r="Z6194" s="60">
        <v>0</v>
      </c>
      <c r="AA6194" s="11">
        <v>0</v>
      </c>
    </row>
    <row r="6195" spans="1:27" x14ac:dyDescent="0.2">
      <c r="A6195" s="1">
        <v>29</v>
      </c>
      <c r="B6195" s="1" t="s">
        <v>92</v>
      </c>
      <c r="C6195" s="1" t="s">
        <v>93</v>
      </c>
      <c r="D6195" s="1">
        <v>1916</v>
      </c>
      <c r="E6195" s="11">
        <v>0</v>
      </c>
      <c r="G6195" s="1">
        <v>0</v>
      </c>
      <c r="H6195" s="1" t="s">
        <v>5</v>
      </c>
      <c r="I6195" s="1">
        <v>3.2867000000000002</v>
      </c>
      <c r="M6195" s="1" t="s">
        <v>677</v>
      </c>
      <c r="O6195" s="1" t="s">
        <v>626</v>
      </c>
      <c r="P6195" s="1" t="s">
        <v>423</v>
      </c>
      <c r="Q6195" s="1" t="s">
        <v>5</v>
      </c>
      <c r="S6195" s="1" t="s">
        <v>5</v>
      </c>
      <c r="T6195" s="1" t="s">
        <v>5</v>
      </c>
      <c r="V6195" s="1" t="s">
        <v>5</v>
      </c>
      <c r="W6195" s="1" t="s">
        <v>5</v>
      </c>
      <c r="X6195" s="68">
        <v>23.770491803278688</v>
      </c>
      <c r="Y6195" s="23">
        <v>0</v>
      </c>
      <c r="Z6195" s="60">
        <v>0</v>
      </c>
      <c r="AA6195" s="55">
        <v>1</v>
      </c>
    </row>
    <row r="6196" spans="1:27" x14ac:dyDescent="0.2">
      <c r="A6196" s="1">
        <v>29</v>
      </c>
      <c r="B6196" s="1" t="s">
        <v>92</v>
      </c>
      <c r="C6196" s="1" t="s">
        <v>93</v>
      </c>
      <c r="D6196" s="1">
        <v>1917</v>
      </c>
      <c r="E6196" s="11">
        <v>0</v>
      </c>
      <c r="G6196" s="1">
        <v>0</v>
      </c>
      <c r="H6196" s="1" t="s">
        <v>5</v>
      </c>
      <c r="I6196" s="1">
        <v>2.8529</v>
      </c>
      <c r="M6196" s="1" t="s">
        <v>677</v>
      </c>
      <c r="O6196" s="1" t="s">
        <v>626</v>
      </c>
      <c r="P6196" s="1" t="s">
        <v>423</v>
      </c>
      <c r="Q6196" s="1" t="s">
        <v>5</v>
      </c>
      <c r="S6196" s="1" t="s">
        <v>5</v>
      </c>
      <c r="T6196" s="1" t="s">
        <v>5</v>
      </c>
      <c r="V6196" s="1" t="s">
        <v>5</v>
      </c>
      <c r="W6196" s="1" t="s">
        <v>5</v>
      </c>
      <c r="X6196" s="68">
        <v>53.642384105960275</v>
      </c>
      <c r="Y6196" s="23">
        <v>0</v>
      </c>
      <c r="Z6196" s="60">
        <v>0</v>
      </c>
      <c r="AA6196" s="55">
        <v>1</v>
      </c>
    </row>
    <row r="6197" spans="1:27" x14ac:dyDescent="0.2">
      <c r="A6197" s="1">
        <v>29</v>
      </c>
      <c r="B6197" s="1" t="s">
        <v>92</v>
      </c>
      <c r="C6197" s="1" t="s">
        <v>93</v>
      </c>
      <c r="D6197" s="1">
        <v>1918</v>
      </c>
      <c r="E6197" s="11">
        <v>0</v>
      </c>
      <c r="G6197" s="1">
        <v>0</v>
      </c>
      <c r="H6197" s="1" t="s">
        <v>5</v>
      </c>
      <c r="I6197" s="1">
        <v>3.1680999999999999</v>
      </c>
      <c r="M6197" s="1" t="s">
        <v>677</v>
      </c>
      <c r="O6197" s="1" t="s">
        <v>626</v>
      </c>
      <c r="P6197" s="1" t="s">
        <v>423</v>
      </c>
      <c r="Q6197" s="1" t="s">
        <v>5</v>
      </c>
      <c r="S6197" s="1" t="s">
        <v>5</v>
      </c>
      <c r="T6197" s="1" t="s">
        <v>5</v>
      </c>
      <c r="V6197" s="1" t="s">
        <v>5</v>
      </c>
      <c r="W6197" s="1" t="s">
        <v>5</v>
      </c>
      <c r="X6197" s="68">
        <v>37.5</v>
      </c>
      <c r="Y6197" s="23">
        <v>1</v>
      </c>
      <c r="Z6197" s="60">
        <v>0</v>
      </c>
      <c r="AA6197" s="55">
        <v>1</v>
      </c>
    </row>
    <row r="6198" spans="1:27" x14ac:dyDescent="0.2">
      <c r="A6198" s="1">
        <v>29</v>
      </c>
      <c r="B6198" s="1" t="s">
        <v>92</v>
      </c>
      <c r="C6198" s="1" t="s">
        <v>93</v>
      </c>
      <c r="D6198" s="1">
        <v>1919</v>
      </c>
      <c r="E6198" s="11">
        <v>0</v>
      </c>
      <c r="G6198" s="1">
        <v>0</v>
      </c>
      <c r="H6198" s="1" t="s">
        <v>5</v>
      </c>
      <c r="I6198" s="1">
        <v>3.8104</v>
      </c>
      <c r="M6198" s="1" t="s">
        <v>677</v>
      </c>
      <c r="O6198" s="1" t="s">
        <v>626</v>
      </c>
      <c r="P6198" s="1" t="s">
        <v>423</v>
      </c>
      <c r="Q6198" s="1" t="s">
        <v>5</v>
      </c>
      <c r="S6198" s="1" t="s">
        <v>5</v>
      </c>
      <c r="T6198" s="1" t="s">
        <v>5</v>
      </c>
      <c r="V6198" s="1" t="s">
        <v>5</v>
      </c>
      <c r="W6198" s="1" t="s">
        <v>5</v>
      </c>
      <c r="X6198" s="67">
        <v>11.285266457680237</v>
      </c>
      <c r="Y6198" s="23">
        <v>1</v>
      </c>
      <c r="Z6198" s="60">
        <v>0</v>
      </c>
      <c r="AA6198" s="11">
        <v>0</v>
      </c>
    </row>
    <row r="6199" spans="1:27" x14ac:dyDescent="0.2">
      <c r="A6199" s="1">
        <v>29</v>
      </c>
      <c r="B6199" s="1" t="s">
        <v>92</v>
      </c>
      <c r="C6199" s="1" t="s">
        <v>93</v>
      </c>
      <c r="D6199" s="1">
        <v>1920</v>
      </c>
      <c r="E6199" s="11">
        <v>0</v>
      </c>
      <c r="G6199" s="1">
        <v>0</v>
      </c>
      <c r="H6199" s="1" t="s">
        <v>5</v>
      </c>
      <c r="I6199" s="1">
        <v>4.5975999999999999</v>
      </c>
      <c r="M6199" s="1" t="s">
        <v>677</v>
      </c>
      <c r="O6199" s="1" t="s">
        <v>626</v>
      </c>
      <c r="P6199" s="1" t="s">
        <v>423</v>
      </c>
      <c r="Q6199" s="1" t="s">
        <v>5</v>
      </c>
      <c r="S6199" s="1" t="s">
        <v>5</v>
      </c>
      <c r="T6199" s="1" t="s">
        <v>5</v>
      </c>
      <c r="V6199" s="1" t="s">
        <v>5</v>
      </c>
      <c r="W6199" s="1" t="s">
        <v>5</v>
      </c>
      <c r="X6199" s="67">
        <v>18.591549295774641</v>
      </c>
      <c r="Y6199" s="23">
        <v>1</v>
      </c>
      <c r="Z6199" s="60">
        <v>0</v>
      </c>
      <c r="AA6199" s="11">
        <v>0</v>
      </c>
    </row>
    <row r="6200" spans="1:27" x14ac:dyDescent="0.2">
      <c r="A6200" s="1">
        <v>29</v>
      </c>
      <c r="B6200" s="1" t="s">
        <v>92</v>
      </c>
      <c r="C6200" s="1" t="s">
        <v>93</v>
      </c>
      <c r="D6200" s="1">
        <v>1921</v>
      </c>
      <c r="E6200" s="11">
        <v>0</v>
      </c>
      <c r="G6200" s="1">
        <v>0</v>
      </c>
      <c r="H6200" s="1" t="s">
        <v>5</v>
      </c>
      <c r="I6200" s="1">
        <v>4.3693999999999997</v>
      </c>
      <c r="M6200" s="1" t="s">
        <v>677</v>
      </c>
      <c r="O6200" s="1" t="s">
        <v>626</v>
      </c>
      <c r="P6200" s="1" t="s">
        <v>423</v>
      </c>
      <c r="Q6200" s="1" t="s">
        <v>5</v>
      </c>
      <c r="S6200" s="1" t="s">
        <v>5</v>
      </c>
      <c r="T6200" s="1" t="s">
        <v>5</v>
      </c>
      <c r="V6200" s="1" t="s">
        <v>5</v>
      </c>
      <c r="W6200" s="1" t="s">
        <v>5</v>
      </c>
      <c r="X6200" s="67">
        <v>-15.439429928741092</v>
      </c>
      <c r="Y6200" s="23">
        <v>1</v>
      </c>
      <c r="Z6200" s="60">
        <v>0</v>
      </c>
      <c r="AA6200" s="11">
        <v>0</v>
      </c>
    </row>
    <row r="6201" spans="1:27" x14ac:dyDescent="0.2">
      <c r="A6201" s="1">
        <v>29</v>
      </c>
      <c r="B6201" s="1" t="s">
        <v>92</v>
      </c>
      <c r="C6201" s="1" t="s">
        <v>93</v>
      </c>
      <c r="D6201" s="1">
        <v>1922</v>
      </c>
      <c r="E6201" s="11">
        <v>0</v>
      </c>
      <c r="G6201" s="1">
        <v>0</v>
      </c>
      <c r="H6201" s="1" t="s">
        <v>5</v>
      </c>
      <c r="I6201" s="1">
        <v>3.9392999999999998</v>
      </c>
      <c r="M6201" s="1" t="s">
        <v>677</v>
      </c>
      <c r="O6201" s="1" t="s">
        <v>626</v>
      </c>
      <c r="P6201" s="1" t="s">
        <v>423</v>
      </c>
      <c r="Q6201" s="1" t="s">
        <v>5</v>
      </c>
      <c r="S6201" s="1" t="s">
        <v>5</v>
      </c>
      <c r="T6201" s="1" t="s">
        <v>5</v>
      </c>
      <c r="V6201" s="1" t="s">
        <v>5</v>
      </c>
      <c r="W6201" s="1" t="s">
        <v>5</v>
      </c>
      <c r="X6201" s="67">
        <v>-19.662921348314612</v>
      </c>
      <c r="Y6201" s="23">
        <v>1</v>
      </c>
      <c r="Z6201" s="60">
        <v>0</v>
      </c>
      <c r="AA6201" s="11">
        <v>0</v>
      </c>
    </row>
    <row r="6202" spans="1:27" x14ac:dyDescent="0.2">
      <c r="A6202" s="1">
        <v>29</v>
      </c>
      <c r="B6202" s="1" t="s">
        <v>92</v>
      </c>
      <c r="C6202" s="1" t="s">
        <v>93</v>
      </c>
      <c r="D6202" s="1">
        <v>1923</v>
      </c>
      <c r="E6202" s="11">
        <v>0</v>
      </c>
      <c r="G6202" s="1">
        <v>0</v>
      </c>
      <c r="H6202" s="1" t="s">
        <v>5</v>
      </c>
      <c r="I6202" s="1">
        <v>3.8672</v>
      </c>
      <c r="M6202" s="1" t="s">
        <v>677</v>
      </c>
      <c r="O6202" s="1" t="s">
        <v>626</v>
      </c>
      <c r="P6202" s="1" t="s">
        <v>423</v>
      </c>
      <c r="Q6202" s="1" t="s">
        <v>5</v>
      </c>
      <c r="S6202" s="1" t="s">
        <v>5</v>
      </c>
      <c r="T6202" s="1" t="s">
        <v>5</v>
      </c>
      <c r="V6202" s="1" t="s">
        <v>5</v>
      </c>
      <c r="W6202" s="1" t="s">
        <v>5</v>
      </c>
      <c r="X6202" s="67">
        <v>-5.9440559440559468</v>
      </c>
      <c r="Y6202" s="23">
        <v>1</v>
      </c>
      <c r="Z6202" s="60">
        <v>0</v>
      </c>
      <c r="AA6202" s="11">
        <v>0</v>
      </c>
    </row>
    <row r="6203" spans="1:27" x14ac:dyDescent="0.2">
      <c r="A6203" s="1">
        <v>29</v>
      </c>
      <c r="B6203" s="1" t="s">
        <v>92</v>
      </c>
      <c r="C6203" s="1" t="s">
        <v>93</v>
      </c>
      <c r="D6203" s="1">
        <v>1924</v>
      </c>
      <c r="E6203" s="11">
        <v>0</v>
      </c>
      <c r="G6203" s="1">
        <v>0</v>
      </c>
      <c r="H6203" s="1" t="s">
        <v>5</v>
      </c>
      <c r="I6203" s="1">
        <v>3.8671000000000002</v>
      </c>
      <c r="M6203" s="1" t="s">
        <v>677</v>
      </c>
      <c r="O6203" s="1" t="s">
        <v>626</v>
      </c>
      <c r="P6203" s="1" t="s">
        <v>423</v>
      </c>
      <c r="Q6203" s="1" t="s">
        <v>5</v>
      </c>
      <c r="S6203" s="1" t="s">
        <v>5</v>
      </c>
      <c r="T6203" s="1" t="s">
        <v>5</v>
      </c>
      <c r="V6203" s="1" t="s">
        <v>5</v>
      </c>
      <c r="W6203" s="1" t="s">
        <v>5</v>
      </c>
      <c r="X6203" s="67">
        <v>10.408921933085495</v>
      </c>
      <c r="Y6203" s="23">
        <v>1</v>
      </c>
      <c r="Z6203" s="60">
        <v>0</v>
      </c>
      <c r="AA6203" s="11">
        <v>0</v>
      </c>
    </row>
    <row r="6204" spans="1:27" x14ac:dyDescent="0.2">
      <c r="A6204" s="1">
        <v>29</v>
      </c>
      <c r="B6204" s="1" t="s">
        <v>92</v>
      </c>
      <c r="C6204" s="1" t="s">
        <v>93</v>
      </c>
      <c r="D6204" s="1">
        <v>1925</v>
      </c>
      <c r="E6204" s="11">
        <v>0</v>
      </c>
      <c r="G6204" s="1">
        <v>0</v>
      </c>
      <c r="H6204" s="1" t="s">
        <v>5</v>
      </c>
      <c r="I6204" s="1">
        <v>3.7361</v>
      </c>
      <c r="M6204" s="1" t="s">
        <v>677</v>
      </c>
      <c r="O6204" s="1" t="s">
        <v>626</v>
      </c>
      <c r="P6204" s="1" t="s">
        <v>423</v>
      </c>
      <c r="Q6204" s="1" t="s">
        <v>5</v>
      </c>
      <c r="S6204" s="1" t="s">
        <v>5</v>
      </c>
      <c r="T6204" s="1" t="s">
        <v>5</v>
      </c>
      <c r="V6204" s="1" t="s">
        <v>5</v>
      </c>
      <c r="W6204" s="1" t="s">
        <v>5</v>
      </c>
      <c r="X6204" s="67">
        <v>-4.0404040404040416</v>
      </c>
      <c r="Y6204" s="23">
        <v>1</v>
      </c>
      <c r="Z6204" s="60">
        <v>0</v>
      </c>
      <c r="AA6204" s="11">
        <v>0</v>
      </c>
    </row>
    <row r="6205" spans="1:27" x14ac:dyDescent="0.2">
      <c r="A6205" s="1">
        <v>29</v>
      </c>
      <c r="B6205" s="1" t="s">
        <v>92</v>
      </c>
      <c r="C6205" s="1" t="s">
        <v>93</v>
      </c>
      <c r="D6205" s="1">
        <v>1926</v>
      </c>
      <c r="E6205" s="11">
        <v>0</v>
      </c>
      <c r="G6205" s="1">
        <v>0</v>
      </c>
      <c r="H6205" s="1" t="s">
        <v>5</v>
      </c>
      <c r="I6205" s="1">
        <v>4.5545</v>
      </c>
      <c r="M6205" s="1" t="s">
        <v>677</v>
      </c>
      <c r="O6205" s="1" t="s">
        <v>626</v>
      </c>
      <c r="P6205" s="1" t="s">
        <v>423</v>
      </c>
      <c r="Q6205" s="1" t="s">
        <v>5</v>
      </c>
      <c r="S6205" s="1" t="s">
        <v>5</v>
      </c>
      <c r="T6205" s="1" t="s">
        <v>5</v>
      </c>
      <c r="V6205" s="1" t="s">
        <v>5</v>
      </c>
      <c r="W6205" s="1" t="s">
        <v>5</v>
      </c>
      <c r="X6205" s="67">
        <v>-12.280701754385973</v>
      </c>
      <c r="Y6205" s="23">
        <v>1</v>
      </c>
      <c r="Z6205" s="60">
        <v>0</v>
      </c>
      <c r="AA6205" s="11">
        <v>0</v>
      </c>
    </row>
    <row r="6206" spans="1:27" x14ac:dyDescent="0.2">
      <c r="A6206" s="1">
        <v>29</v>
      </c>
      <c r="B6206" s="1" t="s">
        <v>92</v>
      </c>
      <c r="C6206" s="1" t="s">
        <v>93</v>
      </c>
      <c r="D6206" s="1">
        <v>1927</v>
      </c>
      <c r="E6206" s="11">
        <v>0</v>
      </c>
      <c r="G6206" s="1">
        <v>0</v>
      </c>
      <c r="H6206" s="1" t="s">
        <v>5</v>
      </c>
      <c r="I6206" s="1">
        <v>4.5365000000000002</v>
      </c>
      <c r="M6206" s="1" t="s">
        <v>677</v>
      </c>
      <c r="O6206" s="1" t="s">
        <v>626</v>
      </c>
      <c r="P6206" s="1" t="s">
        <v>423</v>
      </c>
      <c r="Q6206" s="1" t="s">
        <v>5</v>
      </c>
      <c r="S6206" s="1" t="s">
        <v>5</v>
      </c>
      <c r="T6206" s="1" t="s">
        <v>5</v>
      </c>
      <c r="V6206" s="1" t="s">
        <v>5</v>
      </c>
      <c r="W6206" s="1" t="s">
        <v>5</v>
      </c>
      <c r="X6206" s="67">
        <v>-9.1999999999999993</v>
      </c>
      <c r="Y6206" s="23">
        <v>1</v>
      </c>
      <c r="Z6206" s="60">
        <v>0</v>
      </c>
      <c r="AA6206" s="11">
        <v>0</v>
      </c>
    </row>
    <row r="6207" spans="1:27" x14ac:dyDescent="0.2">
      <c r="A6207" s="1">
        <v>29</v>
      </c>
      <c r="B6207" s="1" t="s">
        <v>92</v>
      </c>
      <c r="C6207" s="1" t="s">
        <v>93</v>
      </c>
      <c r="D6207" s="1">
        <v>1928</v>
      </c>
      <c r="E6207" s="11">
        <v>0</v>
      </c>
      <c r="G6207" s="1">
        <v>0</v>
      </c>
      <c r="H6207" s="1" t="s">
        <v>5</v>
      </c>
      <c r="I6207" s="1">
        <v>4.5369999999999999</v>
      </c>
      <c r="M6207" s="1" t="s">
        <v>677</v>
      </c>
      <c r="O6207" s="1" t="s">
        <v>626</v>
      </c>
      <c r="P6207" s="1" t="s">
        <v>423</v>
      </c>
      <c r="Q6207" s="1" t="s">
        <v>5</v>
      </c>
      <c r="S6207" s="1" t="s">
        <v>5</v>
      </c>
      <c r="T6207" s="1" t="s">
        <v>5</v>
      </c>
      <c r="V6207" s="1" t="s">
        <v>5</v>
      </c>
      <c r="W6207" s="1" t="s">
        <v>5</v>
      </c>
      <c r="X6207" s="67">
        <v>-3.0837004405286308</v>
      </c>
      <c r="Y6207" s="23">
        <v>1</v>
      </c>
      <c r="Z6207" s="60">
        <v>0</v>
      </c>
      <c r="AA6207" s="11">
        <v>0</v>
      </c>
    </row>
    <row r="6208" spans="1:27" x14ac:dyDescent="0.2">
      <c r="A6208" s="1">
        <v>29</v>
      </c>
      <c r="B6208" s="1" t="s">
        <v>92</v>
      </c>
      <c r="C6208" s="1" t="s">
        <v>93</v>
      </c>
      <c r="D6208" s="1">
        <v>1929</v>
      </c>
      <c r="E6208" s="11">
        <v>0</v>
      </c>
      <c r="G6208" s="1">
        <v>0</v>
      </c>
      <c r="H6208" s="1" t="s">
        <v>5</v>
      </c>
      <c r="I6208" s="1">
        <v>4.5373999999999999</v>
      </c>
      <c r="M6208" s="1" t="s">
        <v>677</v>
      </c>
      <c r="O6208" s="1" t="s">
        <v>626</v>
      </c>
      <c r="P6208" s="1" t="s">
        <v>423</v>
      </c>
      <c r="Q6208" s="1" t="s">
        <v>5</v>
      </c>
      <c r="S6208" s="1" t="s">
        <v>5</v>
      </c>
      <c r="T6208" s="1" t="s">
        <v>5</v>
      </c>
      <c r="V6208" s="1" t="s">
        <v>5</v>
      </c>
      <c r="W6208" s="1" t="s">
        <v>5</v>
      </c>
      <c r="X6208" s="67">
        <v>0.45454545454546746</v>
      </c>
      <c r="Y6208" s="23">
        <v>1</v>
      </c>
      <c r="Z6208" s="60">
        <v>0</v>
      </c>
      <c r="AA6208" s="11">
        <v>0</v>
      </c>
    </row>
    <row r="6209" spans="1:27" x14ac:dyDescent="0.2">
      <c r="A6209" s="1">
        <v>29</v>
      </c>
      <c r="B6209" s="1" t="s">
        <v>92</v>
      </c>
      <c r="C6209" s="1" t="s">
        <v>93</v>
      </c>
      <c r="D6209" s="1">
        <v>1930</v>
      </c>
      <c r="E6209" s="11">
        <v>0</v>
      </c>
      <c r="G6209" s="1">
        <v>0</v>
      </c>
      <c r="H6209" s="1" t="s">
        <v>5</v>
      </c>
      <c r="I6209" s="1">
        <v>4.5476000000000001</v>
      </c>
      <c r="M6209" s="1" t="s">
        <v>677</v>
      </c>
      <c r="O6209" s="1" t="s">
        <v>626</v>
      </c>
      <c r="P6209" s="1" t="s">
        <v>423</v>
      </c>
      <c r="Q6209" s="1" t="s">
        <v>5</v>
      </c>
      <c r="S6209" s="1" t="s">
        <v>5</v>
      </c>
      <c r="T6209" s="1" t="s">
        <v>5</v>
      </c>
      <c r="V6209" s="1" t="s">
        <v>5</v>
      </c>
      <c r="W6209" s="1" t="s">
        <v>5</v>
      </c>
      <c r="X6209" s="67">
        <v>-2.7149321266968371</v>
      </c>
      <c r="Y6209" s="23">
        <v>1</v>
      </c>
      <c r="Z6209" s="60">
        <v>0</v>
      </c>
      <c r="AA6209" s="11">
        <v>0</v>
      </c>
    </row>
    <row r="6210" spans="1:27" x14ac:dyDescent="0.2">
      <c r="A6210" s="1">
        <v>29</v>
      </c>
      <c r="B6210" s="1" t="s">
        <v>92</v>
      </c>
      <c r="C6210" s="1" t="s">
        <v>93</v>
      </c>
      <c r="D6210" s="1">
        <v>1931</v>
      </c>
      <c r="E6210" s="11">
        <v>0</v>
      </c>
      <c r="G6210" s="1">
        <v>0</v>
      </c>
      <c r="H6210" s="1" t="s">
        <v>5</v>
      </c>
      <c r="I6210" s="1">
        <v>4.5529000000000002</v>
      </c>
      <c r="M6210" s="1" t="s">
        <v>677</v>
      </c>
      <c r="O6210" s="1" t="s">
        <v>626</v>
      </c>
      <c r="P6210" s="1" t="s">
        <v>423</v>
      </c>
      <c r="Q6210" s="1" t="s">
        <v>5</v>
      </c>
      <c r="S6210" s="1" t="s">
        <v>5</v>
      </c>
      <c r="T6210" s="1" t="s">
        <v>5</v>
      </c>
      <c r="V6210" s="1" t="s">
        <v>5</v>
      </c>
      <c r="W6210" s="1" t="s">
        <v>5</v>
      </c>
      <c r="X6210" s="67">
        <v>-8.8372093023255758</v>
      </c>
      <c r="Y6210" s="23">
        <v>1</v>
      </c>
      <c r="Z6210" s="60">
        <v>0</v>
      </c>
      <c r="AA6210" s="11">
        <v>0</v>
      </c>
    </row>
    <row r="6211" spans="1:27" x14ac:dyDescent="0.2">
      <c r="A6211" s="1">
        <v>29</v>
      </c>
      <c r="B6211" s="1" t="s">
        <v>92</v>
      </c>
      <c r="C6211" s="1" t="s">
        <v>93</v>
      </c>
      <c r="D6211" s="1">
        <v>1932</v>
      </c>
      <c r="E6211" s="11">
        <v>0</v>
      </c>
      <c r="G6211" s="1">
        <v>0</v>
      </c>
      <c r="H6211" s="1" t="s">
        <v>5</v>
      </c>
      <c r="I6211" s="1">
        <v>5.9066999999999998</v>
      </c>
      <c r="M6211" s="1" t="s">
        <v>677</v>
      </c>
      <c r="O6211" s="1" t="s">
        <v>626</v>
      </c>
      <c r="P6211" s="1" t="s">
        <v>423</v>
      </c>
      <c r="Q6211" s="1" t="s">
        <v>5</v>
      </c>
      <c r="S6211" s="1" t="s">
        <v>5</v>
      </c>
      <c r="T6211" s="1" t="s">
        <v>5</v>
      </c>
      <c r="V6211" s="1" t="s">
        <v>5</v>
      </c>
      <c r="W6211" s="1" t="s">
        <v>5</v>
      </c>
      <c r="X6211" s="67">
        <v>-4.0816326530612344</v>
      </c>
      <c r="Y6211" s="23">
        <v>1</v>
      </c>
      <c r="Z6211" s="69">
        <v>1</v>
      </c>
      <c r="AA6211" s="11">
        <v>0</v>
      </c>
    </row>
    <row r="6212" spans="1:27" x14ac:dyDescent="0.2">
      <c r="A6212" s="1">
        <v>29</v>
      </c>
      <c r="B6212" s="1" t="s">
        <v>92</v>
      </c>
      <c r="C6212" s="1" t="s">
        <v>93</v>
      </c>
      <c r="D6212" s="1">
        <v>1933</v>
      </c>
      <c r="E6212" s="11">
        <v>0</v>
      </c>
      <c r="G6212" s="1">
        <v>0</v>
      </c>
      <c r="H6212" s="1" t="s">
        <v>5</v>
      </c>
      <c r="I6212" s="1">
        <v>4.3013000000000003</v>
      </c>
      <c r="M6212" s="1" t="s">
        <v>677</v>
      </c>
      <c r="O6212" s="1" t="s">
        <v>626</v>
      </c>
      <c r="P6212" s="1" t="s">
        <v>423</v>
      </c>
      <c r="Q6212" s="1" t="s">
        <v>5</v>
      </c>
      <c r="S6212" s="1" t="s">
        <v>5</v>
      </c>
      <c r="T6212" s="1" t="s">
        <v>5</v>
      </c>
      <c r="V6212" s="1" t="s">
        <v>5</v>
      </c>
      <c r="W6212" s="1" t="s">
        <v>5</v>
      </c>
      <c r="X6212" s="67">
        <v>-0.53191489361702793</v>
      </c>
      <c r="Y6212" s="23">
        <v>1</v>
      </c>
      <c r="Z6212" s="60">
        <v>0</v>
      </c>
      <c r="AA6212" s="11">
        <v>0</v>
      </c>
    </row>
    <row r="6213" spans="1:27" x14ac:dyDescent="0.2">
      <c r="A6213" s="1">
        <v>29</v>
      </c>
      <c r="B6213" s="1" t="s">
        <v>92</v>
      </c>
      <c r="C6213" s="1" t="s">
        <v>93</v>
      </c>
      <c r="D6213" s="1">
        <v>1934</v>
      </c>
      <c r="E6213" s="11">
        <v>0</v>
      </c>
      <c r="G6213" s="1">
        <v>0</v>
      </c>
      <c r="H6213" s="1" t="s">
        <v>5</v>
      </c>
      <c r="I6213" s="1">
        <v>4.2981999999999996</v>
      </c>
      <c r="M6213" s="1" t="s">
        <v>677</v>
      </c>
      <c r="O6213" s="1" t="s">
        <v>626</v>
      </c>
      <c r="P6213" s="1" t="s">
        <v>423</v>
      </c>
      <c r="Q6213" s="1" t="s">
        <v>5</v>
      </c>
      <c r="S6213" s="1" t="s">
        <v>5</v>
      </c>
      <c r="T6213" s="1" t="s">
        <v>5</v>
      </c>
      <c r="V6213" s="1" t="s">
        <v>5</v>
      </c>
      <c r="W6213" s="1" t="s">
        <v>5</v>
      </c>
      <c r="X6213" s="67">
        <v>1.0695187165775479</v>
      </c>
      <c r="Y6213" s="23">
        <v>1</v>
      </c>
      <c r="Z6213" s="60">
        <v>0</v>
      </c>
      <c r="AA6213" s="11">
        <v>0</v>
      </c>
    </row>
    <row r="6214" spans="1:27" x14ac:dyDescent="0.2">
      <c r="A6214" s="1">
        <v>29</v>
      </c>
      <c r="B6214" s="1" t="s">
        <v>92</v>
      </c>
      <c r="C6214" s="1" t="s">
        <v>93</v>
      </c>
      <c r="D6214" s="1">
        <v>1935</v>
      </c>
      <c r="E6214" s="11">
        <v>0</v>
      </c>
      <c r="G6214" s="1">
        <v>0</v>
      </c>
      <c r="H6214" s="1" t="s">
        <v>5</v>
      </c>
      <c r="I6214" s="1">
        <v>4.4568000000000003</v>
      </c>
      <c r="M6214" s="1" t="s">
        <v>677</v>
      </c>
      <c r="O6214" s="1" t="s">
        <v>626</v>
      </c>
      <c r="P6214" s="1" t="s">
        <v>423</v>
      </c>
      <c r="Q6214" s="1" t="s">
        <v>5</v>
      </c>
      <c r="S6214" s="1" t="s">
        <v>5</v>
      </c>
      <c r="T6214" s="1" t="s">
        <v>5</v>
      </c>
      <c r="V6214" s="1" t="s">
        <v>5</v>
      </c>
      <c r="W6214" s="1" t="s">
        <v>5</v>
      </c>
      <c r="X6214" s="67">
        <v>1.0582010582010639</v>
      </c>
      <c r="Y6214" s="23">
        <v>1</v>
      </c>
      <c r="Z6214" s="60">
        <v>0</v>
      </c>
      <c r="AA6214" s="11">
        <v>0</v>
      </c>
    </row>
    <row r="6215" spans="1:27" x14ac:dyDescent="0.2">
      <c r="A6215" s="1">
        <v>29</v>
      </c>
      <c r="B6215" s="1" t="s">
        <v>92</v>
      </c>
      <c r="C6215" s="1" t="s">
        <v>93</v>
      </c>
      <c r="D6215" s="1">
        <v>1936</v>
      </c>
      <c r="E6215" s="11">
        <v>0</v>
      </c>
      <c r="G6215" s="1">
        <v>0</v>
      </c>
      <c r="H6215" s="1" t="s">
        <v>5</v>
      </c>
      <c r="I6215" s="1">
        <v>4.3981000000000003</v>
      </c>
      <c r="M6215" s="1" t="s">
        <v>677</v>
      </c>
      <c r="O6215" s="1" t="s">
        <v>626</v>
      </c>
      <c r="P6215" s="1" t="s">
        <v>423</v>
      </c>
      <c r="Q6215" s="1" t="s">
        <v>5</v>
      </c>
      <c r="S6215" s="1" t="s">
        <v>5</v>
      </c>
      <c r="T6215" s="1" t="s">
        <v>5</v>
      </c>
      <c r="V6215" s="1" t="s">
        <v>5</v>
      </c>
      <c r="W6215" s="1" t="s">
        <v>5</v>
      </c>
      <c r="X6215" s="67">
        <v>2.6178010471204232</v>
      </c>
      <c r="Y6215" s="23">
        <v>1</v>
      </c>
      <c r="Z6215" s="60">
        <v>0</v>
      </c>
      <c r="AA6215" s="11">
        <v>0</v>
      </c>
    </row>
    <row r="6216" spans="1:27" x14ac:dyDescent="0.2">
      <c r="A6216" s="1">
        <v>29</v>
      </c>
      <c r="B6216" s="1" t="s">
        <v>92</v>
      </c>
      <c r="C6216" s="1" t="s">
        <v>93</v>
      </c>
      <c r="D6216" s="1">
        <v>1937</v>
      </c>
      <c r="E6216" s="11">
        <v>0</v>
      </c>
      <c r="G6216" s="1">
        <v>0</v>
      </c>
      <c r="H6216" s="1" t="s">
        <v>5</v>
      </c>
      <c r="I6216" s="1">
        <v>4.4330999999999996</v>
      </c>
      <c r="M6216" s="1" t="s">
        <v>677</v>
      </c>
      <c r="O6216" s="1" t="s">
        <v>626</v>
      </c>
      <c r="P6216" s="1" t="s">
        <v>423</v>
      </c>
      <c r="Q6216" s="1" t="s">
        <v>5</v>
      </c>
      <c r="S6216" s="1" t="s">
        <v>5</v>
      </c>
      <c r="T6216" s="1" t="s">
        <v>5</v>
      </c>
      <c r="V6216" s="1" t="s">
        <v>5</v>
      </c>
      <c r="W6216" s="1" t="s">
        <v>5</v>
      </c>
      <c r="X6216" s="67">
        <v>5.1020408163265216</v>
      </c>
      <c r="Y6216" s="23">
        <v>1</v>
      </c>
      <c r="Z6216" s="60">
        <v>0</v>
      </c>
      <c r="AA6216" s="11">
        <v>0</v>
      </c>
    </row>
    <row r="6217" spans="1:27" x14ac:dyDescent="0.2">
      <c r="A6217" s="1">
        <v>29</v>
      </c>
      <c r="B6217" s="1" t="s">
        <v>92</v>
      </c>
      <c r="C6217" s="1" t="s">
        <v>93</v>
      </c>
      <c r="D6217" s="1">
        <v>1938</v>
      </c>
      <c r="E6217" s="11">
        <v>0</v>
      </c>
      <c r="G6217" s="1">
        <v>0</v>
      </c>
      <c r="H6217" s="1" t="s">
        <v>5</v>
      </c>
      <c r="I6217" s="1">
        <v>4.4141000000000004</v>
      </c>
      <c r="M6217" s="1" t="s">
        <v>677</v>
      </c>
      <c r="O6217" s="1" t="s">
        <v>626</v>
      </c>
      <c r="P6217" s="1" t="s">
        <v>423</v>
      </c>
      <c r="Q6217" s="1" t="s">
        <v>5</v>
      </c>
      <c r="S6217" s="1" t="s">
        <v>5</v>
      </c>
      <c r="T6217" s="1" t="s">
        <v>5</v>
      </c>
      <c r="V6217" s="1" t="s">
        <v>5</v>
      </c>
      <c r="W6217" s="1" t="s">
        <v>5</v>
      </c>
      <c r="X6217" s="67">
        <v>2.427184466019412</v>
      </c>
      <c r="Y6217" s="23">
        <v>1</v>
      </c>
      <c r="Z6217" s="60">
        <v>0</v>
      </c>
      <c r="AA6217" s="11">
        <v>0</v>
      </c>
    </row>
    <row r="6218" spans="1:27" x14ac:dyDescent="0.2">
      <c r="A6218" s="1">
        <v>29</v>
      </c>
      <c r="B6218" s="1" t="s">
        <v>92</v>
      </c>
      <c r="C6218" s="1" t="s">
        <v>93</v>
      </c>
      <c r="D6218" s="1">
        <v>1939</v>
      </c>
      <c r="E6218" s="11">
        <v>0</v>
      </c>
      <c r="G6218" s="1">
        <v>0</v>
      </c>
      <c r="H6218" s="1" t="s">
        <v>5</v>
      </c>
      <c r="I6218" s="1">
        <v>4.7272999999999996</v>
      </c>
      <c r="M6218" s="1" t="s">
        <v>677</v>
      </c>
      <c r="O6218" s="1" t="s">
        <v>626</v>
      </c>
      <c r="P6218" s="1" t="s">
        <v>423</v>
      </c>
      <c r="Q6218" s="1" t="s">
        <v>5</v>
      </c>
      <c r="S6218" s="1" t="s">
        <v>5</v>
      </c>
      <c r="T6218" s="1" t="s">
        <v>5</v>
      </c>
      <c r="V6218" s="1" t="s">
        <v>5</v>
      </c>
      <c r="W6218" s="1" t="s">
        <v>5</v>
      </c>
      <c r="X6218" s="67">
        <v>3.7914691943127963</v>
      </c>
      <c r="Y6218" s="23">
        <v>1</v>
      </c>
      <c r="Z6218" s="60">
        <v>0</v>
      </c>
      <c r="AA6218" s="11">
        <v>0</v>
      </c>
    </row>
    <row r="6219" spans="1:27" x14ac:dyDescent="0.2">
      <c r="A6219" s="1">
        <v>29</v>
      </c>
      <c r="B6219" s="1" t="s">
        <v>92</v>
      </c>
      <c r="C6219" s="1" t="s">
        <v>93</v>
      </c>
      <c r="D6219" s="1">
        <v>1940</v>
      </c>
      <c r="E6219" s="11">
        <v>0</v>
      </c>
      <c r="G6219" s="1">
        <v>0</v>
      </c>
      <c r="H6219" s="1" t="s">
        <v>5</v>
      </c>
      <c r="I6219" s="1">
        <v>6.49</v>
      </c>
      <c r="M6219" s="1" t="s">
        <v>677</v>
      </c>
      <c r="O6219" s="1" t="s">
        <v>626</v>
      </c>
      <c r="P6219" s="1" t="s">
        <v>423</v>
      </c>
      <c r="Q6219" s="1" t="s">
        <v>5</v>
      </c>
      <c r="S6219" s="1" t="s">
        <v>5</v>
      </c>
      <c r="T6219" s="1" t="s">
        <v>5</v>
      </c>
      <c r="V6219" s="1" t="s">
        <v>5</v>
      </c>
      <c r="W6219" s="1" t="s">
        <v>5</v>
      </c>
      <c r="X6219" s="70">
        <v>31.050228310502291</v>
      </c>
      <c r="Y6219" s="23">
        <v>1</v>
      </c>
      <c r="Z6219" s="60">
        <v>0</v>
      </c>
      <c r="AA6219" s="55">
        <v>1</v>
      </c>
    </row>
    <row r="6220" spans="1:27" x14ac:dyDescent="0.2">
      <c r="A6220" s="1">
        <v>29</v>
      </c>
      <c r="B6220" s="1" t="s">
        <v>92</v>
      </c>
      <c r="C6220" s="1" t="s">
        <v>93</v>
      </c>
      <c r="D6220" s="1">
        <v>1941</v>
      </c>
      <c r="E6220" s="11">
        <v>0</v>
      </c>
      <c r="G6220" s="1">
        <v>0</v>
      </c>
      <c r="H6220" s="1" t="s">
        <v>5</v>
      </c>
      <c r="I6220" s="1">
        <v>6.49</v>
      </c>
      <c r="M6220" s="1" t="s">
        <v>677</v>
      </c>
      <c r="O6220" s="1" t="s">
        <v>626</v>
      </c>
      <c r="P6220" s="1" t="s">
        <v>423</v>
      </c>
      <c r="Q6220" s="1" t="s">
        <v>5</v>
      </c>
      <c r="S6220" s="1" t="s">
        <v>5</v>
      </c>
      <c r="T6220" s="1" t="s">
        <v>5</v>
      </c>
      <c r="V6220" s="1" t="s">
        <v>5</v>
      </c>
      <c r="W6220" s="1" t="s">
        <v>5</v>
      </c>
      <c r="X6220" s="70">
        <v>27.874564459930312</v>
      </c>
      <c r="Y6220" s="23">
        <v>1</v>
      </c>
      <c r="Z6220" s="60">
        <v>0</v>
      </c>
      <c r="AA6220" s="55">
        <v>1</v>
      </c>
    </row>
    <row r="6221" spans="1:27" x14ac:dyDescent="0.2">
      <c r="A6221" s="1">
        <v>29</v>
      </c>
      <c r="B6221" s="1" t="s">
        <v>92</v>
      </c>
      <c r="C6221" s="1" t="s">
        <v>93</v>
      </c>
      <c r="D6221" s="1">
        <v>1942</v>
      </c>
      <c r="E6221" s="11">
        <v>0</v>
      </c>
      <c r="G6221" s="1">
        <v>0</v>
      </c>
      <c r="H6221" s="1" t="s">
        <v>5</v>
      </c>
      <c r="I6221" s="1">
        <v>6.49</v>
      </c>
      <c r="M6221" s="1" t="s">
        <v>677</v>
      </c>
      <c r="O6221" s="1" t="s">
        <v>626</v>
      </c>
      <c r="P6221" s="1" t="s">
        <v>423</v>
      </c>
      <c r="Q6221" s="1" t="s">
        <v>5</v>
      </c>
      <c r="S6221" s="1" t="s">
        <v>5</v>
      </c>
      <c r="T6221" s="1" t="s">
        <v>5</v>
      </c>
      <c r="V6221" s="1" t="s">
        <v>5</v>
      </c>
      <c r="W6221" s="1" t="s">
        <v>5</v>
      </c>
      <c r="X6221" s="70">
        <v>31.0626702997275</v>
      </c>
      <c r="Y6221" s="23">
        <v>1</v>
      </c>
      <c r="Z6221" s="60">
        <v>0</v>
      </c>
      <c r="AA6221" s="55">
        <v>1</v>
      </c>
    </row>
    <row r="6222" spans="1:27" x14ac:dyDescent="0.2">
      <c r="A6222" s="1">
        <v>29</v>
      </c>
      <c r="B6222" s="1" t="s">
        <v>92</v>
      </c>
      <c r="C6222" s="1" t="s">
        <v>93</v>
      </c>
      <c r="D6222" s="1">
        <v>1943</v>
      </c>
      <c r="E6222" s="11">
        <v>0</v>
      </c>
      <c r="G6222" s="1">
        <v>0</v>
      </c>
      <c r="H6222" s="1" t="s">
        <v>5</v>
      </c>
      <c r="I6222" s="1">
        <v>6.49</v>
      </c>
      <c r="M6222" s="1" t="s">
        <v>677</v>
      </c>
      <c r="O6222" s="1" t="s">
        <v>626</v>
      </c>
      <c r="P6222" s="1" t="s">
        <v>423</v>
      </c>
      <c r="Q6222" s="1" t="s">
        <v>5</v>
      </c>
      <c r="S6222" s="1" t="s">
        <v>5</v>
      </c>
      <c r="T6222" s="1" t="s">
        <v>5</v>
      </c>
      <c r="V6222" s="1" t="s">
        <v>5</v>
      </c>
      <c r="W6222" s="1" t="s">
        <v>5</v>
      </c>
      <c r="X6222" s="70">
        <v>26.403326403326417</v>
      </c>
      <c r="Y6222" s="23">
        <v>1</v>
      </c>
      <c r="Z6222" s="60">
        <v>0</v>
      </c>
      <c r="AA6222" s="55">
        <v>1</v>
      </c>
    </row>
    <row r="6223" spans="1:27" x14ac:dyDescent="0.2">
      <c r="A6223" s="1">
        <v>29</v>
      </c>
      <c r="B6223" s="1" t="s">
        <v>92</v>
      </c>
      <c r="C6223" s="1" t="s">
        <v>93</v>
      </c>
      <c r="D6223" s="1">
        <v>1944</v>
      </c>
      <c r="E6223" s="11">
        <v>0</v>
      </c>
      <c r="G6223" s="1">
        <v>0</v>
      </c>
      <c r="H6223" s="1" t="s">
        <v>5</v>
      </c>
      <c r="I6223" s="1">
        <v>6.49</v>
      </c>
      <c r="M6223" s="1" t="s">
        <v>677</v>
      </c>
      <c r="O6223" s="1" t="s">
        <v>626</v>
      </c>
      <c r="P6223" s="1" t="s">
        <v>423</v>
      </c>
      <c r="Q6223" s="1" t="s">
        <v>5</v>
      </c>
      <c r="S6223" s="1" t="s">
        <v>5</v>
      </c>
      <c r="T6223" s="1" t="s">
        <v>5</v>
      </c>
      <c r="V6223" s="1" t="s">
        <v>5</v>
      </c>
      <c r="W6223" s="1" t="s">
        <v>5</v>
      </c>
      <c r="X6223" s="68">
        <v>4.4407894736842053</v>
      </c>
      <c r="Y6223" s="23">
        <v>1</v>
      </c>
      <c r="Z6223" s="60">
        <v>0</v>
      </c>
      <c r="AA6223" s="11">
        <v>0</v>
      </c>
    </row>
    <row r="6224" spans="1:27" x14ac:dyDescent="0.2">
      <c r="A6224" s="1">
        <v>29</v>
      </c>
      <c r="B6224" s="1" t="s">
        <v>92</v>
      </c>
      <c r="C6224" s="1" t="s">
        <v>93</v>
      </c>
      <c r="D6224" s="1">
        <v>1945</v>
      </c>
      <c r="E6224" s="11">
        <v>0</v>
      </c>
      <c r="G6224" s="1">
        <v>0</v>
      </c>
      <c r="H6224" s="1" t="s">
        <v>5</v>
      </c>
      <c r="I6224" s="1">
        <v>6.49</v>
      </c>
      <c r="M6224" s="1" t="s">
        <v>677</v>
      </c>
      <c r="O6224" s="1" t="s">
        <v>626</v>
      </c>
      <c r="P6224" s="1" t="s">
        <v>423</v>
      </c>
      <c r="Q6224" s="1" t="s">
        <v>5</v>
      </c>
      <c r="S6224" s="1" t="s">
        <v>5</v>
      </c>
      <c r="T6224" s="1" t="s">
        <v>5</v>
      </c>
      <c r="V6224" s="1" t="s">
        <v>5</v>
      </c>
      <c r="W6224" s="1" t="s">
        <v>5</v>
      </c>
      <c r="X6224" s="68">
        <v>3.5100821508588509</v>
      </c>
      <c r="Y6224" s="23">
        <v>1</v>
      </c>
      <c r="Z6224" s="60">
        <v>0</v>
      </c>
      <c r="AA6224" s="11">
        <v>0</v>
      </c>
    </row>
    <row r="6225" spans="1:27" x14ac:dyDescent="0.2">
      <c r="A6225" s="1">
        <v>29</v>
      </c>
      <c r="B6225" s="1" t="s">
        <v>92</v>
      </c>
      <c r="C6225" s="1" t="s">
        <v>93</v>
      </c>
      <c r="D6225" s="1">
        <v>1946</v>
      </c>
      <c r="E6225" s="11">
        <v>0</v>
      </c>
      <c r="G6225" s="1">
        <v>0</v>
      </c>
      <c r="H6225" s="1" t="s">
        <v>5</v>
      </c>
      <c r="I6225" s="1">
        <v>6.49</v>
      </c>
      <c r="M6225" s="1" t="s">
        <v>677</v>
      </c>
      <c r="O6225" s="1" t="s">
        <v>626</v>
      </c>
      <c r="P6225" s="1" t="s">
        <v>423</v>
      </c>
      <c r="Q6225" s="1" t="s">
        <v>5</v>
      </c>
      <c r="S6225" s="1" t="s">
        <v>5</v>
      </c>
      <c r="T6225" s="1" t="s">
        <v>5</v>
      </c>
      <c r="V6225" s="1" t="s">
        <v>5</v>
      </c>
      <c r="W6225" s="1" t="s">
        <v>5</v>
      </c>
      <c r="X6225" s="100">
        <v>3.5100821508588509</v>
      </c>
      <c r="Y6225" s="23">
        <v>1</v>
      </c>
      <c r="Z6225" s="60">
        <v>0</v>
      </c>
      <c r="AA6225" s="11">
        <v>0</v>
      </c>
    </row>
    <row r="6226" spans="1:27" x14ac:dyDescent="0.2">
      <c r="A6226" s="1">
        <v>29</v>
      </c>
      <c r="B6226" s="1" t="s">
        <v>92</v>
      </c>
      <c r="C6226" s="1" t="s">
        <v>93</v>
      </c>
      <c r="D6226" s="1">
        <v>1947</v>
      </c>
      <c r="E6226" s="11">
        <v>0</v>
      </c>
      <c r="G6226" s="1">
        <v>0</v>
      </c>
      <c r="H6226" s="1" t="s">
        <v>5</v>
      </c>
      <c r="I6226" s="1">
        <v>6.49</v>
      </c>
      <c r="M6226" s="1" t="s">
        <v>677</v>
      </c>
      <c r="O6226" s="1" t="s">
        <v>626</v>
      </c>
      <c r="P6226" s="1" t="s">
        <v>423</v>
      </c>
      <c r="Q6226" s="1" t="s">
        <v>5</v>
      </c>
      <c r="S6226" s="1" t="s">
        <v>5</v>
      </c>
      <c r="T6226" s="1" t="s">
        <v>5</v>
      </c>
      <c r="V6226" s="1" t="s">
        <v>5</v>
      </c>
      <c r="W6226" s="1" t="s">
        <v>5</v>
      </c>
      <c r="X6226" s="68">
        <v>5.591630591630592</v>
      </c>
      <c r="Y6226" s="23">
        <v>1</v>
      </c>
      <c r="Z6226" s="69">
        <v>1</v>
      </c>
      <c r="AA6226" s="11">
        <v>0</v>
      </c>
    </row>
    <row r="6227" spans="1:27" x14ac:dyDescent="0.2">
      <c r="A6227" s="1">
        <v>29</v>
      </c>
      <c r="B6227" s="1" t="s">
        <v>92</v>
      </c>
      <c r="C6227" s="1" t="s">
        <v>93</v>
      </c>
      <c r="D6227" s="1">
        <v>1948</v>
      </c>
      <c r="E6227" s="11">
        <v>0</v>
      </c>
      <c r="G6227" s="1">
        <v>0</v>
      </c>
      <c r="H6227" s="1" t="s">
        <v>5</v>
      </c>
      <c r="I6227" s="1">
        <f t="shared" ref="I6227:I6252" si="104">100*K6227</f>
        <v>0</v>
      </c>
      <c r="M6227" s="1" t="s">
        <v>677</v>
      </c>
      <c r="O6227" s="1" t="s">
        <v>626</v>
      </c>
      <c r="P6227" s="1" t="s">
        <v>423</v>
      </c>
      <c r="Q6227" s="1" t="s">
        <v>5</v>
      </c>
      <c r="S6227" s="1" t="s">
        <v>5</v>
      </c>
      <c r="T6227" s="1" t="s">
        <v>5</v>
      </c>
      <c r="V6227" s="1" t="s">
        <v>5</v>
      </c>
      <c r="W6227" s="1" t="s">
        <v>5</v>
      </c>
      <c r="X6227" s="68">
        <v>7.6187222412025966</v>
      </c>
      <c r="Y6227" s="23">
        <v>1</v>
      </c>
      <c r="Z6227" s="60">
        <v>0</v>
      </c>
      <c r="AA6227" s="11">
        <v>0</v>
      </c>
    </row>
    <row r="6228" spans="1:27" x14ac:dyDescent="0.2">
      <c r="A6228" s="1">
        <v>29</v>
      </c>
      <c r="B6228" s="1" t="s">
        <v>92</v>
      </c>
      <c r="C6228" s="1" t="s">
        <v>93</v>
      </c>
      <c r="D6228" s="1">
        <v>1949</v>
      </c>
      <c r="E6228" s="11">
        <v>0</v>
      </c>
      <c r="G6228" s="1">
        <v>0</v>
      </c>
      <c r="H6228" s="1" t="s">
        <v>5</v>
      </c>
      <c r="I6228" s="1">
        <f t="shared" si="104"/>
        <v>0</v>
      </c>
      <c r="M6228" s="1" t="s">
        <v>677</v>
      </c>
      <c r="O6228" s="1" t="s">
        <v>626</v>
      </c>
      <c r="P6228" s="1" t="s">
        <v>423</v>
      </c>
      <c r="Q6228" s="1" t="s">
        <v>5</v>
      </c>
      <c r="S6228" s="1" t="s">
        <v>5</v>
      </c>
      <c r="T6228" s="1" t="s">
        <v>5</v>
      </c>
      <c r="V6228" s="1" t="s">
        <v>5</v>
      </c>
      <c r="W6228" s="1" t="s">
        <v>5</v>
      </c>
      <c r="X6228" s="68">
        <v>2.0634920634920642</v>
      </c>
      <c r="Y6228" s="23">
        <v>1</v>
      </c>
      <c r="Z6228" s="60">
        <v>0</v>
      </c>
      <c r="AA6228" s="11">
        <v>0</v>
      </c>
    </row>
    <row r="6229" spans="1:27" x14ac:dyDescent="0.2">
      <c r="A6229" s="1">
        <v>29</v>
      </c>
      <c r="B6229" s="1" t="s">
        <v>92</v>
      </c>
      <c r="C6229" s="1" t="s">
        <v>93</v>
      </c>
      <c r="D6229" s="1">
        <v>1950</v>
      </c>
      <c r="E6229" s="11">
        <v>0</v>
      </c>
      <c r="G6229" s="1">
        <v>0</v>
      </c>
      <c r="H6229" s="1" t="s">
        <v>5</v>
      </c>
      <c r="I6229" s="1">
        <f t="shared" si="104"/>
        <v>0</v>
      </c>
      <c r="M6229" s="1" t="s">
        <v>677</v>
      </c>
      <c r="O6229" s="1" t="s">
        <v>626</v>
      </c>
      <c r="P6229" s="1" t="s">
        <v>423</v>
      </c>
      <c r="Q6229" s="1" t="s">
        <v>5</v>
      </c>
      <c r="S6229" s="1" t="s">
        <v>5</v>
      </c>
      <c r="T6229" s="1" t="s">
        <v>5</v>
      </c>
      <c r="V6229" s="1" t="s">
        <v>5</v>
      </c>
      <c r="W6229" s="1" t="s">
        <v>5</v>
      </c>
      <c r="X6229" s="68">
        <v>2.7060653188180406</v>
      </c>
      <c r="Y6229" s="23">
        <v>1</v>
      </c>
      <c r="Z6229" s="69">
        <v>1</v>
      </c>
      <c r="AA6229" s="11">
        <v>0</v>
      </c>
    </row>
    <row r="6230" spans="1:27" x14ac:dyDescent="0.2">
      <c r="A6230" s="1">
        <v>29</v>
      </c>
      <c r="B6230" s="1" t="s">
        <v>92</v>
      </c>
      <c r="C6230" s="1" t="s">
        <v>93</v>
      </c>
      <c r="D6230" s="1">
        <v>1951</v>
      </c>
      <c r="E6230" s="11">
        <v>0</v>
      </c>
      <c r="G6230" s="1">
        <v>0</v>
      </c>
      <c r="H6230" s="1" t="s">
        <v>5</v>
      </c>
      <c r="I6230" s="1">
        <f t="shared" si="104"/>
        <v>0</v>
      </c>
      <c r="M6230" s="1" t="s">
        <v>677</v>
      </c>
      <c r="O6230" s="1" t="s">
        <v>626</v>
      </c>
      <c r="P6230" s="1" t="s">
        <v>423</v>
      </c>
      <c r="Q6230" s="1" t="s">
        <v>5</v>
      </c>
      <c r="S6230" s="1" t="s">
        <v>5</v>
      </c>
      <c r="T6230" s="1" t="s">
        <v>5</v>
      </c>
      <c r="V6230" s="1" t="s">
        <v>5</v>
      </c>
      <c r="W6230" s="1" t="s">
        <v>5</v>
      </c>
      <c r="X6230" s="68">
        <v>27.195639006662628</v>
      </c>
      <c r="Y6230" s="23">
        <v>1</v>
      </c>
      <c r="Z6230" s="60">
        <v>0</v>
      </c>
      <c r="AA6230" s="55">
        <v>1</v>
      </c>
    </row>
    <row r="6231" spans="1:27" x14ac:dyDescent="0.2">
      <c r="A6231" s="1">
        <v>29</v>
      </c>
      <c r="B6231" s="1" t="s">
        <v>92</v>
      </c>
      <c r="C6231" s="1" t="s">
        <v>93</v>
      </c>
      <c r="D6231" s="1">
        <v>1952</v>
      </c>
      <c r="E6231" s="11">
        <v>0</v>
      </c>
      <c r="G6231" s="1">
        <v>0</v>
      </c>
      <c r="H6231" s="1" t="s">
        <v>5</v>
      </c>
      <c r="I6231" s="1">
        <f t="shared" si="104"/>
        <v>0</v>
      </c>
      <c r="M6231" s="1" t="s">
        <v>677</v>
      </c>
      <c r="O6231" s="1" t="s">
        <v>626</v>
      </c>
      <c r="P6231" s="1" t="s">
        <v>423</v>
      </c>
      <c r="Q6231" s="1" t="s">
        <v>5</v>
      </c>
      <c r="S6231" s="1" t="s">
        <v>5</v>
      </c>
      <c r="T6231" s="1" t="s">
        <v>5</v>
      </c>
      <c r="V6231" s="1" t="s">
        <v>5</v>
      </c>
      <c r="W6231" s="1" t="s">
        <v>5</v>
      </c>
      <c r="X6231" s="68">
        <v>27.761904761904759</v>
      </c>
      <c r="Y6231" s="23">
        <v>1</v>
      </c>
      <c r="Z6231" s="60">
        <v>0</v>
      </c>
      <c r="AA6231" s="55">
        <v>1</v>
      </c>
    </row>
    <row r="6232" spans="1:27" x14ac:dyDescent="0.2">
      <c r="A6232" s="1">
        <v>29</v>
      </c>
      <c r="B6232" s="1" t="s">
        <v>92</v>
      </c>
      <c r="C6232" s="1" t="s">
        <v>93</v>
      </c>
      <c r="D6232" s="1">
        <v>1953</v>
      </c>
      <c r="E6232" s="11">
        <v>0</v>
      </c>
      <c r="G6232" s="1">
        <v>0</v>
      </c>
      <c r="H6232" s="1" t="s">
        <v>5</v>
      </c>
      <c r="I6232" s="1">
        <f t="shared" si="104"/>
        <v>0</v>
      </c>
      <c r="M6232" s="1" t="s">
        <v>677</v>
      </c>
      <c r="O6232" s="1" t="s">
        <v>626</v>
      </c>
      <c r="P6232" s="1" t="s">
        <v>423</v>
      </c>
      <c r="Q6232" s="1" t="s">
        <v>5</v>
      </c>
      <c r="S6232" s="1" t="s">
        <v>5</v>
      </c>
      <c r="T6232" s="1" t="s">
        <v>5</v>
      </c>
      <c r="V6232" s="1" t="s">
        <v>5</v>
      </c>
      <c r="W6232" s="1" t="s">
        <v>5</v>
      </c>
      <c r="X6232" s="68">
        <v>12.281028699217293</v>
      </c>
      <c r="Y6232" s="23">
        <v>1</v>
      </c>
      <c r="Z6232" s="60">
        <v>0</v>
      </c>
      <c r="AA6232" s="11">
        <v>0</v>
      </c>
    </row>
    <row r="6233" spans="1:27" x14ac:dyDescent="0.2">
      <c r="A6233" s="1">
        <v>29</v>
      </c>
      <c r="B6233" s="1" t="s">
        <v>92</v>
      </c>
      <c r="C6233" s="1" t="s">
        <v>93</v>
      </c>
      <c r="D6233" s="1">
        <v>1954</v>
      </c>
      <c r="E6233" s="11">
        <v>0</v>
      </c>
      <c r="G6233" s="1">
        <v>0</v>
      </c>
      <c r="H6233" s="1" t="s">
        <v>5</v>
      </c>
      <c r="I6233" s="1">
        <f t="shared" si="104"/>
        <v>0</v>
      </c>
      <c r="M6233" s="1" t="s">
        <v>677</v>
      </c>
      <c r="O6233" s="1" t="s">
        <v>626</v>
      </c>
      <c r="P6233" s="1" t="s">
        <v>423</v>
      </c>
      <c r="Q6233" s="1" t="s">
        <v>5</v>
      </c>
      <c r="S6233" s="1" t="s">
        <v>5</v>
      </c>
      <c r="T6233" s="1" t="s">
        <v>5</v>
      </c>
      <c r="V6233" s="1" t="s">
        <v>5</v>
      </c>
      <c r="W6233" s="1" t="s">
        <v>5</v>
      </c>
      <c r="X6233" s="68">
        <v>-0.49792531120331912</v>
      </c>
      <c r="Y6233" s="23">
        <v>1</v>
      </c>
      <c r="Z6233" s="60">
        <v>0</v>
      </c>
      <c r="AA6233" s="11">
        <v>0</v>
      </c>
    </row>
    <row r="6234" spans="1:27" ht="12.75" customHeight="1" x14ac:dyDescent="0.2">
      <c r="A6234" s="1">
        <v>29</v>
      </c>
      <c r="B6234" s="1" t="s">
        <v>92</v>
      </c>
      <c r="C6234" s="1" t="s">
        <v>93</v>
      </c>
      <c r="D6234" s="1">
        <v>1955</v>
      </c>
      <c r="E6234" s="11">
        <v>0</v>
      </c>
      <c r="G6234" s="1">
        <v>0</v>
      </c>
      <c r="H6234" s="1" t="s">
        <v>5</v>
      </c>
      <c r="I6234" s="1">
        <f t="shared" si="104"/>
        <v>0</v>
      </c>
      <c r="M6234" s="1" t="s">
        <v>677</v>
      </c>
      <c r="O6234" s="1" t="s">
        <v>626</v>
      </c>
      <c r="P6234" s="1" t="s">
        <v>423</v>
      </c>
      <c r="Q6234" s="1" t="s">
        <v>5</v>
      </c>
      <c r="S6234" s="1" t="s">
        <v>5</v>
      </c>
      <c r="T6234" s="1" t="s">
        <v>5</v>
      </c>
      <c r="V6234" s="1" t="s">
        <v>5</v>
      </c>
      <c r="W6234" s="1" t="s">
        <v>5</v>
      </c>
      <c r="X6234" s="68">
        <v>1.0175145954962466</v>
      </c>
      <c r="Y6234" s="23">
        <v>1</v>
      </c>
      <c r="Z6234" s="60">
        <v>0</v>
      </c>
      <c r="AA6234" s="11">
        <v>0</v>
      </c>
    </row>
    <row r="6235" spans="1:27" x14ac:dyDescent="0.2">
      <c r="A6235" s="1">
        <v>29</v>
      </c>
      <c r="B6235" s="1" t="s">
        <v>92</v>
      </c>
      <c r="C6235" s="1" t="s">
        <v>93</v>
      </c>
      <c r="D6235" s="1">
        <v>1956</v>
      </c>
      <c r="E6235" s="11">
        <v>0</v>
      </c>
      <c r="G6235" s="1">
        <v>0</v>
      </c>
      <c r="H6235" s="1" t="s">
        <v>5</v>
      </c>
      <c r="I6235" s="1">
        <f t="shared" si="104"/>
        <v>0</v>
      </c>
      <c r="M6235" s="1" t="s">
        <v>677</v>
      </c>
      <c r="O6235" s="1" t="s">
        <v>626</v>
      </c>
      <c r="P6235" s="1" t="s">
        <v>423</v>
      </c>
      <c r="Q6235" s="1" t="s">
        <v>5</v>
      </c>
      <c r="S6235" s="1" t="s">
        <v>5</v>
      </c>
      <c r="T6235" s="1" t="s">
        <v>5</v>
      </c>
      <c r="V6235" s="1" t="s">
        <v>5</v>
      </c>
      <c r="W6235" s="1" t="s">
        <v>5</v>
      </c>
      <c r="X6235" s="68">
        <v>4.1941875825627495</v>
      </c>
      <c r="Y6235" s="23">
        <v>1</v>
      </c>
      <c r="Z6235" s="60">
        <v>0</v>
      </c>
      <c r="AA6235" s="11">
        <v>0</v>
      </c>
    </row>
    <row r="6236" spans="1:27" x14ac:dyDescent="0.2">
      <c r="A6236" s="1">
        <v>29</v>
      </c>
      <c r="B6236" s="1" t="s">
        <v>92</v>
      </c>
      <c r="C6236" s="1" t="s">
        <v>93</v>
      </c>
      <c r="D6236" s="1">
        <v>1957</v>
      </c>
      <c r="E6236" s="11">
        <v>0</v>
      </c>
      <c r="G6236" s="1">
        <v>0</v>
      </c>
      <c r="H6236" s="1" t="s">
        <v>5</v>
      </c>
      <c r="I6236" s="1">
        <f t="shared" si="104"/>
        <v>0</v>
      </c>
      <c r="M6236" s="1" t="s">
        <v>677</v>
      </c>
      <c r="O6236" s="1" t="s">
        <v>626</v>
      </c>
      <c r="P6236" s="1" t="s">
        <v>423</v>
      </c>
      <c r="Q6236" s="1" t="s">
        <v>5</v>
      </c>
      <c r="S6236" s="1" t="s">
        <v>5</v>
      </c>
      <c r="T6236" s="1" t="s">
        <v>5</v>
      </c>
      <c r="V6236" s="1" t="s">
        <v>5</v>
      </c>
      <c r="W6236" s="1" t="s">
        <v>5</v>
      </c>
      <c r="X6236" s="68">
        <v>10.206022237004801</v>
      </c>
      <c r="Y6236" s="23">
        <v>1</v>
      </c>
      <c r="Z6236" s="60">
        <v>0</v>
      </c>
      <c r="AA6236" s="11">
        <v>0</v>
      </c>
    </row>
    <row r="6237" spans="1:27" x14ac:dyDescent="0.2">
      <c r="A6237" s="1">
        <v>29</v>
      </c>
      <c r="B6237" s="1" t="s">
        <v>92</v>
      </c>
      <c r="C6237" s="1" t="s">
        <v>93</v>
      </c>
      <c r="D6237" s="1">
        <v>1958</v>
      </c>
      <c r="E6237" s="11">
        <v>0</v>
      </c>
      <c r="G6237" s="1">
        <v>0</v>
      </c>
      <c r="H6237" s="1" t="s">
        <v>5</v>
      </c>
      <c r="I6237" s="1">
        <f t="shared" si="104"/>
        <v>0</v>
      </c>
      <c r="M6237" s="1" t="s">
        <v>677</v>
      </c>
      <c r="O6237" s="1" t="s">
        <v>626</v>
      </c>
      <c r="P6237" s="1" t="s">
        <v>423</v>
      </c>
      <c r="Q6237" s="1" t="s">
        <v>5</v>
      </c>
      <c r="S6237" s="1" t="s">
        <v>5</v>
      </c>
      <c r="T6237" s="1" t="s">
        <v>5</v>
      </c>
      <c r="V6237" s="1" t="s">
        <v>5</v>
      </c>
      <c r="W6237" s="1" t="s">
        <v>5</v>
      </c>
      <c r="X6237" s="68">
        <v>4.1415012942191547</v>
      </c>
      <c r="Y6237" s="23">
        <v>1</v>
      </c>
      <c r="Z6237" s="60">
        <v>0</v>
      </c>
      <c r="AA6237" s="11">
        <v>0</v>
      </c>
    </row>
    <row r="6238" spans="1:27" x14ac:dyDescent="0.2">
      <c r="A6238" s="1">
        <v>29</v>
      </c>
      <c r="B6238" s="1" t="s">
        <v>92</v>
      </c>
      <c r="C6238" s="1" t="s">
        <v>93</v>
      </c>
      <c r="D6238" s="1">
        <v>1959</v>
      </c>
      <c r="E6238" s="11">
        <v>0</v>
      </c>
      <c r="G6238" s="1">
        <v>0</v>
      </c>
      <c r="H6238" s="1" t="s">
        <v>5</v>
      </c>
      <c r="I6238" s="1">
        <f t="shared" si="104"/>
        <v>0</v>
      </c>
      <c r="M6238" s="1" t="s">
        <v>677</v>
      </c>
      <c r="O6238" s="1" t="s">
        <v>626</v>
      </c>
      <c r="P6238" s="1" t="s">
        <v>423</v>
      </c>
      <c r="Q6238" s="1" t="s">
        <v>5</v>
      </c>
      <c r="S6238" s="1" t="s">
        <v>5</v>
      </c>
      <c r="T6238" s="1" t="s">
        <v>5</v>
      </c>
      <c r="V6238" s="1" t="s">
        <v>5</v>
      </c>
      <c r="W6238" s="1" t="s">
        <v>5</v>
      </c>
      <c r="X6238" s="68">
        <v>5.9513946423639856</v>
      </c>
      <c r="Y6238" s="23">
        <v>1</v>
      </c>
      <c r="Z6238" s="60">
        <v>0</v>
      </c>
      <c r="AA6238" s="11">
        <v>0</v>
      </c>
    </row>
    <row r="6239" spans="1:27" x14ac:dyDescent="0.2">
      <c r="A6239" s="1">
        <v>29</v>
      </c>
      <c r="B6239" s="1" t="s">
        <v>92</v>
      </c>
      <c r="C6239" s="1" t="s">
        <v>93</v>
      </c>
      <c r="D6239" s="1">
        <v>1960</v>
      </c>
      <c r="E6239" s="11">
        <v>0</v>
      </c>
      <c r="G6239" s="1">
        <v>0</v>
      </c>
      <c r="H6239" s="1" t="s">
        <v>5</v>
      </c>
      <c r="I6239" s="1">
        <f t="shared" si="104"/>
        <v>0</v>
      </c>
      <c r="M6239" s="1" t="s">
        <v>677</v>
      </c>
      <c r="O6239" s="1" t="s">
        <v>626</v>
      </c>
      <c r="P6239" s="1" t="s">
        <v>423</v>
      </c>
      <c r="Q6239" s="1" t="s">
        <v>5</v>
      </c>
      <c r="S6239" s="1" t="s">
        <v>5</v>
      </c>
      <c r="T6239" s="1" t="s">
        <v>5</v>
      </c>
      <c r="V6239" s="1" t="s">
        <v>5</v>
      </c>
      <c r="W6239" s="1" t="s">
        <v>5</v>
      </c>
      <c r="X6239" s="68">
        <v>1.3423693470611231</v>
      </c>
      <c r="Y6239" s="23">
        <v>1</v>
      </c>
      <c r="Z6239" s="69">
        <v>1</v>
      </c>
      <c r="AA6239" s="11">
        <v>0</v>
      </c>
    </row>
    <row r="6240" spans="1:27" x14ac:dyDescent="0.2">
      <c r="A6240" s="1">
        <v>29</v>
      </c>
      <c r="B6240" s="1" t="s">
        <v>92</v>
      </c>
      <c r="C6240" s="1" t="s">
        <v>93</v>
      </c>
      <c r="D6240" s="1">
        <v>1961</v>
      </c>
      <c r="E6240" s="11">
        <v>0</v>
      </c>
      <c r="G6240" s="1">
        <v>0</v>
      </c>
      <c r="H6240" s="1" t="s">
        <v>5</v>
      </c>
      <c r="I6240" s="1">
        <f t="shared" si="104"/>
        <v>0</v>
      </c>
      <c r="M6240" s="1" t="s">
        <v>677</v>
      </c>
      <c r="O6240" s="1" t="s">
        <v>626</v>
      </c>
      <c r="P6240" s="1" t="s">
        <v>423</v>
      </c>
      <c r="Q6240" s="1" t="s">
        <v>5</v>
      </c>
      <c r="S6240" s="1" t="s">
        <v>5</v>
      </c>
      <c r="T6240" s="1" t="s">
        <v>5</v>
      </c>
      <c r="V6240" s="1" t="s">
        <v>5</v>
      </c>
      <c r="W6240" s="1" t="s">
        <v>5</v>
      </c>
      <c r="X6240" s="68">
        <v>1.9161522633744876</v>
      </c>
      <c r="Y6240" s="23">
        <v>1</v>
      </c>
      <c r="Z6240" s="60">
        <v>0</v>
      </c>
      <c r="AA6240" s="11">
        <v>0</v>
      </c>
    </row>
    <row r="6241" spans="1:27" x14ac:dyDescent="0.2">
      <c r="A6241" s="1">
        <v>29</v>
      </c>
      <c r="B6241" s="1" t="s">
        <v>92</v>
      </c>
      <c r="C6241" s="1" t="s">
        <v>93</v>
      </c>
      <c r="D6241" s="1">
        <v>1962</v>
      </c>
      <c r="E6241" s="11">
        <v>0</v>
      </c>
      <c r="G6241" s="1">
        <v>0</v>
      </c>
      <c r="H6241" s="1" t="s">
        <v>5</v>
      </c>
      <c r="I6241" s="1">
        <f t="shared" si="104"/>
        <v>0</v>
      </c>
      <c r="M6241" s="1" t="s">
        <v>677</v>
      </c>
      <c r="O6241" s="1" t="s">
        <v>626</v>
      </c>
      <c r="P6241" s="1" t="s">
        <v>423</v>
      </c>
      <c r="Q6241" s="1" t="s">
        <v>5</v>
      </c>
      <c r="S6241" s="1" t="s">
        <v>5</v>
      </c>
      <c r="T6241" s="1" t="s">
        <v>5</v>
      </c>
      <c r="V6241" s="1" t="s">
        <v>5</v>
      </c>
      <c r="W6241" s="1" t="s">
        <v>5</v>
      </c>
      <c r="X6241" s="68">
        <v>4.7697160883280736</v>
      </c>
      <c r="Y6241" s="23">
        <v>1</v>
      </c>
      <c r="Z6241" s="60">
        <v>0</v>
      </c>
      <c r="AA6241" s="11">
        <v>0</v>
      </c>
    </row>
    <row r="6242" spans="1:27" x14ac:dyDescent="0.2">
      <c r="A6242" s="1">
        <v>29</v>
      </c>
      <c r="B6242" s="1" t="s">
        <v>92</v>
      </c>
      <c r="C6242" s="1" t="s">
        <v>93</v>
      </c>
      <c r="D6242" s="1">
        <v>1963</v>
      </c>
      <c r="E6242" s="11">
        <v>0</v>
      </c>
      <c r="G6242" s="1">
        <v>0</v>
      </c>
      <c r="H6242" s="1" t="s">
        <v>5</v>
      </c>
      <c r="I6242" s="1">
        <f t="shared" si="104"/>
        <v>0</v>
      </c>
      <c r="M6242" s="1" t="s">
        <v>677</v>
      </c>
      <c r="O6242" s="1" t="s">
        <v>626</v>
      </c>
      <c r="P6242" s="1" t="s">
        <v>423</v>
      </c>
      <c r="Q6242" s="1" t="s">
        <v>5</v>
      </c>
      <c r="S6242" s="1" t="s">
        <v>5</v>
      </c>
      <c r="T6242" s="1" t="s">
        <v>5</v>
      </c>
      <c r="V6242" s="1" t="s">
        <v>5</v>
      </c>
      <c r="W6242" s="1" t="s">
        <v>5</v>
      </c>
      <c r="X6242" s="68">
        <v>10.947850174635672</v>
      </c>
      <c r="Y6242" s="23">
        <v>1</v>
      </c>
      <c r="Z6242" s="60">
        <v>0</v>
      </c>
      <c r="AA6242" s="11">
        <v>0</v>
      </c>
    </row>
    <row r="6243" spans="1:27" x14ac:dyDescent="0.2">
      <c r="A6243" s="1">
        <v>29</v>
      </c>
      <c r="B6243" s="1" t="s">
        <v>92</v>
      </c>
      <c r="C6243" s="1" t="s">
        <v>93</v>
      </c>
      <c r="D6243" s="1">
        <v>1964</v>
      </c>
      <c r="E6243" s="11">
        <v>0</v>
      </c>
      <c r="G6243" s="1">
        <v>0</v>
      </c>
      <c r="H6243" s="1" t="s">
        <v>5</v>
      </c>
      <c r="I6243" s="1">
        <f t="shared" si="104"/>
        <v>0</v>
      </c>
      <c r="M6243" s="1" t="s">
        <v>677</v>
      </c>
      <c r="O6243" s="1" t="s">
        <v>626</v>
      </c>
      <c r="P6243" s="1" t="s">
        <v>423</v>
      </c>
      <c r="Q6243" s="1" t="s">
        <v>5</v>
      </c>
      <c r="S6243" s="1" t="s">
        <v>5</v>
      </c>
      <c r="T6243" s="1" t="s">
        <v>5</v>
      </c>
      <c r="V6243" s="1" t="s">
        <v>5</v>
      </c>
      <c r="W6243" s="1" t="s">
        <v>5</v>
      </c>
      <c r="X6243" s="68">
        <v>12.972210160660007</v>
      </c>
      <c r="Y6243" s="23">
        <v>1</v>
      </c>
      <c r="Z6243" s="60">
        <v>0</v>
      </c>
      <c r="AA6243" s="11">
        <v>0</v>
      </c>
    </row>
    <row r="6244" spans="1:27" x14ac:dyDescent="0.2">
      <c r="A6244" s="1">
        <v>29</v>
      </c>
      <c r="B6244" s="1" t="s">
        <v>92</v>
      </c>
      <c r="C6244" s="1" t="s">
        <v>93</v>
      </c>
      <c r="D6244" s="1">
        <v>1965</v>
      </c>
      <c r="E6244" s="11">
        <v>0</v>
      </c>
      <c r="G6244" s="1">
        <v>0</v>
      </c>
      <c r="H6244" s="1" t="s">
        <v>5</v>
      </c>
      <c r="I6244" s="1">
        <f t="shared" si="104"/>
        <v>0</v>
      </c>
      <c r="M6244" s="1" t="s">
        <v>677</v>
      </c>
      <c r="O6244" s="1" t="s">
        <v>626</v>
      </c>
      <c r="P6244" s="1" t="s">
        <v>423</v>
      </c>
      <c r="Q6244" s="1" t="s">
        <v>5</v>
      </c>
      <c r="S6244" s="1" t="s">
        <v>5</v>
      </c>
      <c r="T6244" s="1" t="s">
        <v>5</v>
      </c>
      <c r="V6244" s="1" t="s">
        <v>5</v>
      </c>
      <c r="W6244" s="1" t="s">
        <v>5</v>
      </c>
      <c r="X6244" s="68">
        <v>19.458057076967425</v>
      </c>
      <c r="Y6244" s="23">
        <v>1</v>
      </c>
      <c r="Z6244" s="60">
        <v>0</v>
      </c>
      <c r="AA6244" s="11">
        <v>0</v>
      </c>
    </row>
    <row r="6245" spans="1:27" x14ac:dyDescent="0.2">
      <c r="A6245" s="1">
        <v>29</v>
      </c>
      <c r="B6245" s="1" t="s">
        <v>92</v>
      </c>
      <c r="C6245" s="1" t="s">
        <v>93</v>
      </c>
      <c r="D6245" s="1">
        <v>1966</v>
      </c>
      <c r="E6245" s="11">
        <v>0</v>
      </c>
      <c r="G6245" s="1">
        <v>0</v>
      </c>
      <c r="H6245" s="1" t="s">
        <v>5</v>
      </c>
      <c r="I6245" s="1">
        <f t="shared" si="104"/>
        <v>0</v>
      </c>
      <c r="M6245" s="1" t="s">
        <v>677</v>
      </c>
      <c r="O6245" s="1" t="s">
        <v>626</v>
      </c>
      <c r="P6245" s="1" t="s">
        <v>423</v>
      </c>
      <c r="Q6245" s="1" t="s">
        <v>5</v>
      </c>
      <c r="S6245" s="1" t="s">
        <v>5</v>
      </c>
      <c r="T6245" s="1" t="s">
        <v>5</v>
      </c>
      <c r="V6245" s="1" t="s">
        <v>5</v>
      </c>
      <c r="W6245" s="1" t="s">
        <v>5</v>
      </c>
      <c r="X6245" s="68">
        <v>7.1830759330759326</v>
      </c>
      <c r="Y6245" s="23">
        <v>1</v>
      </c>
      <c r="Z6245" s="60">
        <v>0</v>
      </c>
      <c r="AA6245" s="11">
        <v>0</v>
      </c>
    </row>
    <row r="6246" spans="1:27" x14ac:dyDescent="0.2">
      <c r="A6246" s="1">
        <v>29</v>
      </c>
      <c r="B6246" s="1" t="s">
        <v>92</v>
      </c>
      <c r="C6246" s="1" t="s">
        <v>93</v>
      </c>
      <c r="D6246" s="1">
        <v>1967</v>
      </c>
      <c r="E6246" s="11">
        <v>0</v>
      </c>
      <c r="G6246" s="1">
        <v>0</v>
      </c>
      <c r="H6246" s="1" t="s">
        <v>5</v>
      </c>
      <c r="I6246" s="1">
        <f t="shared" si="104"/>
        <v>0</v>
      </c>
      <c r="M6246" s="1" t="s">
        <v>677</v>
      </c>
      <c r="O6246" s="1" t="s">
        <v>626</v>
      </c>
      <c r="P6246" s="1" t="s">
        <v>423</v>
      </c>
      <c r="Q6246" s="1" t="s">
        <v>5</v>
      </c>
      <c r="S6246" s="1" t="s">
        <v>5</v>
      </c>
      <c r="T6246" s="1" t="s">
        <v>5</v>
      </c>
      <c r="V6246" s="1" t="s">
        <v>5</v>
      </c>
      <c r="W6246" s="1" t="s">
        <v>5</v>
      </c>
      <c r="X6246" s="68">
        <v>10.70168855534709</v>
      </c>
      <c r="Y6246" s="23">
        <v>1</v>
      </c>
      <c r="Z6246" s="60">
        <v>0</v>
      </c>
      <c r="AA6246" s="11">
        <v>0</v>
      </c>
    </row>
    <row r="6247" spans="1:27" x14ac:dyDescent="0.2">
      <c r="A6247" s="1">
        <v>29</v>
      </c>
      <c r="B6247" s="1" t="s">
        <v>92</v>
      </c>
      <c r="C6247" s="1" t="s">
        <v>93</v>
      </c>
      <c r="D6247" s="1">
        <v>1968</v>
      </c>
      <c r="E6247" s="11">
        <v>0</v>
      </c>
      <c r="G6247" s="1">
        <v>0</v>
      </c>
      <c r="H6247" s="1" t="s">
        <v>5</v>
      </c>
      <c r="I6247" s="1">
        <f t="shared" si="104"/>
        <v>0</v>
      </c>
      <c r="M6247" s="1" t="s">
        <v>677</v>
      </c>
      <c r="O6247" s="1" t="s">
        <v>626</v>
      </c>
      <c r="P6247" s="1" t="s">
        <v>423</v>
      </c>
      <c r="Q6247" s="1" t="s">
        <v>5</v>
      </c>
      <c r="S6247" s="1" t="s">
        <v>5</v>
      </c>
      <c r="T6247" s="1" t="s">
        <v>5</v>
      </c>
      <c r="V6247" s="1" t="s">
        <v>5</v>
      </c>
      <c r="W6247" s="1" t="s">
        <v>5</v>
      </c>
      <c r="X6247" s="68">
        <v>3.3489254965765047</v>
      </c>
      <c r="Y6247" s="23">
        <v>1</v>
      </c>
      <c r="Z6247" s="60">
        <v>0</v>
      </c>
      <c r="AA6247" s="11">
        <v>0</v>
      </c>
    </row>
    <row r="6248" spans="1:27" x14ac:dyDescent="0.2">
      <c r="A6248" s="1">
        <v>29</v>
      </c>
      <c r="B6248" s="1" t="s">
        <v>92</v>
      </c>
      <c r="C6248" s="1" t="s">
        <v>93</v>
      </c>
      <c r="D6248" s="1">
        <v>1969</v>
      </c>
      <c r="E6248" s="11">
        <v>0</v>
      </c>
      <c r="G6248" s="1">
        <v>0</v>
      </c>
      <c r="H6248" s="1" t="s">
        <v>5</v>
      </c>
      <c r="I6248" s="1">
        <f t="shared" si="104"/>
        <v>0</v>
      </c>
      <c r="M6248" s="1" t="s">
        <v>677</v>
      </c>
      <c r="O6248" s="1" t="s">
        <v>626</v>
      </c>
      <c r="P6248" s="1" t="s">
        <v>423</v>
      </c>
      <c r="Q6248" s="1" t="s">
        <v>5</v>
      </c>
      <c r="S6248" s="1" t="s">
        <v>5</v>
      </c>
      <c r="T6248" s="1" t="s">
        <v>5</v>
      </c>
      <c r="V6248" s="1" t="s">
        <v>5</v>
      </c>
      <c r="W6248" s="1" t="s">
        <v>5</v>
      </c>
      <c r="X6248" s="68">
        <v>15.952771400459167</v>
      </c>
      <c r="Y6248" s="23">
        <v>1</v>
      </c>
      <c r="Z6248" s="60">
        <v>0</v>
      </c>
      <c r="AA6248" s="11">
        <v>0</v>
      </c>
    </row>
    <row r="6249" spans="1:27" x14ac:dyDescent="0.2">
      <c r="A6249" s="1">
        <v>29</v>
      </c>
      <c r="B6249" s="1" t="s">
        <v>92</v>
      </c>
      <c r="C6249" s="1" t="s">
        <v>93</v>
      </c>
      <c r="D6249" s="1">
        <v>1970</v>
      </c>
      <c r="E6249" s="11">
        <v>0</v>
      </c>
      <c r="G6249" s="1">
        <v>0</v>
      </c>
      <c r="H6249" s="1" t="s">
        <v>5</v>
      </c>
      <c r="I6249" s="1">
        <f t="shared" si="104"/>
        <v>0</v>
      </c>
      <c r="M6249" s="1" t="s">
        <v>677</v>
      </c>
      <c r="O6249" s="1" t="s">
        <v>626</v>
      </c>
      <c r="P6249" s="1" t="s">
        <v>423</v>
      </c>
      <c r="Q6249" s="1" t="s">
        <v>5</v>
      </c>
      <c r="S6249" s="1" t="s">
        <v>5</v>
      </c>
      <c r="T6249" s="1" t="s">
        <v>5</v>
      </c>
      <c r="V6249" s="1" t="s">
        <v>5</v>
      </c>
      <c r="W6249" s="1" t="s">
        <v>5</v>
      </c>
      <c r="X6249" s="71">
        <v>21.672229450698648</v>
      </c>
      <c r="Y6249" s="23">
        <v>1</v>
      </c>
      <c r="Z6249" s="69">
        <v>1</v>
      </c>
      <c r="AA6249" s="55">
        <v>1</v>
      </c>
    </row>
    <row r="6250" spans="1:27" x14ac:dyDescent="0.2">
      <c r="A6250" s="1">
        <v>29</v>
      </c>
      <c r="B6250" s="1" t="s">
        <v>92</v>
      </c>
      <c r="C6250" s="1" t="s">
        <v>93</v>
      </c>
      <c r="D6250" s="1">
        <v>1971</v>
      </c>
      <c r="E6250" s="11">
        <v>0</v>
      </c>
      <c r="G6250" s="1">
        <v>0</v>
      </c>
      <c r="H6250" s="1" t="s">
        <v>5</v>
      </c>
      <c r="I6250" s="1">
        <f t="shared" si="104"/>
        <v>0</v>
      </c>
      <c r="M6250" s="1" t="s">
        <v>677</v>
      </c>
      <c r="O6250" s="1" t="s">
        <v>626</v>
      </c>
      <c r="P6250" s="1" t="s">
        <v>423</v>
      </c>
      <c r="Q6250" s="1" t="s">
        <v>5</v>
      </c>
      <c r="S6250" s="1" t="s">
        <v>5</v>
      </c>
      <c r="T6250" s="1" t="s">
        <v>5</v>
      </c>
      <c r="V6250" s="1" t="s">
        <v>5</v>
      </c>
      <c r="W6250" s="1" t="s">
        <v>5</v>
      </c>
      <c r="X6250" s="68">
        <v>13.116049841919283</v>
      </c>
      <c r="Y6250" s="23">
        <v>1</v>
      </c>
      <c r="Z6250" s="60">
        <v>0</v>
      </c>
      <c r="AA6250" s="11">
        <v>0</v>
      </c>
    </row>
    <row r="6251" spans="1:27" x14ac:dyDescent="0.2">
      <c r="A6251" s="1">
        <v>29</v>
      </c>
      <c r="B6251" s="1" t="s">
        <v>92</v>
      </c>
      <c r="C6251" s="1" t="s">
        <v>93</v>
      </c>
      <c r="D6251" s="1">
        <v>1972</v>
      </c>
      <c r="E6251" s="11">
        <v>0</v>
      </c>
      <c r="G6251" s="1">
        <v>0</v>
      </c>
      <c r="H6251" s="1" t="s">
        <v>5</v>
      </c>
      <c r="I6251" s="1">
        <f t="shared" si="104"/>
        <v>0</v>
      </c>
      <c r="M6251" s="1" t="s">
        <v>677</v>
      </c>
      <c r="O6251" s="1" t="s">
        <v>626</v>
      </c>
      <c r="P6251" s="1" t="s">
        <v>423</v>
      </c>
      <c r="Q6251" s="1" t="s">
        <v>5</v>
      </c>
      <c r="S6251" s="1" t="s">
        <v>5</v>
      </c>
      <c r="T6251" s="1" t="s">
        <v>5</v>
      </c>
      <c r="V6251" s="1" t="s">
        <v>5</v>
      </c>
      <c r="W6251" s="1" t="s">
        <v>5</v>
      </c>
      <c r="X6251" s="68">
        <v>6.3751078959266732</v>
      </c>
      <c r="Y6251" s="23">
        <v>1</v>
      </c>
      <c r="Z6251" s="60">
        <v>0</v>
      </c>
      <c r="AA6251" s="11">
        <v>0</v>
      </c>
    </row>
    <row r="6252" spans="1:27" x14ac:dyDescent="0.2">
      <c r="A6252" s="1">
        <v>29</v>
      </c>
      <c r="B6252" s="1" t="s">
        <v>92</v>
      </c>
      <c r="C6252" s="1" t="s">
        <v>93</v>
      </c>
      <c r="D6252" s="1">
        <v>1973</v>
      </c>
      <c r="E6252" s="11">
        <v>0</v>
      </c>
      <c r="G6252" s="1">
        <v>0</v>
      </c>
      <c r="H6252" s="1" t="s">
        <v>5</v>
      </c>
      <c r="I6252" s="1">
        <f t="shared" si="104"/>
        <v>0</v>
      </c>
      <c r="M6252" s="1" t="s">
        <v>677</v>
      </c>
      <c r="O6252" s="1" t="s">
        <v>626</v>
      </c>
      <c r="P6252" s="1" t="s">
        <v>423</v>
      </c>
      <c r="Q6252" s="1" t="s">
        <v>5</v>
      </c>
      <c r="S6252" s="1" t="s">
        <v>5</v>
      </c>
      <c r="T6252" s="1" t="s">
        <v>5</v>
      </c>
      <c r="V6252" s="1" t="s">
        <v>5</v>
      </c>
      <c r="W6252" s="1" t="s">
        <v>5</v>
      </c>
      <c r="X6252" s="68">
        <v>10.397990726429676</v>
      </c>
      <c r="Y6252" s="23">
        <v>1</v>
      </c>
      <c r="Z6252" s="60">
        <v>0</v>
      </c>
      <c r="AA6252" s="11">
        <v>0</v>
      </c>
    </row>
    <row r="6253" spans="1:27" x14ac:dyDescent="0.2">
      <c r="A6253" s="1">
        <v>29</v>
      </c>
      <c r="B6253" s="1" t="s">
        <v>92</v>
      </c>
      <c r="C6253" s="1" t="s">
        <v>93</v>
      </c>
      <c r="D6253" s="1">
        <v>1974</v>
      </c>
      <c r="E6253" s="11">
        <v>0</v>
      </c>
      <c r="G6253" s="1">
        <v>0</v>
      </c>
      <c r="H6253" s="1" t="s">
        <v>5</v>
      </c>
      <c r="I6253" s="1">
        <f t="shared" ref="I6253:I6258" si="105">K6253</f>
        <v>0</v>
      </c>
      <c r="M6253" s="1" t="s">
        <v>677</v>
      </c>
      <c r="O6253" s="1" t="s">
        <v>626</v>
      </c>
      <c r="P6253" s="1" t="s">
        <v>423</v>
      </c>
      <c r="Q6253" s="1" t="s">
        <v>5</v>
      </c>
      <c r="S6253" s="1" t="s">
        <v>5</v>
      </c>
      <c r="T6253" s="1" t="s">
        <v>5</v>
      </c>
      <c r="V6253" s="1" t="s">
        <v>5</v>
      </c>
      <c r="W6253" s="1" t="s">
        <v>5</v>
      </c>
      <c r="X6253" s="71">
        <v>22.158832382485734</v>
      </c>
      <c r="Y6253" s="23">
        <v>1</v>
      </c>
      <c r="Z6253" s="69">
        <v>1</v>
      </c>
      <c r="AA6253" s="55">
        <v>1</v>
      </c>
    </row>
    <row r="6254" spans="1:27" x14ac:dyDescent="0.2">
      <c r="A6254" s="1">
        <v>29</v>
      </c>
      <c r="B6254" s="1" t="s">
        <v>92</v>
      </c>
      <c r="C6254" s="1" t="s">
        <v>93</v>
      </c>
      <c r="D6254" s="1">
        <v>1975</v>
      </c>
      <c r="E6254" s="11">
        <v>0</v>
      </c>
      <c r="G6254" s="1">
        <v>0</v>
      </c>
      <c r="H6254" s="1" t="s">
        <v>5</v>
      </c>
      <c r="I6254" s="1">
        <f t="shared" si="105"/>
        <v>0</v>
      </c>
      <c r="M6254" s="1" t="s">
        <v>677</v>
      </c>
      <c r="O6254" s="1" t="s">
        <v>626</v>
      </c>
      <c r="P6254" s="1" t="s">
        <v>423</v>
      </c>
      <c r="Q6254" s="1" t="s">
        <v>5</v>
      </c>
      <c r="S6254" s="1" t="s">
        <v>5</v>
      </c>
      <c r="T6254" s="1" t="s">
        <v>5</v>
      </c>
      <c r="V6254" s="1" t="s">
        <v>5</v>
      </c>
      <c r="W6254" s="1" t="s">
        <v>5</v>
      </c>
      <c r="X6254" s="71">
        <v>43.034783106985273</v>
      </c>
      <c r="Y6254" s="23">
        <v>1</v>
      </c>
      <c r="Z6254" s="69">
        <v>1</v>
      </c>
      <c r="AA6254" s="55">
        <v>1</v>
      </c>
    </row>
    <row r="6255" spans="1:27" x14ac:dyDescent="0.2">
      <c r="A6255" s="1">
        <v>29</v>
      </c>
      <c r="B6255" s="1" t="s">
        <v>92</v>
      </c>
      <c r="C6255" s="1" t="s">
        <v>93</v>
      </c>
      <c r="D6255" s="1">
        <v>1976</v>
      </c>
      <c r="E6255" s="11">
        <v>0</v>
      </c>
      <c r="G6255" s="1">
        <v>0</v>
      </c>
      <c r="H6255" s="1" t="s">
        <v>5</v>
      </c>
      <c r="I6255" s="1">
        <f t="shared" si="105"/>
        <v>0</v>
      </c>
      <c r="M6255" s="1" t="s">
        <v>677</v>
      </c>
      <c r="O6255" s="1" t="s">
        <v>626</v>
      </c>
      <c r="P6255" s="1" t="s">
        <v>423</v>
      </c>
      <c r="Q6255" s="1" t="s">
        <v>5</v>
      </c>
      <c r="S6255" s="1" t="s">
        <v>5</v>
      </c>
      <c r="T6255" s="1" t="s">
        <v>5</v>
      </c>
      <c r="V6255" s="1" t="s">
        <v>5</v>
      </c>
      <c r="W6255" s="1" t="s">
        <v>5</v>
      </c>
      <c r="X6255" s="71">
        <v>48.962381314851164</v>
      </c>
      <c r="Y6255" s="23">
        <v>1</v>
      </c>
      <c r="Z6255" s="69">
        <v>1</v>
      </c>
      <c r="AA6255" s="55">
        <v>1</v>
      </c>
    </row>
    <row r="6256" spans="1:27" x14ac:dyDescent="0.2">
      <c r="A6256" s="1">
        <v>29</v>
      </c>
      <c r="B6256" s="1" t="s">
        <v>92</v>
      </c>
      <c r="C6256" s="1" t="s">
        <v>93</v>
      </c>
      <c r="D6256" s="1">
        <v>1977</v>
      </c>
      <c r="E6256" s="11">
        <v>0</v>
      </c>
      <c r="G6256" s="1">
        <v>0</v>
      </c>
      <c r="H6256" s="1" t="s">
        <v>5</v>
      </c>
      <c r="I6256" s="1">
        <f t="shared" si="105"/>
        <v>0</v>
      </c>
      <c r="M6256" s="1" t="s">
        <v>677</v>
      </c>
      <c r="O6256" s="1" t="s">
        <v>626</v>
      </c>
      <c r="P6256" s="1" t="s">
        <v>423</v>
      </c>
      <c r="Q6256" s="1" t="s">
        <v>5</v>
      </c>
      <c r="S6256" s="1" t="s">
        <v>5</v>
      </c>
      <c r="T6256" s="1" t="s">
        <v>5</v>
      </c>
      <c r="V6256" s="1" t="s">
        <v>5</v>
      </c>
      <c r="W6256" s="1" t="s">
        <v>5</v>
      </c>
      <c r="X6256" s="71">
        <v>32.17239292678007</v>
      </c>
      <c r="Y6256" s="23">
        <v>1</v>
      </c>
      <c r="Z6256" s="69">
        <v>1</v>
      </c>
      <c r="AA6256" s="55">
        <v>1</v>
      </c>
    </row>
    <row r="6257" spans="1:27" x14ac:dyDescent="0.2">
      <c r="A6257" s="1">
        <v>29</v>
      </c>
      <c r="B6257" s="1" t="s">
        <v>92</v>
      </c>
      <c r="C6257" s="1" t="s">
        <v>93</v>
      </c>
      <c r="D6257" s="1">
        <v>1978</v>
      </c>
      <c r="E6257" s="11">
        <v>0</v>
      </c>
      <c r="G6257" s="1">
        <v>0</v>
      </c>
      <c r="H6257" s="1" t="s">
        <v>5</v>
      </c>
      <c r="I6257" s="1">
        <f t="shared" si="105"/>
        <v>0</v>
      </c>
      <c r="M6257" s="1" t="s">
        <v>677</v>
      </c>
      <c r="O6257" s="1" t="s">
        <v>626</v>
      </c>
      <c r="P6257" s="1" t="s">
        <v>423</v>
      </c>
      <c r="Q6257" s="1" t="s">
        <v>5</v>
      </c>
      <c r="S6257" s="1" t="s">
        <v>5</v>
      </c>
      <c r="T6257" s="1" t="s">
        <v>5</v>
      </c>
      <c r="V6257" s="1" t="s">
        <v>5</v>
      </c>
      <c r="W6257" s="1" t="s">
        <v>5</v>
      </c>
      <c r="X6257" s="71">
        <v>30.451724488757755</v>
      </c>
      <c r="Y6257" s="23">
        <v>1</v>
      </c>
      <c r="Z6257" s="69">
        <v>1</v>
      </c>
      <c r="AA6257" s="55">
        <v>1</v>
      </c>
    </row>
    <row r="6258" spans="1:27" x14ac:dyDescent="0.2">
      <c r="A6258" s="1">
        <v>29</v>
      </c>
      <c r="B6258" s="1" t="s">
        <v>92</v>
      </c>
      <c r="C6258" s="1" t="s">
        <v>93</v>
      </c>
      <c r="D6258" s="1">
        <v>1979</v>
      </c>
      <c r="E6258" s="11">
        <v>0</v>
      </c>
      <c r="G6258" s="1">
        <v>0</v>
      </c>
      <c r="H6258" s="1" t="s">
        <v>5</v>
      </c>
      <c r="I6258" s="1">
        <f t="shared" si="105"/>
        <v>0</v>
      </c>
      <c r="M6258" s="1" t="s">
        <v>677</v>
      </c>
      <c r="O6258" s="1" t="s">
        <v>626</v>
      </c>
      <c r="P6258" s="1" t="s">
        <v>423</v>
      </c>
      <c r="Q6258" s="1" t="s">
        <v>5</v>
      </c>
      <c r="S6258" s="1" t="s">
        <v>5</v>
      </c>
      <c r="T6258" s="1" t="s">
        <v>5</v>
      </c>
      <c r="V6258" s="1" t="s">
        <v>5</v>
      </c>
      <c r="W6258" s="1" t="s">
        <v>5</v>
      </c>
      <c r="X6258" s="71">
        <v>44.074683554175991</v>
      </c>
      <c r="Y6258" s="23">
        <v>1</v>
      </c>
      <c r="Z6258" s="69">
        <v>1</v>
      </c>
      <c r="AA6258" s="55">
        <v>1</v>
      </c>
    </row>
    <row r="6259" spans="1:27" x14ac:dyDescent="0.2">
      <c r="A6259" s="1">
        <v>29</v>
      </c>
      <c r="B6259" s="1" t="s">
        <v>92</v>
      </c>
      <c r="C6259" s="1" t="s">
        <v>93</v>
      </c>
      <c r="D6259" s="1">
        <v>1980</v>
      </c>
      <c r="E6259" s="11">
        <v>0</v>
      </c>
      <c r="G6259" s="1">
        <v>0</v>
      </c>
      <c r="H6259" s="1" t="s">
        <v>5</v>
      </c>
      <c r="I6259" s="1">
        <v>623.899999998</v>
      </c>
      <c r="M6259" s="1" t="s">
        <v>677</v>
      </c>
      <c r="O6259" s="1" t="s">
        <v>626</v>
      </c>
      <c r="P6259" s="1" t="s">
        <v>423</v>
      </c>
      <c r="Q6259" s="1" t="s">
        <v>5</v>
      </c>
      <c r="S6259" s="1" t="s">
        <v>5</v>
      </c>
      <c r="T6259" s="1" t="s">
        <v>5</v>
      </c>
      <c r="V6259" s="1" t="s">
        <v>5</v>
      </c>
      <c r="W6259" s="1" t="s">
        <v>5</v>
      </c>
      <c r="X6259" s="66">
        <v>58.548000000000002</v>
      </c>
      <c r="Y6259" s="23">
        <v>1</v>
      </c>
      <c r="Z6259" s="72">
        <v>1</v>
      </c>
      <c r="AA6259" s="55">
        <v>1</v>
      </c>
    </row>
    <row r="6260" spans="1:27" x14ac:dyDescent="0.2">
      <c r="A6260" s="1">
        <v>29</v>
      </c>
      <c r="B6260" s="1" t="s">
        <v>92</v>
      </c>
      <c r="C6260" s="1" t="s">
        <v>93</v>
      </c>
      <c r="D6260" s="1">
        <v>1981</v>
      </c>
      <c r="E6260" s="11">
        <v>0</v>
      </c>
      <c r="G6260" s="1">
        <v>0</v>
      </c>
      <c r="H6260" s="1" t="s">
        <v>5</v>
      </c>
      <c r="I6260" s="1">
        <v>8.172999999</v>
      </c>
      <c r="M6260" s="1" t="s">
        <v>677</v>
      </c>
      <c r="O6260" s="1" t="s">
        <v>626</v>
      </c>
      <c r="P6260" s="1" t="s">
        <v>423</v>
      </c>
      <c r="Q6260" s="1" t="s">
        <v>5</v>
      </c>
      <c r="S6260" s="1" t="s">
        <v>5</v>
      </c>
      <c r="T6260" s="1" t="s">
        <v>5</v>
      </c>
      <c r="V6260" s="1" t="s">
        <v>5</v>
      </c>
      <c r="W6260" s="1" t="s">
        <v>5</v>
      </c>
      <c r="X6260" s="66">
        <v>50.863999999999997</v>
      </c>
      <c r="Y6260" s="23">
        <v>1</v>
      </c>
      <c r="Z6260" s="72">
        <v>1</v>
      </c>
      <c r="AA6260" s="55">
        <v>1</v>
      </c>
    </row>
    <row r="6261" spans="1:27" x14ac:dyDescent="0.2">
      <c r="A6261" s="1">
        <v>29</v>
      </c>
      <c r="B6261" s="1" t="s">
        <v>92</v>
      </c>
      <c r="C6261" s="1" t="s">
        <v>93</v>
      </c>
      <c r="D6261" s="1">
        <v>1982</v>
      </c>
      <c r="E6261" s="11">
        <v>0</v>
      </c>
      <c r="G6261" s="1">
        <v>0</v>
      </c>
      <c r="H6261" s="1" t="s">
        <v>5</v>
      </c>
      <c r="I6261" s="1">
        <v>16.625</v>
      </c>
      <c r="M6261" s="1" t="s">
        <v>677</v>
      </c>
      <c r="O6261" s="1" t="s">
        <v>626</v>
      </c>
      <c r="P6261" s="1" t="s">
        <v>423</v>
      </c>
      <c r="Q6261" s="1" t="s">
        <v>5</v>
      </c>
      <c r="S6261" s="1" t="s">
        <v>5</v>
      </c>
      <c r="T6261" s="1" t="s">
        <v>5</v>
      </c>
      <c r="V6261" s="1" t="s">
        <v>5</v>
      </c>
      <c r="W6261" s="1" t="s">
        <v>5</v>
      </c>
      <c r="X6261" s="66">
        <v>51.018999999999998</v>
      </c>
      <c r="Y6261" s="23">
        <v>1</v>
      </c>
      <c r="Z6261" s="72">
        <v>1</v>
      </c>
      <c r="AA6261" s="55">
        <v>1</v>
      </c>
    </row>
    <row r="6262" spans="1:27" x14ac:dyDescent="0.2">
      <c r="A6262" s="1">
        <v>29</v>
      </c>
      <c r="B6262" s="1" t="s">
        <v>92</v>
      </c>
      <c r="C6262" s="1" t="s">
        <v>93</v>
      </c>
      <c r="D6262" s="1">
        <v>1983</v>
      </c>
      <c r="E6262" s="11">
        <v>0</v>
      </c>
      <c r="G6262" s="1">
        <v>0</v>
      </c>
      <c r="H6262" s="1" t="s">
        <v>5</v>
      </c>
      <c r="I6262" s="1">
        <v>28.669999999000002</v>
      </c>
      <c r="M6262" s="1" t="s">
        <v>677</v>
      </c>
      <c r="O6262" s="1" t="s">
        <v>626</v>
      </c>
      <c r="P6262" s="1" t="s">
        <v>423</v>
      </c>
      <c r="Q6262" s="1" t="s">
        <v>5</v>
      </c>
      <c r="S6262" s="1" t="s">
        <v>5</v>
      </c>
      <c r="T6262" s="1" t="s">
        <v>5</v>
      </c>
      <c r="V6262" s="1" t="s">
        <v>5</v>
      </c>
      <c r="W6262" s="1" t="s">
        <v>5</v>
      </c>
      <c r="X6262" s="66">
        <v>84.275000000000006</v>
      </c>
      <c r="Y6262" s="23">
        <v>1</v>
      </c>
      <c r="Z6262" s="72">
        <v>1</v>
      </c>
      <c r="AA6262" s="55">
        <v>1</v>
      </c>
    </row>
    <row r="6263" spans="1:27" x14ac:dyDescent="0.2">
      <c r="A6263" s="1">
        <v>29</v>
      </c>
      <c r="B6263" s="1" t="s">
        <v>92</v>
      </c>
      <c r="C6263" s="1" t="s">
        <v>93</v>
      </c>
      <c r="D6263" s="1">
        <v>1984</v>
      </c>
      <c r="E6263" s="11">
        <v>0</v>
      </c>
      <c r="G6263" s="1">
        <v>0</v>
      </c>
      <c r="H6263" s="1" t="s">
        <v>5</v>
      </c>
      <c r="I6263" s="1">
        <v>40.545000000000002</v>
      </c>
      <c r="M6263" s="1" t="s">
        <v>677</v>
      </c>
      <c r="O6263" s="1" t="s">
        <v>626</v>
      </c>
      <c r="P6263" s="1" t="s">
        <v>423</v>
      </c>
      <c r="Q6263" s="1" t="s">
        <v>5</v>
      </c>
      <c r="S6263" s="1" t="s">
        <v>5</v>
      </c>
      <c r="T6263" s="1" t="s">
        <v>5</v>
      </c>
      <c r="V6263" s="1" t="s">
        <v>5</v>
      </c>
      <c r="W6263" s="1" t="s">
        <v>5</v>
      </c>
      <c r="X6263" s="66">
        <v>29.17</v>
      </c>
      <c r="Y6263" s="23">
        <v>1</v>
      </c>
      <c r="Z6263" s="72">
        <v>1</v>
      </c>
      <c r="AA6263" s="55">
        <v>1</v>
      </c>
    </row>
    <row r="6264" spans="1:27" x14ac:dyDescent="0.2">
      <c r="A6264" s="1">
        <v>29</v>
      </c>
      <c r="B6264" s="1" t="s">
        <v>92</v>
      </c>
      <c r="C6264" s="1" t="s">
        <v>93</v>
      </c>
      <c r="D6264" s="1">
        <v>1985</v>
      </c>
      <c r="E6264" s="5">
        <v>1</v>
      </c>
      <c r="F6264" s="1" t="s">
        <v>255</v>
      </c>
      <c r="G6264" s="1">
        <v>0</v>
      </c>
      <c r="H6264" s="1" t="s">
        <v>5</v>
      </c>
      <c r="I6264" s="1">
        <v>42.06</v>
      </c>
      <c r="M6264" s="1" t="s">
        <v>677</v>
      </c>
      <c r="O6264" s="1" t="s">
        <v>626</v>
      </c>
      <c r="P6264" s="1" t="s">
        <v>423</v>
      </c>
      <c r="Q6264" s="1" t="s">
        <v>5</v>
      </c>
      <c r="S6264" s="1" t="s">
        <v>5</v>
      </c>
      <c r="T6264" s="1" t="s">
        <v>5</v>
      </c>
      <c r="V6264" s="1" t="s">
        <v>5</v>
      </c>
      <c r="W6264" s="1" t="s">
        <v>5</v>
      </c>
      <c r="X6264" s="66">
        <v>32.375999999999998</v>
      </c>
      <c r="Y6264" s="23">
        <v>1</v>
      </c>
      <c r="Z6264" s="72">
        <v>1</v>
      </c>
      <c r="AA6264" s="55">
        <v>1</v>
      </c>
    </row>
    <row r="6265" spans="1:27" x14ac:dyDescent="0.2">
      <c r="A6265" s="1">
        <v>29</v>
      </c>
      <c r="B6265" s="1" t="s">
        <v>92</v>
      </c>
      <c r="C6265" s="1" t="s">
        <v>93</v>
      </c>
      <c r="D6265" s="1">
        <v>1986</v>
      </c>
      <c r="E6265" s="5">
        <v>1</v>
      </c>
      <c r="F6265" s="1" t="s">
        <v>255</v>
      </c>
      <c r="G6265" s="1">
        <v>0</v>
      </c>
      <c r="H6265" s="1" t="s">
        <v>5</v>
      </c>
      <c r="I6265" s="1">
        <v>40.24</v>
      </c>
      <c r="M6265" s="1" t="s">
        <v>677</v>
      </c>
      <c r="O6265" s="1" t="s">
        <v>626</v>
      </c>
      <c r="P6265" s="1" t="s">
        <v>423</v>
      </c>
      <c r="Q6265" s="1" t="s">
        <v>5</v>
      </c>
      <c r="S6265" s="1" t="s">
        <v>5</v>
      </c>
      <c r="T6265" s="1" t="s">
        <v>5</v>
      </c>
      <c r="V6265" s="1" t="s">
        <v>5</v>
      </c>
      <c r="W6265" s="1" t="s">
        <v>5</v>
      </c>
      <c r="X6265" s="66">
        <v>21.273</v>
      </c>
      <c r="Y6265" s="23">
        <v>1</v>
      </c>
      <c r="Z6265" s="72">
        <v>1</v>
      </c>
      <c r="AA6265" s="55">
        <v>1</v>
      </c>
    </row>
    <row r="6266" spans="1:27" x14ac:dyDescent="0.2">
      <c r="A6266" s="1">
        <v>29</v>
      </c>
      <c r="B6266" s="1" t="s">
        <v>92</v>
      </c>
      <c r="C6266" s="1" t="s">
        <v>93</v>
      </c>
      <c r="D6266" s="1">
        <v>1987</v>
      </c>
      <c r="E6266" s="11">
        <v>0</v>
      </c>
      <c r="G6266" s="1">
        <v>0</v>
      </c>
      <c r="H6266" s="1" t="s">
        <v>5</v>
      </c>
      <c r="I6266" s="1">
        <v>35.659999999999997</v>
      </c>
      <c r="M6266" s="1" t="s">
        <v>677</v>
      </c>
      <c r="O6266" s="1" t="s">
        <v>626</v>
      </c>
      <c r="P6266" s="1" t="s">
        <v>423</v>
      </c>
      <c r="Q6266" s="1" t="s">
        <v>5</v>
      </c>
      <c r="S6266" s="1" t="s">
        <v>5</v>
      </c>
      <c r="T6266" s="1" t="s">
        <v>5</v>
      </c>
      <c r="V6266" s="1" t="s">
        <v>5</v>
      </c>
      <c r="W6266" s="1" t="s">
        <v>5</v>
      </c>
      <c r="X6266" s="64">
        <v>18.763000000000002</v>
      </c>
      <c r="Y6266" s="23">
        <v>1</v>
      </c>
      <c r="Z6266" s="72">
        <v>0</v>
      </c>
      <c r="AA6266" s="11">
        <v>0</v>
      </c>
    </row>
    <row r="6267" spans="1:27" x14ac:dyDescent="0.2">
      <c r="A6267" s="1">
        <v>29</v>
      </c>
      <c r="B6267" s="1" t="s">
        <v>92</v>
      </c>
      <c r="C6267" s="1" t="s">
        <v>93</v>
      </c>
      <c r="D6267" s="1">
        <v>1988</v>
      </c>
      <c r="E6267" s="11">
        <v>0</v>
      </c>
      <c r="G6267" s="1">
        <v>0</v>
      </c>
      <c r="H6267" s="1" t="s">
        <v>5</v>
      </c>
      <c r="I6267" s="1">
        <v>46.22</v>
      </c>
      <c r="M6267" s="1" t="s">
        <v>677</v>
      </c>
      <c r="O6267" s="1" t="s">
        <v>626</v>
      </c>
      <c r="P6267" s="1" t="s">
        <v>423</v>
      </c>
      <c r="Q6267" s="1" t="s">
        <v>5</v>
      </c>
      <c r="S6267" s="1" t="s">
        <v>5</v>
      </c>
      <c r="T6267" s="1" t="s">
        <v>5</v>
      </c>
      <c r="V6267" s="1" t="s">
        <v>5</v>
      </c>
      <c r="W6267" s="1" t="s">
        <v>5</v>
      </c>
      <c r="X6267" s="64">
        <v>25.456</v>
      </c>
      <c r="Y6267" s="23">
        <v>1</v>
      </c>
      <c r="Z6267" s="72">
        <v>1</v>
      </c>
      <c r="AA6267" s="55">
        <v>1</v>
      </c>
    </row>
    <row r="6268" spans="1:27" x14ac:dyDescent="0.2">
      <c r="A6268" s="1">
        <v>29</v>
      </c>
      <c r="B6268" s="1" t="s">
        <v>92</v>
      </c>
      <c r="C6268" s="1" t="s">
        <v>93</v>
      </c>
      <c r="D6268" s="1">
        <v>1989</v>
      </c>
      <c r="E6268" s="11">
        <v>0</v>
      </c>
      <c r="G6268" s="1">
        <v>0</v>
      </c>
      <c r="H6268" s="1" t="s">
        <v>5</v>
      </c>
      <c r="I6268" s="1">
        <v>61.17</v>
      </c>
      <c r="M6268" s="1" t="s">
        <v>677</v>
      </c>
      <c r="O6268" s="1" t="s">
        <v>626</v>
      </c>
      <c r="P6268" s="1" t="s">
        <v>423</v>
      </c>
      <c r="Q6268" s="1" t="s">
        <v>5</v>
      </c>
      <c r="S6268" s="1" t="s">
        <v>5</v>
      </c>
      <c r="T6268" s="1" t="s">
        <v>5</v>
      </c>
      <c r="V6268" s="1" t="s">
        <v>5</v>
      </c>
      <c r="W6268" s="1" t="s">
        <v>5</v>
      </c>
      <c r="X6268" s="64">
        <v>21.128</v>
      </c>
      <c r="Y6268" s="23">
        <v>1</v>
      </c>
      <c r="Z6268" s="72">
        <v>1</v>
      </c>
      <c r="AA6268" s="55">
        <v>1</v>
      </c>
    </row>
    <row r="6269" spans="1:27" x14ac:dyDescent="0.2">
      <c r="A6269" s="1">
        <v>29</v>
      </c>
      <c r="B6269" s="1" t="s">
        <v>92</v>
      </c>
      <c r="C6269" s="1" t="s">
        <v>93</v>
      </c>
      <c r="D6269" s="1">
        <v>1990</v>
      </c>
      <c r="E6269" s="11">
        <v>0</v>
      </c>
      <c r="G6269" s="1">
        <v>0</v>
      </c>
      <c r="H6269" s="1" t="s">
        <v>5</v>
      </c>
      <c r="I6269" s="1">
        <v>55.39</v>
      </c>
      <c r="M6269" s="1" t="s">
        <v>677</v>
      </c>
      <c r="O6269" s="1" t="s">
        <v>626</v>
      </c>
      <c r="P6269" s="1" t="s">
        <v>423</v>
      </c>
      <c r="Q6269" s="1" t="s">
        <v>5</v>
      </c>
      <c r="S6269" s="1" t="s">
        <v>5</v>
      </c>
      <c r="T6269" s="1" t="s">
        <v>5</v>
      </c>
      <c r="V6269" s="1" t="s">
        <v>5</v>
      </c>
      <c r="W6269" s="1" t="s">
        <v>5</v>
      </c>
      <c r="X6269" s="64">
        <v>15.51</v>
      </c>
      <c r="Y6269" s="23">
        <v>1</v>
      </c>
      <c r="Z6269" s="60">
        <v>0</v>
      </c>
      <c r="AA6269" s="11">
        <v>0</v>
      </c>
    </row>
    <row r="6270" spans="1:27" x14ac:dyDescent="0.2">
      <c r="A6270" s="1">
        <v>29</v>
      </c>
      <c r="B6270" s="1" t="s">
        <v>92</v>
      </c>
      <c r="C6270" s="1" t="s">
        <v>93</v>
      </c>
      <c r="D6270" s="1">
        <v>1991</v>
      </c>
      <c r="E6270" s="11">
        <v>0</v>
      </c>
      <c r="G6270" s="1">
        <v>0</v>
      </c>
      <c r="H6270" s="1" t="s">
        <v>5</v>
      </c>
      <c r="I6270" s="1">
        <v>55.62</v>
      </c>
      <c r="M6270" s="1" t="s">
        <v>677</v>
      </c>
      <c r="O6270" s="1" t="s">
        <v>626</v>
      </c>
      <c r="P6270" s="1" t="s">
        <v>423</v>
      </c>
      <c r="Q6270" s="1" t="s">
        <v>5</v>
      </c>
      <c r="S6270" s="1" t="s">
        <v>5</v>
      </c>
      <c r="T6270" s="1" t="s">
        <v>5</v>
      </c>
      <c r="V6270" s="1" t="s">
        <v>5</v>
      </c>
      <c r="W6270" s="1" t="s">
        <v>5</v>
      </c>
      <c r="X6270" s="64">
        <v>6.8079999999999998</v>
      </c>
      <c r="Y6270" s="23">
        <v>1</v>
      </c>
      <c r="Z6270" s="60">
        <v>0</v>
      </c>
      <c r="AA6270" s="11">
        <v>0</v>
      </c>
    </row>
    <row r="6271" spans="1:27" x14ac:dyDescent="0.2">
      <c r="A6271" s="1">
        <v>29</v>
      </c>
      <c r="B6271" s="1" t="s">
        <v>92</v>
      </c>
      <c r="C6271" s="1" t="s">
        <v>93</v>
      </c>
      <c r="D6271" s="1">
        <v>1992</v>
      </c>
      <c r="E6271" s="11">
        <v>0</v>
      </c>
      <c r="G6271" s="1">
        <v>0</v>
      </c>
      <c r="H6271" s="1" t="s">
        <v>5</v>
      </c>
      <c r="I6271" s="1">
        <v>63.92</v>
      </c>
      <c r="M6271" s="1" t="s">
        <v>677</v>
      </c>
      <c r="O6271" s="1" t="s">
        <v>626</v>
      </c>
      <c r="P6271" s="1" t="s">
        <v>423</v>
      </c>
      <c r="Q6271" s="1" t="s">
        <v>5</v>
      </c>
      <c r="S6271" s="1" t="s">
        <v>5</v>
      </c>
      <c r="T6271" s="1" t="s">
        <v>5</v>
      </c>
      <c r="V6271" s="1" t="s">
        <v>5</v>
      </c>
      <c r="W6271" s="1">
        <v>1</v>
      </c>
      <c r="X6271" s="64">
        <v>3.9590000000000001</v>
      </c>
      <c r="Y6271" s="23">
        <v>1</v>
      </c>
      <c r="Z6271" s="60">
        <v>0</v>
      </c>
      <c r="AA6271" s="11">
        <v>0</v>
      </c>
    </row>
    <row r="6272" spans="1:27" x14ac:dyDescent="0.2">
      <c r="A6272" s="1">
        <v>29</v>
      </c>
      <c r="B6272" s="1" t="s">
        <v>92</v>
      </c>
      <c r="C6272" s="1" t="s">
        <v>93</v>
      </c>
      <c r="D6272" s="1">
        <v>1993</v>
      </c>
      <c r="E6272" s="11">
        <v>0</v>
      </c>
      <c r="F6272" s="1" t="s">
        <v>256</v>
      </c>
      <c r="G6272" s="1">
        <v>0</v>
      </c>
      <c r="H6272" s="1" t="s">
        <v>5</v>
      </c>
      <c r="I6272" s="1">
        <v>72.73</v>
      </c>
      <c r="M6272" s="1" t="s">
        <v>677</v>
      </c>
      <c r="O6272" s="1" t="s">
        <v>626</v>
      </c>
      <c r="P6272" s="1" t="s">
        <v>423</v>
      </c>
      <c r="Q6272" s="1" t="s">
        <v>5</v>
      </c>
      <c r="S6272" s="1" t="s">
        <v>5</v>
      </c>
      <c r="T6272" s="1" t="s">
        <v>5</v>
      </c>
      <c r="V6272" s="1" t="s">
        <v>5</v>
      </c>
      <c r="W6272" s="1">
        <v>0</v>
      </c>
      <c r="X6272" s="64">
        <v>4.0830000000000002</v>
      </c>
      <c r="Y6272" s="23">
        <v>1</v>
      </c>
      <c r="Z6272" s="60">
        <v>0</v>
      </c>
      <c r="AA6272" s="11">
        <v>0</v>
      </c>
    </row>
    <row r="6273" spans="1:27" x14ac:dyDescent="0.2">
      <c r="A6273" s="1">
        <v>29</v>
      </c>
      <c r="B6273" s="1" t="s">
        <v>92</v>
      </c>
      <c r="C6273" s="1" t="s">
        <v>93</v>
      </c>
      <c r="D6273" s="1">
        <v>1994</v>
      </c>
      <c r="E6273" s="11">
        <v>0</v>
      </c>
      <c r="G6273" s="1">
        <v>0</v>
      </c>
      <c r="H6273" s="1" t="s">
        <v>5</v>
      </c>
      <c r="I6273" s="1">
        <v>68.3</v>
      </c>
      <c r="M6273" s="1" t="s">
        <v>677</v>
      </c>
      <c r="O6273" s="1" t="s">
        <v>626</v>
      </c>
      <c r="P6273" s="1" t="s">
        <v>423</v>
      </c>
      <c r="Q6273" s="1" t="s">
        <v>5</v>
      </c>
      <c r="S6273" s="1" t="s">
        <v>5</v>
      </c>
      <c r="T6273" s="1" t="s">
        <v>5</v>
      </c>
      <c r="V6273" s="1" t="s">
        <v>5</v>
      </c>
      <c r="W6273" s="1">
        <v>0</v>
      </c>
      <c r="X6273" s="64">
        <v>1.552</v>
      </c>
      <c r="Y6273" s="23">
        <v>1</v>
      </c>
      <c r="Z6273" s="60">
        <v>0</v>
      </c>
      <c r="AA6273" s="11">
        <v>0</v>
      </c>
    </row>
    <row r="6274" spans="1:27" x14ac:dyDescent="0.2">
      <c r="A6274" s="1">
        <v>29</v>
      </c>
      <c r="B6274" s="1" t="s">
        <v>92</v>
      </c>
      <c r="C6274" s="1" t="s">
        <v>93</v>
      </c>
      <c r="D6274" s="1">
        <v>1995</v>
      </c>
      <c r="E6274" s="11">
        <v>0</v>
      </c>
      <c r="G6274" s="1">
        <v>0</v>
      </c>
      <c r="H6274" s="1" t="s">
        <v>5</v>
      </c>
      <c r="I6274" s="1">
        <v>65.23</v>
      </c>
      <c r="M6274" s="1" t="s">
        <v>677</v>
      </c>
      <c r="O6274" s="1" t="s">
        <v>626</v>
      </c>
      <c r="P6274" s="1" t="s">
        <v>423</v>
      </c>
      <c r="Q6274" s="1" t="s">
        <v>5</v>
      </c>
      <c r="S6274" s="1" t="s">
        <v>5</v>
      </c>
      <c r="T6274" s="1" t="s">
        <v>5</v>
      </c>
      <c r="V6274" s="1" t="s">
        <v>5</v>
      </c>
      <c r="W6274" s="1">
        <v>0</v>
      </c>
      <c r="X6274" s="64">
        <v>1.6539999999999999</v>
      </c>
      <c r="Y6274" s="23">
        <v>1</v>
      </c>
      <c r="Z6274" s="60">
        <v>0</v>
      </c>
      <c r="AA6274" s="11">
        <v>0</v>
      </c>
    </row>
    <row r="6275" spans="1:27" x14ac:dyDescent="0.2">
      <c r="A6275" s="1">
        <v>29</v>
      </c>
      <c r="B6275" s="1" t="s">
        <v>92</v>
      </c>
      <c r="C6275" s="1" t="s">
        <v>93</v>
      </c>
      <c r="D6275" s="1">
        <v>1996</v>
      </c>
      <c r="E6275" s="11">
        <v>0</v>
      </c>
      <c r="G6275" s="1">
        <v>0</v>
      </c>
      <c r="H6275" s="1" t="s">
        <v>5</v>
      </c>
      <c r="I6275" s="1">
        <v>66.89</v>
      </c>
      <c r="M6275" s="1" t="s">
        <v>677</v>
      </c>
      <c r="O6275" s="1" t="s">
        <v>626</v>
      </c>
      <c r="P6275" s="1" t="s">
        <v>423</v>
      </c>
      <c r="Q6275" s="1" t="s">
        <v>5</v>
      </c>
      <c r="S6275" s="1" t="s">
        <v>5</v>
      </c>
      <c r="T6275" s="1" t="s">
        <v>5</v>
      </c>
      <c r="V6275" s="1" t="s">
        <v>5</v>
      </c>
      <c r="W6275" s="1">
        <v>0</v>
      </c>
      <c r="X6275" s="64">
        <v>2.254</v>
      </c>
      <c r="Y6275" s="23">
        <v>1</v>
      </c>
      <c r="Z6275" s="60">
        <v>0</v>
      </c>
      <c r="AA6275" s="11">
        <v>0</v>
      </c>
    </row>
    <row r="6276" spans="1:27" x14ac:dyDescent="0.2">
      <c r="A6276" s="1">
        <v>29</v>
      </c>
      <c r="B6276" s="1" t="s">
        <v>92</v>
      </c>
      <c r="C6276" s="1" t="s">
        <v>93</v>
      </c>
      <c r="D6276" s="1">
        <v>1997</v>
      </c>
      <c r="E6276" s="11">
        <v>0</v>
      </c>
      <c r="G6276" s="1">
        <v>0</v>
      </c>
      <c r="H6276" s="1" t="s">
        <v>5</v>
      </c>
      <c r="I6276" s="1">
        <v>72.180000000000007</v>
      </c>
      <c r="M6276" s="1" t="s">
        <v>677</v>
      </c>
      <c r="O6276" s="1" t="s">
        <v>626</v>
      </c>
      <c r="P6276" s="1" t="s">
        <v>423</v>
      </c>
      <c r="Q6276" s="1" t="s">
        <v>5</v>
      </c>
      <c r="S6276" s="1" t="s">
        <v>5</v>
      </c>
      <c r="T6276" s="1" t="s">
        <v>5</v>
      </c>
      <c r="V6276" s="1" t="s">
        <v>5</v>
      </c>
      <c r="W6276" s="1">
        <v>0</v>
      </c>
      <c r="X6276" s="64">
        <v>1.7909999999999999</v>
      </c>
      <c r="Y6276" s="23">
        <v>1</v>
      </c>
      <c r="Z6276" s="60">
        <v>0</v>
      </c>
      <c r="AA6276" s="11">
        <v>0</v>
      </c>
    </row>
    <row r="6277" spans="1:27" x14ac:dyDescent="0.2">
      <c r="A6277" s="1">
        <v>29</v>
      </c>
      <c r="B6277" s="1" t="s">
        <v>92</v>
      </c>
      <c r="C6277" s="1" t="s">
        <v>93</v>
      </c>
      <c r="D6277" s="1">
        <v>1998</v>
      </c>
      <c r="E6277" s="11">
        <v>0</v>
      </c>
      <c r="G6277" s="1">
        <v>0</v>
      </c>
      <c r="H6277" s="1" t="s">
        <v>5</v>
      </c>
      <c r="I6277" s="1">
        <v>69.319999999999993</v>
      </c>
      <c r="M6277" s="1" t="s">
        <v>677</v>
      </c>
      <c r="O6277" s="1" t="s">
        <v>626</v>
      </c>
      <c r="P6277" s="1" t="s">
        <v>423</v>
      </c>
      <c r="Q6277" s="1" t="s">
        <v>5</v>
      </c>
      <c r="S6277" s="1" t="s">
        <v>5</v>
      </c>
      <c r="T6277" s="1" t="s">
        <v>5</v>
      </c>
      <c r="V6277" s="1" t="s">
        <v>5</v>
      </c>
      <c r="W6277" s="1">
        <v>0</v>
      </c>
      <c r="X6277" s="64">
        <v>1.704</v>
      </c>
      <c r="Y6277" s="23">
        <v>1</v>
      </c>
      <c r="Z6277" s="60">
        <v>0</v>
      </c>
      <c r="AA6277" s="11">
        <v>0</v>
      </c>
    </row>
    <row r="6278" spans="1:27" x14ac:dyDescent="0.2">
      <c r="A6278" s="1">
        <v>29</v>
      </c>
      <c r="B6278" s="1" t="s">
        <v>92</v>
      </c>
      <c r="C6278" s="1" t="s">
        <v>93</v>
      </c>
      <c r="D6278" s="1">
        <v>1999</v>
      </c>
      <c r="E6278" s="11">
        <v>0</v>
      </c>
      <c r="G6278" s="1">
        <v>0</v>
      </c>
      <c r="H6278" s="1" t="s">
        <v>5</v>
      </c>
      <c r="I6278" s="1">
        <v>72.55</v>
      </c>
      <c r="M6278" s="1" t="s">
        <v>677</v>
      </c>
      <c r="O6278" s="1" t="s">
        <v>626</v>
      </c>
      <c r="P6278" s="1" t="s">
        <v>423</v>
      </c>
      <c r="Q6278" s="1" t="s">
        <v>5</v>
      </c>
      <c r="S6278" s="1" t="s">
        <v>5</v>
      </c>
      <c r="T6278" s="1" t="s">
        <v>5</v>
      </c>
      <c r="V6278" s="1" t="s">
        <v>5</v>
      </c>
      <c r="W6278" s="1">
        <v>0</v>
      </c>
      <c r="X6278" s="64">
        <v>3.222</v>
      </c>
      <c r="Y6278" s="23">
        <v>1</v>
      </c>
      <c r="Z6278" s="60">
        <v>0</v>
      </c>
      <c r="AA6278" s="11">
        <v>0</v>
      </c>
    </row>
    <row r="6279" spans="1:27" x14ac:dyDescent="0.2">
      <c r="A6279" s="1">
        <v>29</v>
      </c>
      <c r="B6279" s="1" t="s">
        <v>92</v>
      </c>
      <c r="C6279" s="1" t="s">
        <v>93</v>
      </c>
      <c r="D6279" s="1">
        <v>2000</v>
      </c>
      <c r="E6279" s="11">
        <v>0</v>
      </c>
      <c r="G6279" s="1">
        <v>0</v>
      </c>
      <c r="H6279" s="1" t="s">
        <v>5</v>
      </c>
      <c r="I6279" s="1">
        <v>84.7</v>
      </c>
      <c r="M6279" s="1" t="s">
        <v>677</v>
      </c>
      <c r="O6279" s="1" t="s">
        <v>626</v>
      </c>
      <c r="P6279" s="1" t="s">
        <v>423</v>
      </c>
      <c r="Q6279" s="1" t="s">
        <v>5</v>
      </c>
      <c r="S6279" s="1" t="s">
        <v>5</v>
      </c>
      <c r="T6279" s="1" t="s">
        <v>5</v>
      </c>
      <c r="V6279" s="1" t="s">
        <v>5</v>
      </c>
      <c r="W6279" s="1">
        <v>0</v>
      </c>
      <c r="X6279" s="64">
        <v>5.1189999999999998</v>
      </c>
      <c r="Y6279" s="23">
        <v>1</v>
      </c>
      <c r="Z6279" s="60">
        <v>1</v>
      </c>
      <c r="AA6279" s="11">
        <v>0</v>
      </c>
    </row>
    <row r="6280" spans="1:27" x14ac:dyDescent="0.2">
      <c r="A6280" s="1">
        <v>29</v>
      </c>
      <c r="B6280" s="1" t="s">
        <v>92</v>
      </c>
      <c r="C6280" s="1" t="s">
        <v>93</v>
      </c>
      <c r="D6280" s="1">
        <v>2001</v>
      </c>
      <c r="E6280" s="11">
        <v>0</v>
      </c>
      <c r="G6280" s="1">
        <v>0</v>
      </c>
      <c r="H6280" s="1" t="s">
        <v>5</v>
      </c>
      <c r="I6280" s="1">
        <v>102.95</v>
      </c>
      <c r="M6280" s="1" t="s">
        <v>677</v>
      </c>
      <c r="O6280" s="1" t="s">
        <v>626</v>
      </c>
      <c r="P6280" s="1" t="s">
        <v>423</v>
      </c>
      <c r="Q6280" s="1" t="s">
        <v>5</v>
      </c>
      <c r="S6280" s="1" t="s">
        <v>5</v>
      </c>
      <c r="T6280" s="1" t="s">
        <v>5</v>
      </c>
      <c r="V6280" s="1" t="s">
        <v>5</v>
      </c>
      <c r="W6280" s="1">
        <v>0</v>
      </c>
      <c r="X6280" s="64">
        <v>6.3949999999999996</v>
      </c>
      <c r="Y6280" s="23">
        <v>1</v>
      </c>
      <c r="Z6280" s="60">
        <v>0</v>
      </c>
      <c r="AA6280" s="11">
        <v>0</v>
      </c>
    </row>
    <row r="6281" spans="1:27" x14ac:dyDescent="0.2">
      <c r="A6281" s="1">
        <v>29</v>
      </c>
      <c r="B6281" s="1" t="s">
        <v>92</v>
      </c>
      <c r="C6281" s="1" t="s">
        <v>93</v>
      </c>
      <c r="D6281" s="1">
        <v>2002</v>
      </c>
      <c r="E6281" s="11">
        <v>0</v>
      </c>
      <c r="G6281" s="1">
        <v>0</v>
      </c>
      <c r="H6281" s="1" t="s">
        <v>5</v>
      </c>
      <c r="I6281" s="1">
        <v>80.58</v>
      </c>
      <c r="M6281" s="1" t="s">
        <v>677</v>
      </c>
      <c r="O6281" s="1" t="s">
        <v>626</v>
      </c>
      <c r="P6281" s="1" t="s">
        <v>423</v>
      </c>
      <c r="Q6281" s="1" t="s">
        <v>5</v>
      </c>
      <c r="S6281" s="1" t="s">
        <v>5</v>
      </c>
      <c r="T6281" s="1" t="s">
        <v>5</v>
      </c>
      <c r="V6281" s="1" t="s">
        <v>5</v>
      </c>
      <c r="W6281" s="1">
        <v>0</v>
      </c>
      <c r="X6281" s="64">
        <v>5.1740000000000004</v>
      </c>
      <c r="Y6281" s="23">
        <v>1</v>
      </c>
      <c r="Z6281" s="60">
        <v>0</v>
      </c>
      <c r="AA6281" s="11">
        <v>0</v>
      </c>
    </row>
    <row r="6282" spans="1:27" x14ac:dyDescent="0.2">
      <c r="A6282" s="1">
        <v>29</v>
      </c>
      <c r="B6282" s="1" t="s">
        <v>92</v>
      </c>
      <c r="C6282" s="1" t="s">
        <v>93</v>
      </c>
      <c r="D6282" s="1">
        <v>2003</v>
      </c>
      <c r="E6282" s="11">
        <v>0</v>
      </c>
      <c r="G6282" s="1">
        <v>0</v>
      </c>
      <c r="H6282" s="1" t="s">
        <v>5</v>
      </c>
      <c r="I6282" s="1">
        <v>70.989999999999995</v>
      </c>
      <c r="M6282" s="1" t="s">
        <v>677</v>
      </c>
      <c r="O6282" s="1" t="s">
        <v>626</v>
      </c>
      <c r="P6282" s="1" t="s">
        <v>423</v>
      </c>
      <c r="Q6282" s="1" t="s">
        <v>5</v>
      </c>
      <c r="S6282" s="1" t="s">
        <v>5</v>
      </c>
      <c r="T6282" s="1" t="s">
        <v>5</v>
      </c>
      <c r="V6282" s="1" t="s">
        <v>5</v>
      </c>
      <c r="W6282" s="1">
        <v>0</v>
      </c>
      <c r="X6282" s="64">
        <v>2.0649999999999999</v>
      </c>
      <c r="Y6282" s="23">
        <v>1</v>
      </c>
      <c r="Z6282" s="60">
        <v>0</v>
      </c>
      <c r="AA6282" s="11">
        <v>0</v>
      </c>
    </row>
    <row r="6283" spans="1:27" x14ac:dyDescent="0.2">
      <c r="A6283" s="1">
        <v>29</v>
      </c>
      <c r="B6283" s="1" t="s">
        <v>92</v>
      </c>
      <c r="C6283" s="1" t="s">
        <v>93</v>
      </c>
      <c r="D6283" s="1">
        <v>2004</v>
      </c>
      <c r="E6283" s="11">
        <v>0</v>
      </c>
      <c r="G6283" s="1">
        <v>0</v>
      </c>
      <c r="H6283" s="1" t="s">
        <v>5</v>
      </c>
      <c r="I6283" s="1">
        <v>61.04</v>
      </c>
      <c r="M6283" s="1" t="s">
        <v>677</v>
      </c>
      <c r="O6283" s="1" t="s">
        <v>626</v>
      </c>
      <c r="P6283" s="1" t="s">
        <v>423</v>
      </c>
      <c r="Q6283" s="1" t="s">
        <v>5</v>
      </c>
      <c r="S6283" s="1" t="s">
        <v>5</v>
      </c>
      <c r="T6283" s="1" t="s">
        <v>5</v>
      </c>
      <c r="V6283" s="1" t="s">
        <v>5</v>
      </c>
      <c r="W6283" s="1">
        <v>0</v>
      </c>
      <c r="X6283" s="64">
        <v>3.1509999999999998</v>
      </c>
      <c r="Y6283" s="23">
        <v>1</v>
      </c>
      <c r="Z6283" s="60">
        <v>0</v>
      </c>
      <c r="AA6283" s="11">
        <v>0</v>
      </c>
    </row>
    <row r="6284" spans="1:27" x14ac:dyDescent="0.2">
      <c r="A6284" s="1">
        <v>29</v>
      </c>
      <c r="B6284" s="1" t="s">
        <v>92</v>
      </c>
      <c r="C6284" s="1" t="s">
        <v>93</v>
      </c>
      <c r="D6284" s="1">
        <v>2005</v>
      </c>
      <c r="E6284" s="11">
        <v>0</v>
      </c>
      <c r="G6284" s="1">
        <v>0</v>
      </c>
      <c r="H6284" s="1" t="s">
        <v>5</v>
      </c>
      <c r="I6284" s="1">
        <v>62.98</v>
      </c>
      <c r="M6284" s="1" t="s">
        <v>677</v>
      </c>
      <c r="O6284" s="1" t="s">
        <v>626</v>
      </c>
      <c r="P6284" s="1" t="s">
        <v>423</v>
      </c>
      <c r="Q6284" s="1" t="s">
        <v>5</v>
      </c>
      <c r="S6284" s="1" t="s">
        <v>5</v>
      </c>
      <c r="T6284" s="1" t="s">
        <v>5</v>
      </c>
      <c r="V6284" s="1" t="s">
        <v>5</v>
      </c>
      <c r="W6284" s="1">
        <v>0</v>
      </c>
      <c r="X6284" s="64">
        <v>4</v>
      </c>
      <c r="Y6284" s="23">
        <v>1</v>
      </c>
      <c r="Z6284" s="60">
        <v>0</v>
      </c>
      <c r="AA6284" s="11">
        <v>0</v>
      </c>
    </row>
    <row r="6285" spans="1:27" x14ac:dyDescent="0.2">
      <c r="A6285" s="1">
        <v>29</v>
      </c>
      <c r="B6285" s="1" t="s">
        <v>92</v>
      </c>
      <c r="C6285" s="1" t="s">
        <v>93</v>
      </c>
      <c r="D6285" s="1">
        <v>2006</v>
      </c>
      <c r="E6285" s="11">
        <v>0</v>
      </c>
      <c r="G6285" s="1">
        <v>0</v>
      </c>
      <c r="H6285" s="1" t="s">
        <v>5</v>
      </c>
      <c r="I6285" s="1">
        <v>71.66</v>
      </c>
      <c r="M6285" s="1" t="s">
        <v>677</v>
      </c>
      <c r="O6285" s="1" t="s">
        <v>626</v>
      </c>
      <c r="P6285" s="1" t="s">
        <v>423</v>
      </c>
      <c r="Q6285" s="1" t="s">
        <v>5</v>
      </c>
      <c r="S6285" s="1" t="s">
        <v>5</v>
      </c>
      <c r="T6285" s="1" t="s">
        <v>5</v>
      </c>
      <c r="V6285" s="1" t="s">
        <v>5</v>
      </c>
      <c r="W6285" s="1">
        <v>0</v>
      </c>
      <c r="X6285" s="64">
        <v>6.6760000000000002</v>
      </c>
      <c r="Y6285" s="23">
        <v>1</v>
      </c>
      <c r="Z6285" s="60">
        <v>0</v>
      </c>
      <c r="AA6285" s="11">
        <v>0</v>
      </c>
    </row>
    <row r="6286" spans="1:27" x14ac:dyDescent="0.2">
      <c r="A6286" s="1">
        <v>29</v>
      </c>
      <c r="B6286" s="1" t="s">
        <v>92</v>
      </c>
      <c r="C6286" s="1" t="s">
        <v>93</v>
      </c>
      <c r="D6286" s="1">
        <v>2007</v>
      </c>
      <c r="E6286" s="5">
        <v>1</v>
      </c>
      <c r="G6286" s="1">
        <v>1</v>
      </c>
      <c r="H6286" s="1" t="s">
        <v>5</v>
      </c>
      <c r="I6286" s="1">
        <v>61.85</v>
      </c>
      <c r="M6286" s="1" t="s">
        <v>677</v>
      </c>
      <c r="O6286" s="1" t="s">
        <v>626</v>
      </c>
      <c r="P6286" s="1" t="s">
        <v>423</v>
      </c>
      <c r="Q6286" s="1" t="s">
        <v>5</v>
      </c>
      <c r="S6286" s="1" t="s">
        <v>5</v>
      </c>
      <c r="T6286" s="1" t="s">
        <v>5</v>
      </c>
      <c r="V6286" s="1" t="s">
        <v>5</v>
      </c>
      <c r="W6286" s="1">
        <v>0</v>
      </c>
      <c r="X6286" s="64">
        <v>5.0640000000000001</v>
      </c>
      <c r="Y6286" s="23">
        <v>1</v>
      </c>
      <c r="Z6286" s="60">
        <v>0</v>
      </c>
      <c r="AA6286" s="11">
        <v>0</v>
      </c>
    </row>
    <row r="6287" spans="1:27" x14ac:dyDescent="0.2">
      <c r="A6287" s="1">
        <v>29</v>
      </c>
      <c r="B6287" s="1" t="s">
        <v>92</v>
      </c>
      <c r="C6287" s="1" t="s">
        <v>93</v>
      </c>
      <c r="D6287" s="1">
        <v>2008</v>
      </c>
      <c r="E6287" s="5">
        <v>1</v>
      </c>
      <c r="G6287" s="1">
        <v>1</v>
      </c>
      <c r="H6287" s="1" t="s">
        <v>5</v>
      </c>
      <c r="I6287" s="1">
        <v>120.58</v>
      </c>
      <c r="M6287" s="1" t="s">
        <v>677</v>
      </c>
      <c r="O6287" s="1" t="s">
        <v>626</v>
      </c>
      <c r="P6287" s="1" t="s">
        <v>423</v>
      </c>
      <c r="Q6287" s="1" t="s">
        <v>5</v>
      </c>
      <c r="S6287" s="1" t="s">
        <v>5</v>
      </c>
      <c r="T6287" s="1" t="s">
        <v>5</v>
      </c>
      <c r="V6287" s="1" t="s">
        <v>5</v>
      </c>
      <c r="W6287" s="1">
        <v>1</v>
      </c>
      <c r="X6287" s="64">
        <v>12.678000000000001</v>
      </c>
      <c r="Y6287" s="23">
        <v>1</v>
      </c>
      <c r="Z6287" s="72">
        <v>1</v>
      </c>
      <c r="AA6287" s="11">
        <v>0</v>
      </c>
    </row>
    <row r="6288" spans="1:27" x14ac:dyDescent="0.2">
      <c r="A6288" s="1">
        <v>29</v>
      </c>
      <c r="B6288" s="1" t="s">
        <v>92</v>
      </c>
      <c r="C6288" s="1" t="s">
        <v>93</v>
      </c>
      <c r="D6288" s="1">
        <v>2009</v>
      </c>
      <c r="E6288" s="5">
        <v>1</v>
      </c>
      <c r="G6288" s="1">
        <v>1</v>
      </c>
      <c r="H6288" s="1" t="s">
        <v>5</v>
      </c>
      <c r="I6288" s="1">
        <v>124.9</v>
      </c>
      <c r="M6288" s="1" t="s">
        <v>677</v>
      </c>
      <c r="O6288" s="1" t="s">
        <v>626</v>
      </c>
      <c r="P6288" s="1" t="s">
        <v>423</v>
      </c>
      <c r="Q6288" s="1" t="s">
        <v>5</v>
      </c>
      <c r="S6288" s="1" t="s">
        <v>5</v>
      </c>
      <c r="T6288" s="1" t="s">
        <v>5</v>
      </c>
      <c r="V6288" s="1" t="s">
        <v>5</v>
      </c>
      <c r="W6288" s="1">
        <v>1</v>
      </c>
      <c r="X6288" s="64">
        <v>12.003</v>
      </c>
      <c r="Y6288" s="23">
        <v>1</v>
      </c>
      <c r="Z6288" s="72">
        <v>0</v>
      </c>
      <c r="AA6288" s="11">
        <v>0</v>
      </c>
    </row>
    <row r="6289" spans="1:27" x14ac:dyDescent="0.2">
      <c r="A6289" s="1">
        <v>29</v>
      </c>
      <c r="B6289" s="1" t="s">
        <v>92</v>
      </c>
      <c r="C6289" s="1" t="s">
        <v>93</v>
      </c>
      <c r="D6289" s="1">
        <v>2010</v>
      </c>
      <c r="E6289" s="5">
        <v>1</v>
      </c>
      <c r="G6289" s="1">
        <v>1</v>
      </c>
      <c r="H6289" s="1" t="s">
        <v>5</v>
      </c>
      <c r="I6289" s="1">
        <v>115.05</v>
      </c>
      <c r="M6289" s="1" t="s">
        <v>677</v>
      </c>
      <c r="O6289" s="1" t="s">
        <v>626</v>
      </c>
      <c r="P6289" s="1" t="s">
        <v>423</v>
      </c>
      <c r="Q6289" s="1" t="s">
        <v>5</v>
      </c>
      <c r="S6289" s="1" t="s">
        <v>5</v>
      </c>
      <c r="T6289" s="1" t="s">
        <v>5</v>
      </c>
      <c r="V6289" s="1" t="s">
        <v>5</v>
      </c>
      <c r="W6289" s="1">
        <v>0</v>
      </c>
      <c r="X6289" s="39">
        <v>5.3959999999999999</v>
      </c>
      <c r="Y6289" s="23">
        <v>1</v>
      </c>
      <c r="Z6289" s="11">
        <v>0</v>
      </c>
      <c r="AA6289" s="11">
        <v>0</v>
      </c>
    </row>
    <row r="6290" spans="1:27" ht="15" customHeight="1" x14ac:dyDescent="0.2">
      <c r="A6290" s="1">
        <v>29</v>
      </c>
      <c r="B6290" s="1" t="s">
        <v>92</v>
      </c>
      <c r="C6290" s="1" t="s">
        <v>93</v>
      </c>
      <c r="D6290" s="1">
        <v>2011</v>
      </c>
      <c r="E6290" s="5">
        <v>1</v>
      </c>
      <c r="G6290" s="1">
        <v>1</v>
      </c>
      <c r="H6290" s="1" t="s">
        <v>5</v>
      </c>
      <c r="I6290" s="1">
        <v>122.71</v>
      </c>
      <c r="M6290" s="1" t="s">
        <v>677</v>
      </c>
      <c r="O6290" s="1" t="s">
        <v>626</v>
      </c>
      <c r="P6290" s="1" t="s">
        <v>423</v>
      </c>
      <c r="Q6290" s="1" t="s">
        <v>5</v>
      </c>
      <c r="S6290" s="1" t="s">
        <v>5</v>
      </c>
      <c r="T6290" s="1" t="s">
        <v>5</v>
      </c>
      <c r="V6290" s="1" t="s">
        <v>5</v>
      </c>
      <c r="W6290" s="1">
        <v>0</v>
      </c>
      <c r="X6290" s="39">
        <v>4.0010000000000003</v>
      </c>
      <c r="Y6290" s="23">
        <v>1</v>
      </c>
      <c r="Z6290" s="11">
        <v>0</v>
      </c>
      <c r="AA6290" s="11">
        <v>0</v>
      </c>
    </row>
    <row r="6291" spans="1:27" ht="15" customHeight="1" x14ac:dyDescent="0.25">
      <c r="A6291" s="1">
        <v>29</v>
      </c>
      <c r="B6291" s="1" t="s">
        <v>92</v>
      </c>
      <c r="C6291" s="1" t="s">
        <v>93</v>
      </c>
      <c r="D6291" s="1">
        <v>2012</v>
      </c>
      <c r="E6291" s="5">
        <v>1</v>
      </c>
      <c r="G6291" s="1">
        <v>1</v>
      </c>
      <c r="H6291" s="1" t="s">
        <v>5</v>
      </c>
      <c r="I6291" s="1">
        <v>128.99</v>
      </c>
      <c r="M6291" s="1" t="s">
        <v>677</v>
      </c>
      <c r="O6291" s="1" t="s">
        <v>626</v>
      </c>
      <c r="P6291" s="1" t="s">
        <v>423</v>
      </c>
      <c r="Q6291" s="1" t="s">
        <v>5</v>
      </c>
      <c r="S6291" s="1" t="s">
        <v>5</v>
      </c>
      <c r="T6291" s="1" t="s">
        <v>5</v>
      </c>
      <c r="V6291" s="1" t="s">
        <v>5</v>
      </c>
      <c r="W6291" s="1">
        <v>0</v>
      </c>
      <c r="X6291" s="42">
        <v>5.1859999999999999</v>
      </c>
      <c r="Y6291" s="23">
        <v>1</v>
      </c>
      <c r="Z6291" s="11">
        <v>0</v>
      </c>
      <c r="AA6291" s="11">
        <v>0</v>
      </c>
    </row>
    <row r="6292" spans="1:27" ht="15" customHeight="1" x14ac:dyDescent="0.25">
      <c r="A6292" s="1">
        <v>29</v>
      </c>
      <c r="B6292" s="1" t="s">
        <v>92</v>
      </c>
      <c r="C6292" s="1" t="s">
        <v>93</v>
      </c>
      <c r="D6292" s="1">
        <v>2013</v>
      </c>
      <c r="E6292" s="5">
        <v>1</v>
      </c>
      <c r="G6292" s="1">
        <v>1</v>
      </c>
      <c r="H6292" s="1" t="s">
        <v>5</v>
      </c>
      <c r="I6292" s="1">
        <v>115.55</v>
      </c>
      <c r="M6292" s="1" t="s">
        <v>677</v>
      </c>
      <c r="O6292" s="1" t="s">
        <v>626</v>
      </c>
      <c r="P6292" s="1" t="s">
        <v>423</v>
      </c>
      <c r="Q6292" s="1">
        <v>0</v>
      </c>
      <c r="S6292" s="1" t="s">
        <v>5</v>
      </c>
      <c r="T6292" s="1" t="s">
        <v>5</v>
      </c>
      <c r="V6292" s="1" t="s">
        <v>5</v>
      </c>
      <c r="W6292" s="1">
        <v>0</v>
      </c>
      <c r="X6292" s="42">
        <v>3.8719999999999999</v>
      </c>
      <c r="Y6292" s="23">
        <v>1</v>
      </c>
      <c r="Z6292" s="11">
        <v>0</v>
      </c>
      <c r="AA6292" s="11">
        <v>0</v>
      </c>
    </row>
    <row r="6293" spans="1:27" ht="15" customHeight="1" x14ac:dyDescent="0.25">
      <c r="A6293" s="1">
        <v>29</v>
      </c>
      <c r="B6293" s="1" t="s">
        <v>92</v>
      </c>
      <c r="C6293" s="1" t="s">
        <v>93</v>
      </c>
      <c r="D6293" s="1">
        <v>2014</v>
      </c>
      <c r="E6293" s="5">
        <v>1</v>
      </c>
      <c r="G6293" s="1">
        <v>1</v>
      </c>
      <c r="H6293" s="1" t="s">
        <v>5</v>
      </c>
      <c r="I6293" s="1">
        <v>126.93699167345586</v>
      </c>
      <c r="M6293" s="1" t="s">
        <v>677</v>
      </c>
      <c r="O6293" s="1" t="s">
        <v>626</v>
      </c>
      <c r="P6293" s="1" t="s">
        <v>423</v>
      </c>
      <c r="Q6293" s="1">
        <v>0</v>
      </c>
      <c r="S6293" s="1" t="s">
        <v>5</v>
      </c>
      <c r="T6293" s="1" t="s">
        <v>5</v>
      </c>
      <c r="V6293" s="1" t="s">
        <v>5</v>
      </c>
      <c r="W6293" s="1">
        <v>0</v>
      </c>
      <c r="X6293" s="42">
        <v>2.044</v>
      </c>
      <c r="Y6293" s="23">
        <v>1</v>
      </c>
      <c r="Z6293" s="11">
        <v>0</v>
      </c>
      <c r="AA6293" s="11">
        <v>0</v>
      </c>
    </row>
    <row r="6294" spans="1:27" ht="15" customHeight="1" x14ac:dyDescent="0.25">
      <c r="A6294" s="1">
        <v>29</v>
      </c>
      <c r="B6294" s="1" t="s">
        <v>92</v>
      </c>
      <c r="C6294" s="1" t="s">
        <v>93</v>
      </c>
      <c r="D6294" s="1">
        <v>2015</v>
      </c>
      <c r="E6294" s="1" t="s">
        <v>5</v>
      </c>
      <c r="G6294" s="1">
        <v>1</v>
      </c>
      <c r="H6294" s="1" t="s">
        <v>5</v>
      </c>
      <c r="I6294" s="1">
        <v>129.59</v>
      </c>
      <c r="M6294" s="1" t="s">
        <v>677</v>
      </c>
      <c r="O6294" s="1" t="s">
        <v>626</v>
      </c>
      <c r="P6294" s="1" t="s">
        <v>423</v>
      </c>
      <c r="Q6294" s="1">
        <v>0</v>
      </c>
      <c r="S6294" s="1" t="s">
        <v>5</v>
      </c>
      <c r="T6294" s="1" t="s">
        <v>5</v>
      </c>
      <c r="V6294" s="1" t="s">
        <v>5</v>
      </c>
      <c r="W6294" s="1">
        <v>0</v>
      </c>
      <c r="X6294" s="42">
        <v>1.633</v>
      </c>
      <c r="Y6294" s="1">
        <v>1</v>
      </c>
      <c r="Z6294" s="1">
        <v>0</v>
      </c>
      <c r="AA6294" s="1">
        <v>0</v>
      </c>
    </row>
    <row r="6295" spans="1:27" ht="15" customHeight="1" x14ac:dyDescent="0.25">
      <c r="A6295" s="1">
        <v>29</v>
      </c>
      <c r="B6295" s="1" t="s">
        <v>92</v>
      </c>
      <c r="C6295" s="1" t="s">
        <v>93</v>
      </c>
      <c r="D6295" s="1">
        <v>2016</v>
      </c>
      <c r="E6295" s="1" t="s">
        <v>5</v>
      </c>
      <c r="G6295" s="1">
        <v>1</v>
      </c>
      <c r="H6295" s="1" t="s">
        <v>5</v>
      </c>
      <c r="I6295" s="1">
        <v>120</v>
      </c>
      <c r="M6295" s="1" t="s">
        <v>677</v>
      </c>
      <c r="O6295" s="1" t="s">
        <v>626</v>
      </c>
      <c r="P6295" s="1" t="s">
        <v>685</v>
      </c>
      <c r="Q6295" s="1" t="s">
        <v>5</v>
      </c>
      <c r="S6295" s="1" t="s">
        <v>5</v>
      </c>
      <c r="T6295" s="1" t="s">
        <v>5</v>
      </c>
      <c r="V6295" s="1" t="s">
        <v>5</v>
      </c>
      <c r="W6295" s="1" t="s">
        <v>5</v>
      </c>
      <c r="X6295" s="42">
        <v>2.58</v>
      </c>
      <c r="Y6295" s="1">
        <v>1</v>
      </c>
      <c r="Z6295" s="1">
        <v>0</v>
      </c>
      <c r="AA6295" s="1">
        <v>0</v>
      </c>
    </row>
    <row r="13023" spans="1:27" ht="15" customHeight="1" x14ac:dyDescent="0.2">
      <c r="A13023" s="1">
        <v>61</v>
      </c>
      <c r="B13023" s="1" t="s">
        <v>156</v>
      </c>
      <c r="C13023" s="1" t="s">
        <v>157</v>
      </c>
      <c r="D13023" s="1">
        <v>1800</v>
      </c>
      <c r="E13023" s="11">
        <v>0</v>
      </c>
      <c r="G13023" s="1">
        <v>0</v>
      </c>
      <c r="H13023" s="1" t="s">
        <v>5</v>
      </c>
      <c r="M13023" s="1" t="s">
        <v>677</v>
      </c>
      <c r="N13023" s="1" t="s">
        <v>466</v>
      </c>
      <c r="P13023" s="1" t="s">
        <v>457</v>
      </c>
      <c r="Q13023" s="1">
        <v>0</v>
      </c>
      <c r="S13023" s="1">
        <v>0</v>
      </c>
      <c r="T13023" s="1">
        <v>0</v>
      </c>
      <c r="V13023" s="1">
        <f t="shared" ref="V13023:V13086" si="254">0.09*S13023</f>
        <v>0</v>
      </c>
      <c r="W13023" s="1" t="s">
        <v>5</v>
      </c>
      <c r="X13023" s="6"/>
      <c r="Y13023" s="23">
        <v>0</v>
      </c>
      <c r="Z13023" s="11">
        <v>0</v>
      </c>
      <c r="AA13023" s="11">
        <v>0</v>
      </c>
    </row>
    <row r="13024" spans="1:27" ht="12.75" customHeight="1" x14ac:dyDescent="0.2">
      <c r="A13024" s="1">
        <v>61</v>
      </c>
      <c r="B13024" s="1" t="s">
        <v>156</v>
      </c>
      <c r="C13024" s="1" t="s">
        <v>157</v>
      </c>
      <c r="D13024" s="1">
        <v>1801</v>
      </c>
      <c r="E13024" s="11">
        <v>0</v>
      </c>
      <c r="G13024" s="1">
        <v>0</v>
      </c>
      <c r="H13024" s="1" t="s">
        <v>5</v>
      </c>
      <c r="M13024" s="1" t="s">
        <v>677</v>
      </c>
      <c r="N13024" s="1" t="s">
        <v>466</v>
      </c>
      <c r="P13024" s="1" t="s">
        <v>457</v>
      </c>
      <c r="Q13024" s="1">
        <v>0</v>
      </c>
      <c r="S13024" s="1">
        <v>0</v>
      </c>
      <c r="T13024" s="1">
        <v>0</v>
      </c>
      <c r="V13024" s="1">
        <f t="shared" si="254"/>
        <v>0</v>
      </c>
      <c r="W13024" s="1" t="s">
        <v>5</v>
      </c>
      <c r="X13024" s="26"/>
      <c r="Y13024" s="23">
        <v>0</v>
      </c>
      <c r="Z13024" s="11">
        <v>0</v>
      </c>
      <c r="AA13024" s="11">
        <v>0</v>
      </c>
    </row>
    <row r="13025" spans="1:27" ht="12.75" customHeight="1" x14ac:dyDescent="0.2">
      <c r="A13025" s="1">
        <v>61</v>
      </c>
      <c r="B13025" s="1" t="s">
        <v>156</v>
      </c>
      <c r="C13025" s="1" t="s">
        <v>157</v>
      </c>
      <c r="D13025" s="1">
        <v>1802</v>
      </c>
      <c r="E13025" s="11">
        <v>0</v>
      </c>
      <c r="G13025" s="1">
        <v>0</v>
      </c>
      <c r="H13025" s="1" t="s">
        <v>5</v>
      </c>
      <c r="M13025" s="1" t="s">
        <v>677</v>
      </c>
      <c r="N13025" s="1" t="s">
        <v>466</v>
      </c>
      <c r="P13025" s="1" t="s">
        <v>457</v>
      </c>
      <c r="Q13025" s="1">
        <v>0</v>
      </c>
      <c r="S13025" s="1">
        <v>0</v>
      </c>
      <c r="T13025" s="1">
        <v>0</v>
      </c>
      <c r="V13025" s="1">
        <f t="shared" si="254"/>
        <v>0</v>
      </c>
      <c r="W13025" s="1" t="s">
        <v>5</v>
      </c>
      <c r="X13025" s="26"/>
      <c r="Y13025" s="23">
        <v>0</v>
      </c>
      <c r="Z13025" s="11">
        <v>0</v>
      </c>
      <c r="AA13025" s="11">
        <v>0</v>
      </c>
    </row>
    <row r="13026" spans="1:27" ht="12.75" customHeight="1" x14ac:dyDescent="0.2">
      <c r="A13026" s="1">
        <v>61</v>
      </c>
      <c r="B13026" s="1" t="s">
        <v>156</v>
      </c>
      <c r="C13026" s="1" t="s">
        <v>157</v>
      </c>
      <c r="D13026" s="1">
        <v>1803</v>
      </c>
      <c r="E13026" s="11">
        <v>0</v>
      </c>
      <c r="G13026" s="1">
        <v>0</v>
      </c>
      <c r="H13026" s="1" t="s">
        <v>5</v>
      </c>
      <c r="M13026" s="1" t="s">
        <v>677</v>
      </c>
      <c r="N13026" s="1" t="s">
        <v>466</v>
      </c>
      <c r="P13026" s="1" t="s">
        <v>457</v>
      </c>
      <c r="Q13026" s="1">
        <v>0</v>
      </c>
      <c r="S13026" s="1">
        <v>0</v>
      </c>
      <c r="T13026" s="1">
        <v>0</v>
      </c>
      <c r="V13026" s="1">
        <f t="shared" si="254"/>
        <v>0</v>
      </c>
      <c r="W13026" s="1" t="s">
        <v>5</v>
      </c>
      <c r="X13026" s="26"/>
      <c r="Y13026" s="23">
        <v>0</v>
      </c>
      <c r="Z13026" s="11">
        <v>0</v>
      </c>
      <c r="AA13026" s="11">
        <v>0</v>
      </c>
    </row>
    <row r="13027" spans="1:27" ht="12.75" customHeight="1" x14ac:dyDescent="0.2">
      <c r="A13027" s="1">
        <v>61</v>
      </c>
      <c r="B13027" s="1" t="s">
        <v>156</v>
      </c>
      <c r="C13027" s="1" t="s">
        <v>157</v>
      </c>
      <c r="D13027" s="1">
        <v>1804</v>
      </c>
      <c r="E13027" s="11">
        <v>0</v>
      </c>
      <c r="G13027" s="1">
        <v>0</v>
      </c>
      <c r="H13027" s="1" t="s">
        <v>5</v>
      </c>
      <c r="M13027" s="1" t="s">
        <v>677</v>
      </c>
      <c r="N13027" s="1" t="s">
        <v>466</v>
      </c>
      <c r="P13027" s="1" t="s">
        <v>457</v>
      </c>
      <c r="Q13027" s="1">
        <v>0</v>
      </c>
      <c r="S13027" s="1">
        <v>0</v>
      </c>
      <c r="T13027" s="1">
        <v>0</v>
      </c>
      <c r="V13027" s="1">
        <f t="shared" si="254"/>
        <v>0</v>
      </c>
      <c r="W13027" s="1" t="s">
        <v>5</v>
      </c>
      <c r="X13027" s="26"/>
      <c r="Y13027" s="23">
        <v>0</v>
      </c>
      <c r="Z13027" s="11">
        <v>0</v>
      </c>
      <c r="AA13027" s="11">
        <v>0</v>
      </c>
    </row>
    <row r="13028" spans="1:27" ht="12.75" customHeight="1" x14ac:dyDescent="0.2">
      <c r="A13028" s="1">
        <v>61</v>
      </c>
      <c r="B13028" s="1" t="s">
        <v>156</v>
      </c>
      <c r="C13028" s="1" t="s">
        <v>157</v>
      </c>
      <c r="D13028" s="1">
        <v>1805</v>
      </c>
      <c r="E13028" s="11">
        <v>0</v>
      </c>
      <c r="G13028" s="1">
        <v>0</v>
      </c>
      <c r="H13028" s="1" t="s">
        <v>5</v>
      </c>
      <c r="M13028" s="1" t="s">
        <v>677</v>
      </c>
      <c r="N13028" s="1" t="s">
        <v>466</v>
      </c>
      <c r="P13028" s="1" t="s">
        <v>457</v>
      </c>
      <c r="Q13028" s="1">
        <v>0</v>
      </c>
      <c r="S13028" s="1">
        <v>0</v>
      </c>
      <c r="T13028" s="1">
        <v>0</v>
      </c>
      <c r="V13028" s="1">
        <f t="shared" si="254"/>
        <v>0</v>
      </c>
      <c r="W13028" s="1" t="s">
        <v>5</v>
      </c>
      <c r="X13028" s="26"/>
      <c r="Y13028" s="23">
        <v>0</v>
      </c>
      <c r="Z13028" s="11">
        <v>0</v>
      </c>
      <c r="AA13028" s="11">
        <v>0</v>
      </c>
    </row>
    <row r="13029" spans="1:27" x14ac:dyDescent="0.2">
      <c r="A13029" s="1">
        <v>61</v>
      </c>
      <c r="B13029" s="1" t="s">
        <v>156</v>
      </c>
      <c r="C13029" s="1" t="s">
        <v>157</v>
      </c>
      <c r="D13029" s="1">
        <v>1806</v>
      </c>
      <c r="E13029" s="11">
        <v>0</v>
      </c>
      <c r="G13029" s="1">
        <v>0</v>
      </c>
      <c r="H13029" s="1" t="s">
        <v>5</v>
      </c>
      <c r="M13029" s="1" t="s">
        <v>677</v>
      </c>
      <c r="N13029" s="1" t="s">
        <v>466</v>
      </c>
      <c r="P13029" s="1" t="s">
        <v>457</v>
      </c>
      <c r="Q13029" s="1">
        <v>0</v>
      </c>
      <c r="S13029" s="1">
        <v>0</v>
      </c>
      <c r="T13029" s="1">
        <v>0</v>
      </c>
      <c r="V13029" s="1">
        <f t="shared" si="254"/>
        <v>0</v>
      </c>
      <c r="W13029" s="1" t="s">
        <v>5</v>
      </c>
      <c r="X13029" s="26"/>
      <c r="Y13029" s="23">
        <v>0</v>
      </c>
      <c r="Z13029" s="11">
        <v>0</v>
      </c>
      <c r="AA13029" s="11">
        <v>0</v>
      </c>
    </row>
    <row r="13030" spans="1:27" x14ac:dyDescent="0.2">
      <c r="A13030" s="1">
        <v>61</v>
      </c>
      <c r="B13030" s="1" t="s">
        <v>156</v>
      </c>
      <c r="C13030" s="1" t="s">
        <v>157</v>
      </c>
      <c r="D13030" s="1">
        <v>1807</v>
      </c>
      <c r="E13030" s="11">
        <v>0</v>
      </c>
      <c r="G13030" s="1">
        <v>0</v>
      </c>
      <c r="H13030" s="1" t="s">
        <v>5</v>
      </c>
      <c r="M13030" s="1" t="s">
        <v>677</v>
      </c>
      <c r="N13030" s="1" t="s">
        <v>466</v>
      </c>
      <c r="P13030" s="1" t="s">
        <v>457</v>
      </c>
      <c r="Q13030" s="1">
        <v>0</v>
      </c>
      <c r="S13030" s="1">
        <v>0</v>
      </c>
      <c r="T13030" s="1">
        <v>0</v>
      </c>
      <c r="V13030" s="1">
        <f t="shared" si="254"/>
        <v>0</v>
      </c>
      <c r="W13030" s="1" t="s">
        <v>5</v>
      </c>
      <c r="X13030" s="26"/>
      <c r="Y13030" s="23">
        <v>0</v>
      </c>
      <c r="Z13030" s="11">
        <v>0</v>
      </c>
      <c r="AA13030" s="11">
        <v>0</v>
      </c>
    </row>
    <row r="13031" spans="1:27" x14ac:dyDescent="0.2">
      <c r="A13031" s="1">
        <v>61</v>
      </c>
      <c r="B13031" s="1" t="s">
        <v>156</v>
      </c>
      <c r="C13031" s="1" t="s">
        <v>157</v>
      </c>
      <c r="D13031" s="1">
        <v>1808</v>
      </c>
      <c r="E13031" s="11">
        <v>0</v>
      </c>
      <c r="G13031" s="1">
        <v>0</v>
      </c>
      <c r="H13031" s="1" t="s">
        <v>5</v>
      </c>
      <c r="M13031" s="1" t="s">
        <v>677</v>
      </c>
      <c r="N13031" s="1" t="s">
        <v>466</v>
      </c>
      <c r="P13031" s="1" t="s">
        <v>457</v>
      </c>
      <c r="Q13031" s="1">
        <v>0</v>
      </c>
      <c r="S13031" s="1">
        <v>0</v>
      </c>
      <c r="T13031" s="1">
        <v>0</v>
      </c>
      <c r="V13031" s="1">
        <f t="shared" si="254"/>
        <v>0</v>
      </c>
      <c r="W13031" s="1" t="s">
        <v>5</v>
      </c>
      <c r="X13031" s="26"/>
      <c r="Y13031" s="23">
        <v>0</v>
      </c>
      <c r="Z13031" s="11">
        <v>0</v>
      </c>
      <c r="AA13031" s="11">
        <v>0</v>
      </c>
    </row>
    <row r="13032" spans="1:27" x14ac:dyDescent="0.2">
      <c r="A13032" s="1">
        <v>61</v>
      </c>
      <c r="B13032" s="1" t="s">
        <v>156</v>
      </c>
      <c r="C13032" s="1" t="s">
        <v>157</v>
      </c>
      <c r="D13032" s="1">
        <v>1809</v>
      </c>
      <c r="E13032" s="11">
        <v>0</v>
      </c>
      <c r="G13032" s="1">
        <v>0</v>
      </c>
      <c r="H13032" s="1" t="s">
        <v>5</v>
      </c>
      <c r="M13032" s="1" t="s">
        <v>677</v>
      </c>
      <c r="N13032" s="1" t="s">
        <v>466</v>
      </c>
      <c r="P13032" s="1" t="s">
        <v>457</v>
      </c>
      <c r="Q13032" s="1">
        <v>0</v>
      </c>
      <c r="S13032" s="1">
        <v>0</v>
      </c>
      <c r="T13032" s="1">
        <v>0</v>
      </c>
      <c r="V13032" s="1">
        <f t="shared" si="254"/>
        <v>0</v>
      </c>
      <c r="W13032" s="1" t="s">
        <v>5</v>
      </c>
      <c r="X13032" s="26"/>
      <c r="Y13032" s="23">
        <v>0</v>
      </c>
      <c r="Z13032" s="11">
        <v>0</v>
      </c>
      <c r="AA13032" s="11">
        <v>0</v>
      </c>
    </row>
    <row r="13033" spans="1:27" x14ac:dyDescent="0.2">
      <c r="A13033" s="1">
        <v>61</v>
      </c>
      <c r="B13033" s="1" t="s">
        <v>156</v>
      </c>
      <c r="C13033" s="1" t="s">
        <v>157</v>
      </c>
      <c r="D13033" s="1">
        <v>1810</v>
      </c>
      <c r="E13033" s="11">
        <v>0</v>
      </c>
      <c r="G13033" s="1">
        <v>0</v>
      </c>
      <c r="H13033" s="1" t="s">
        <v>5</v>
      </c>
      <c r="M13033" s="1" t="s">
        <v>677</v>
      </c>
      <c r="N13033" s="1" t="s">
        <v>466</v>
      </c>
      <c r="P13033" s="1" t="s">
        <v>457</v>
      </c>
      <c r="Q13033" s="1">
        <v>0</v>
      </c>
      <c r="S13033" s="1">
        <v>0</v>
      </c>
      <c r="T13033" s="1">
        <v>0</v>
      </c>
      <c r="V13033" s="1">
        <f t="shared" si="254"/>
        <v>0</v>
      </c>
      <c r="W13033" s="1" t="s">
        <v>5</v>
      </c>
      <c r="X13033" s="26"/>
      <c r="Y13033" s="23">
        <v>0</v>
      </c>
      <c r="Z13033" s="11">
        <v>0</v>
      </c>
      <c r="AA13033" s="11">
        <v>0</v>
      </c>
    </row>
    <row r="13034" spans="1:27" x14ac:dyDescent="0.2">
      <c r="A13034" s="1">
        <v>61</v>
      </c>
      <c r="B13034" s="1" t="s">
        <v>156</v>
      </c>
      <c r="C13034" s="1" t="s">
        <v>157</v>
      </c>
      <c r="D13034" s="1">
        <v>1811</v>
      </c>
      <c r="E13034" s="11">
        <v>0</v>
      </c>
      <c r="G13034" s="1">
        <v>0</v>
      </c>
      <c r="H13034" s="1" t="s">
        <v>5</v>
      </c>
      <c r="M13034" s="1" t="s">
        <v>677</v>
      </c>
      <c r="N13034" s="1" t="s">
        <v>466</v>
      </c>
      <c r="P13034" s="1" t="s">
        <v>457</v>
      </c>
      <c r="Q13034" s="1">
        <v>0</v>
      </c>
      <c r="S13034" s="1">
        <v>0</v>
      </c>
      <c r="T13034" s="1">
        <v>0</v>
      </c>
      <c r="V13034" s="1">
        <f t="shared" si="254"/>
        <v>0</v>
      </c>
      <c r="W13034" s="1" t="s">
        <v>5</v>
      </c>
      <c r="X13034" s="26"/>
      <c r="Y13034" s="23">
        <v>0</v>
      </c>
      <c r="Z13034" s="11">
        <v>0</v>
      </c>
      <c r="AA13034" s="11">
        <v>0</v>
      </c>
    </row>
    <row r="13035" spans="1:27" x14ac:dyDescent="0.2">
      <c r="A13035" s="1">
        <v>61</v>
      </c>
      <c r="B13035" s="1" t="s">
        <v>156</v>
      </c>
      <c r="C13035" s="1" t="s">
        <v>157</v>
      </c>
      <c r="D13035" s="1">
        <v>1812</v>
      </c>
      <c r="E13035" s="11">
        <v>0</v>
      </c>
      <c r="G13035" s="1">
        <v>0</v>
      </c>
      <c r="H13035" s="1" t="s">
        <v>5</v>
      </c>
      <c r="M13035" s="1" t="s">
        <v>677</v>
      </c>
      <c r="N13035" s="1" t="s">
        <v>466</v>
      </c>
      <c r="P13035" s="1" t="s">
        <v>457</v>
      </c>
      <c r="Q13035" s="1">
        <v>0</v>
      </c>
      <c r="S13035" s="1">
        <v>0</v>
      </c>
      <c r="T13035" s="1">
        <v>0</v>
      </c>
      <c r="V13035" s="1">
        <f t="shared" si="254"/>
        <v>0</v>
      </c>
      <c r="W13035" s="1" t="s">
        <v>5</v>
      </c>
      <c r="X13035" s="26"/>
      <c r="Y13035" s="23">
        <v>0</v>
      </c>
      <c r="Z13035" s="11">
        <v>0</v>
      </c>
      <c r="AA13035" s="11">
        <v>0</v>
      </c>
    </row>
    <row r="13036" spans="1:27" x14ac:dyDescent="0.2">
      <c r="A13036" s="1">
        <v>61</v>
      </c>
      <c r="B13036" s="1" t="s">
        <v>156</v>
      </c>
      <c r="C13036" s="1" t="s">
        <v>157</v>
      </c>
      <c r="D13036" s="1">
        <v>1813</v>
      </c>
      <c r="E13036" s="11">
        <v>0</v>
      </c>
      <c r="G13036" s="1">
        <v>0</v>
      </c>
      <c r="H13036" s="1" t="s">
        <v>5</v>
      </c>
      <c r="M13036" s="1" t="s">
        <v>677</v>
      </c>
      <c r="N13036" s="1" t="s">
        <v>466</v>
      </c>
      <c r="P13036" s="1" t="s">
        <v>457</v>
      </c>
      <c r="Q13036" s="1">
        <v>0</v>
      </c>
      <c r="S13036" s="1">
        <v>0</v>
      </c>
      <c r="T13036" s="1">
        <v>0</v>
      </c>
      <c r="V13036" s="1">
        <f t="shared" si="254"/>
        <v>0</v>
      </c>
      <c r="W13036" s="1" t="s">
        <v>5</v>
      </c>
      <c r="X13036" s="26"/>
      <c r="Y13036" s="23">
        <v>0</v>
      </c>
      <c r="Z13036" s="11">
        <v>0</v>
      </c>
      <c r="AA13036" s="11">
        <v>0</v>
      </c>
    </row>
    <row r="13037" spans="1:27" x14ac:dyDescent="0.2">
      <c r="A13037" s="1">
        <v>61</v>
      </c>
      <c r="B13037" s="1" t="s">
        <v>156</v>
      </c>
      <c r="C13037" s="1" t="s">
        <v>157</v>
      </c>
      <c r="D13037" s="1">
        <v>1814</v>
      </c>
      <c r="E13037" s="11">
        <v>0</v>
      </c>
      <c r="G13037" s="1">
        <v>0</v>
      </c>
      <c r="H13037" s="1" t="s">
        <v>5</v>
      </c>
      <c r="M13037" s="1" t="s">
        <v>677</v>
      </c>
      <c r="N13037" s="1" t="s">
        <v>466</v>
      </c>
      <c r="P13037" s="1" t="s">
        <v>457</v>
      </c>
      <c r="Q13037" s="1">
        <v>0</v>
      </c>
      <c r="S13037" s="1">
        <v>0</v>
      </c>
      <c r="T13037" s="1">
        <v>0</v>
      </c>
      <c r="V13037" s="1">
        <f t="shared" si="254"/>
        <v>0</v>
      </c>
      <c r="W13037" s="1" t="s">
        <v>5</v>
      </c>
      <c r="X13037" s="26"/>
      <c r="Y13037" s="23">
        <v>0</v>
      </c>
      <c r="Z13037" s="11">
        <v>0</v>
      </c>
      <c r="AA13037" s="11">
        <v>0</v>
      </c>
    </row>
    <row r="13038" spans="1:27" x14ac:dyDescent="0.2">
      <c r="A13038" s="1">
        <v>61</v>
      </c>
      <c r="B13038" s="1" t="s">
        <v>156</v>
      </c>
      <c r="C13038" s="1" t="s">
        <v>157</v>
      </c>
      <c r="D13038" s="1">
        <v>1815</v>
      </c>
      <c r="E13038" s="11">
        <v>0</v>
      </c>
      <c r="G13038" s="1">
        <v>0</v>
      </c>
      <c r="H13038" s="1" t="s">
        <v>5</v>
      </c>
      <c r="M13038" s="1" t="s">
        <v>677</v>
      </c>
      <c r="N13038" s="1" t="s">
        <v>466</v>
      </c>
      <c r="P13038" s="1" t="s">
        <v>457</v>
      </c>
      <c r="Q13038" s="1">
        <v>0</v>
      </c>
      <c r="S13038" s="1">
        <v>0</v>
      </c>
      <c r="T13038" s="1">
        <v>0</v>
      </c>
      <c r="V13038" s="1">
        <f t="shared" si="254"/>
        <v>0</v>
      </c>
      <c r="W13038" s="1" t="s">
        <v>5</v>
      </c>
      <c r="X13038" s="26"/>
      <c r="Y13038" s="23">
        <v>0</v>
      </c>
      <c r="Z13038" s="11">
        <v>0</v>
      </c>
      <c r="AA13038" s="11">
        <v>0</v>
      </c>
    </row>
    <row r="13039" spans="1:27" x14ac:dyDescent="0.2">
      <c r="A13039" s="1">
        <v>61</v>
      </c>
      <c r="B13039" s="1" t="s">
        <v>156</v>
      </c>
      <c r="C13039" s="1" t="s">
        <v>157</v>
      </c>
      <c r="D13039" s="1">
        <v>1816</v>
      </c>
      <c r="E13039" s="11">
        <v>0</v>
      </c>
      <c r="G13039" s="1">
        <v>0</v>
      </c>
      <c r="H13039" s="1" t="s">
        <v>5</v>
      </c>
      <c r="M13039" s="1" t="s">
        <v>677</v>
      </c>
      <c r="N13039" s="1" t="s">
        <v>466</v>
      </c>
      <c r="P13039" s="1" t="s">
        <v>457</v>
      </c>
      <c r="Q13039" s="1">
        <v>0</v>
      </c>
      <c r="S13039" s="1">
        <v>0</v>
      </c>
      <c r="T13039" s="1">
        <v>0</v>
      </c>
      <c r="V13039" s="1">
        <f t="shared" si="254"/>
        <v>0</v>
      </c>
      <c r="W13039" s="1" t="s">
        <v>5</v>
      </c>
      <c r="X13039" s="26"/>
      <c r="Y13039" s="23">
        <v>0</v>
      </c>
      <c r="Z13039" s="11">
        <v>0</v>
      </c>
      <c r="AA13039" s="11">
        <v>0</v>
      </c>
    </row>
    <row r="13040" spans="1:27" x14ac:dyDescent="0.2">
      <c r="A13040" s="1">
        <v>61</v>
      </c>
      <c r="B13040" s="1" t="s">
        <v>156</v>
      </c>
      <c r="C13040" s="1" t="s">
        <v>157</v>
      </c>
      <c r="D13040" s="1">
        <v>1817</v>
      </c>
      <c r="E13040" s="11">
        <v>0</v>
      </c>
      <c r="G13040" s="1">
        <v>0</v>
      </c>
      <c r="H13040" s="1" t="s">
        <v>5</v>
      </c>
      <c r="M13040" s="1" t="s">
        <v>677</v>
      </c>
      <c r="N13040" s="1" t="s">
        <v>466</v>
      </c>
      <c r="P13040" s="1" t="s">
        <v>457</v>
      </c>
      <c r="Q13040" s="1">
        <v>0</v>
      </c>
      <c r="S13040" s="1">
        <v>0</v>
      </c>
      <c r="T13040" s="1">
        <v>0</v>
      </c>
      <c r="V13040" s="1">
        <f t="shared" si="254"/>
        <v>0</v>
      </c>
      <c r="W13040" s="1" t="s">
        <v>5</v>
      </c>
      <c r="X13040" s="26"/>
      <c r="Y13040" s="23">
        <v>0</v>
      </c>
      <c r="Z13040" s="11">
        <v>0</v>
      </c>
      <c r="AA13040" s="11">
        <v>0</v>
      </c>
    </row>
    <row r="13041" spans="1:27" x14ac:dyDescent="0.2">
      <c r="A13041" s="1">
        <v>61</v>
      </c>
      <c r="B13041" s="1" t="s">
        <v>156</v>
      </c>
      <c r="C13041" s="1" t="s">
        <v>157</v>
      </c>
      <c r="D13041" s="1">
        <v>1818</v>
      </c>
      <c r="E13041" s="11">
        <v>0</v>
      </c>
      <c r="G13041" s="1">
        <v>0</v>
      </c>
      <c r="H13041" s="1" t="s">
        <v>5</v>
      </c>
      <c r="M13041" s="1" t="s">
        <v>677</v>
      </c>
      <c r="N13041" s="1" t="s">
        <v>466</v>
      </c>
      <c r="P13041" s="1" t="s">
        <v>457</v>
      </c>
      <c r="Q13041" s="1">
        <v>0</v>
      </c>
      <c r="S13041" s="1">
        <v>0</v>
      </c>
      <c r="T13041" s="1">
        <v>0</v>
      </c>
      <c r="V13041" s="1">
        <f t="shared" si="254"/>
        <v>0</v>
      </c>
      <c r="W13041" s="1" t="s">
        <v>5</v>
      </c>
      <c r="X13041" s="26"/>
      <c r="Y13041" s="23">
        <v>0</v>
      </c>
      <c r="Z13041" s="11">
        <v>0</v>
      </c>
      <c r="AA13041" s="11">
        <v>0</v>
      </c>
    </row>
    <row r="13042" spans="1:27" x14ac:dyDescent="0.2">
      <c r="A13042" s="1">
        <v>61</v>
      </c>
      <c r="B13042" s="1" t="s">
        <v>156</v>
      </c>
      <c r="C13042" s="1" t="s">
        <v>157</v>
      </c>
      <c r="D13042" s="1">
        <v>1819</v>
      </c>
      <c r="E13042" s="11">
        <v>0</v>
      </c>
      <c r="G13042" s="1">
        <v>0</v>
      </c>
      <c r="H13042" s="1" t="s">
        <v>5</v>
      </c>
      <c r="M13042" s="1" t="s">
        <v>677</v>
      </c>
      <c r="N13042" s="1" t="s">
        <v>466</v>
      </c>
      <c r="P13042" s="1" t="s">
        <v>457</v>
      </c>
      <c r="Q13042" s="1">
        <v>0</v>
      </c>
      <c r="S13042" s="1">
        <v>0</v>
      </c>
      <c r="T13042" s="1">
        <v>0</v>
      </c>
      <c r="V13042" s="1">
        <f t="shared" si="254"/>
        <v>0</v>
      </c>
      <c r="W13042" s="1" t="s">
        <v>5</v>
      </c>
      <c r="X13042" s="26"/>
      <c r="Y13042" s="23">
        <v>0</v>
      </c>
      <c r="Z13042" s="11">
        <v>0</v>
      </c>
      <c r="AA13042" s="11">
        <v>0</v>
      </c>
    </row>
    <row r="13043" spans="1:27" x14ac:dyDescent="0.2">
      <c r="A13043" s="1">
        <v>61</v>
      </c>
      <c r="B13043" s="1" t="s">
        <v>156</v>
      </c>
      <c r="C13043" s="1" t="s">
        <v>157</v>
      </c>
      <c r="D13043" s="1">
        <v>1820</v>
      </c>
      <c r="E13043" s="11">
        <v>0</v>
      </c>
      <c r="G13043" s="1">
        <v>0</v>
      </c>
      <c r="H13043" s="1" t="s">
        <v>5</v>
      </c>
      <c r="M13043" s="1" t="s">
        <v>677</v>
      </c>
      <c r="N13043" s="1" t="s">
        <v>466</v>
      </c>
      <c r="P13043" s="1" t="s">
        <v>457</v>
      </c>
      <c r="Q13043" s="1">
        <v>0</v>
      </c>
      <c r="S13043" s="1">
        <v>0</v>
      </c>
      <c r="T13043" s="1">
        <v>0</v>
      </c>
      <c r="V13043" s="1">
        <f t="shared" si="254"/>
        <v>0</v>
      </c>
      <c r="W13043" s="1" t="s">
        <v>5</v>
      </c>
      <c r="X13043" s="26"/>
      <c r="Y13043" s="23">
        <v>0</v>
      </c>
      <c r="Z13043" s="11">
        <v>0</v>
      </c>
      <c r="AA13043" s="11">
        <v>0</v>
      </c>
    </row>
    <row r="13044" spans="1:27" x14ac:dyDescent="0.2">
      <c r="A13044" s="1">
        <v>61</v>
      </c>
      <c r="B13044" s="1" t="s">
        <v>156</v>
      </c>
      <c r="C13044" s="1" t="s">
        <v>157</v>
      </c>
      <c r="D13044" s="1">
        <v>1821</v>
      </c>
      <c r="E13044" s="11">
        <v>0</v>
      </c>
      <c r="G13044" s="1">
        <v>0</v>
      </c>
      <c r="H13044" s="1" t="s">
        <v>5</v>
      </c>
      <c r="M13044" s="1" t="s">
        <v>677</v>
      </c>
      <c r="N13044" s="1" t="s">
        <v>466</v>
      </c>
      <c r="P13044" s="1" t="s">
        <v>457</v>
      </c>
      <c r="Q13044" s="1">
        <v>0</v>
      </c>
      <c r="S13044" s="1">
        <v>0</v>
      </c>
      <c r="T13044" s="1">
        <v>0</v>
      </c>
      <c r="V13044" s="1">
        <f t="shared" si="254"/>
        <v>0</v>
      </c>
      <c r="W13044" s="1" t="s">
        <v>5</v>
      </c>
      <c r="X13044" s="26"/>
      <c r="Y13044" s="23">
        <v>0</v>
      </c>
      <c r="Z13044" s="11">
        <v>0</v>
      </c>
      <c r="AA13044" s="11">
        <v>0</v>
      </c>
    </row>
    <row r="13045" spans="1:27" x14ac:dyDescent="0.2">
      <c r="A13045" s="1">
        <v>61</v>
      </c>
      <c r="B13045" s="1" t="s">
        <v>156</v>
      </c>
      <c r="C13045" s="1" t="s">
        <v>157</v>
      </c>
      <c r="D13045" s="1">
        <v>1822</v>
      </c>
      <c r="E13045" s="11">
        <v>0</v>
      </c>
      <c r="G13045" s="1">
        <v>0</v>
      </c>
      <c r="H13045" s="1" t="s">
        <v>5</v>
      </c>
      <c r="M13045" s="1" t="s">
        <v>677</v>
      </c>
      <c r="N13045" s="1" t="s">
        <v>466</v>
      </c>
      <c r="P13045" s="1" t="s">
        <v>457</v>
      </c>
      <c r="Q13045" s="1">
        <v>0</v>
      </c>
      <c r="S13045" s="1">
        <v>0</v>
      </c>
      <c r="T13045" s="1">
        <v>0</v>
      </c>
      <c r="V13045" s="1">
        <f t="shared" si="254"/>
        <v>0</v>
      </c>
      <c r="W13045" s="1" t="s">
        <v>5</v>
      </c>
      <c r="X13045" s="26"/>
      <c r="Y13045" s="23">
        <v>0</v>
      </c>
      <c r="Z13045" s="11">
        <v>0</v>
      </c>
      <c r="AA13045" s="11">
        <v>0</v>
      </c>
    </row>
    <row r="13046" spans="1:27" x14ac:dyDescent="0.2">
      <c r="A13046" s="1">
        <v>61</v>
      </c>
      <c r="B13046" s="1" t="s">
        <v>156</v>
      </c>
      <c r="C13046" s="1" t="s">
        <v>157</v>
      </c>
      <c r="D13046" s="1">
        <v>1823</v>
      </c>
      <c r="E13046" s="11">
        <v>0</v>
      </c>
      <c r="G13046" s="1">
        <v>0</v>
      </c>
      <c r="H13046" s="1" t="s">
        <v>5</v>
      </c>
      <c r="M13046" s="1" t="s">
        <v>677</v>
      </c>
      <c r="N13046" s="1" t="s">
        <v>466</v>
      </c>
      <c r="P13046" s="1" t="s">
        <v>457</v>
      </c>
      <c r="Q13046" s="1">
        <v>0</v>
      </c>
      <c r="S13046" s="1">
        <v>0</v>
      </c>
      <c r="T13046" s="1">
        <v>0</v>
      </c>
      <c r="V13046" s="1">
        <f t="shared" si="254"/>
        <v>0</v>
      </c>
      <c r="W13046" s="1" t="s">
        <v>5</v>
      </c>
      <c r="X13046" s="26"/>
      <c r="Y13046" s="23">
        <v>0</v>
      </c>
      <c r="Z13046" s="11">
        <v>0</v>
      </c>
      <c r="AA13046" s="11">
        <v>0</v>
      </c>
    </row>
    <row r="13047" spans="1:27" x14ac:dyDescent="0.2">
      <c r="A13047" s="1">
        <v>61</v>
      </c>
      <c r="B13047" s="1" t="s">
        <v>156</v>
      </c>
      <c r="C13047" s="1" t="s">
        <v>157</v>
      </c>
      <c r="D13047" s="1">
        <v>1824</v>
      </c>
      <c r="E13047" s="11">
        <v>0</v>
      </c>
      <c r="G13047" s="1">
        <v>0</v>
      </c>
      <c r="H13047" s="1" t="s">
        <v>5</v>
      </c>
      <c r="M13047" s="1" t="s">
        <v>677</v>
      </c>
      <c r="N13047" s="1" t="s">
        <v>466</v>
      </c>
      <c r="P13047" s="1" t="s">
        <v>457</v>
      </c>
      <c r="Q13047" s="1">
        <v>0</v>
      </c>
      <c r="S13047" s="1">
        <v>0</v>
      </c>
      <c r="T13047" s="1">
        <v>0</v>
      </c>
      <c r="V13047" s="1">
        <f t="shared" si="254"/>
        <v>0</v>
      </c>
      <c r="W13047" s="1" t="s">
        <v>5</v>
      </c>
      <c r="X13047" s="26"/>
      <c r="Y13047" s="23">
        <v>0</v>
      </c>
      <c r="Z13047" s="11">
        <v>0</v>
      </c>
      <c r="AA13047" s="11">
        <v>0</v>
      </c>
    </row>
    <row r="13048" spans="1:27" x14ac:dyDescent="0.2">
      <c r="A13048" s="1">
        <v>61</v>
      </c>
      <c r="B13048" s="1" t="s">
        <v>156</v>
      </c>
      <c r="C13048" s="1" t="s">
        <v>157</v>
      </c>
      <c r="D13048" s="1">
        <v>1825</v>
      </c>
      <c r="E13048" s="11">
        <v>0</v>
      </c>
      <c r="G13048" s="1">
        <v>0</v>
      </c>
      <c r="H13048" s="1" t="s">
        <v>5</v>
      </c>
      <c r="M13048" s="1" t="s">
        <v>677</v>
      </c>
      <c r="N13048" s="1" t="s">
        <v>466</v>
      </c>
      <c r="P13048" s="1" t="s">
        <v>457</v>
      </c>
      <c r="Q13048" s="1">
        <v>0</v>
      </c>
      <c r="S13048" s="1">
        <v>0</v>
      </c>
      <c r="T13048" s="1">
        <v>0</v>
      </c>
      <c r="V13048" s="1">
        <f t="shared" si="254"/>
        <v>0</v>
      </c>
      <c r="W13048" s="1" t="s">
        <v>5</v>
      </c>
      <c r="X13048" s="26"/>
      <c r="Y13048" s="23">
        <v>0</v>
      </c>
      <c r="Z13048" s="11">
        <v>0</v>
      </c>
      <c r="AA13048" s="11">
        <v>0</v>
      </c>
    </row>
    <row r="13049" spans="1:27" x14ac:dyDescent="0.2">
      <c r="A13049" s="1">
        <v>61</v>
      </c>
      <c r="B13049" s="1" t="s">
        <v>156</v>
      </c>
      <c r="C13049" s="1" t="s">
        <v>157</v>
      </c>
      <c r="D13049" s="1">
        <v>1826</v>
      </c>
      <c r="E13049" s="11">
        <v>0</v>
      </c>
      <c r="G13049" s="1">
        <v>0</v>
      </c>
      <c r="H13049" s="1" t="s">
        <v>5</v>
      </c>
      <c r="M13049" s="1" t="s">
        <v>677</v>
      </c>
      <c r="N13049" s="1" t="s">
        <v>466</v>
      </c>
      <c r="P13049" s="1" t="s">
        <v>457</v>
      </c>
      <c r="Q13049" s="1">
        <v>0</v>
      </c>
      <c r="S13049" s="1">
        <v>0</v>
      </c>
      <c r="T13049" s="1">
        <v>0</v>
      </c>
      <c r="V13049" s="1">
        <f t="shared" si="254"/>
        <v>0</v>
      </c>
      <c r="W13049" s="1" t="s">
        <v>5</v>
      </c>
      <c r="X13049" s="26"/>
      <c r="Y13049" s="23">
        <v>0</v>
      </c>
      <c r="Z13049" s="11">
        <v>0</v>
      </c>
      <c r="AA13049" s="11">
        <v>0</v>
      </c>
    </row>
    <row r="13050" spans="1:27" x14ac:dyDescent="0.2">
      <c r="A13050" s="1">
        <v>61</v>
      </c>
      <c r="B13050" s="1" t="s">
        <v>156</v>
      </c>
      <c r="C13050" s="1" t="s">
        <v>157</v>
      </c>
      <c r="D13050" s="1">
        <v>1827</v>
      </c>
      <c r="E13050" s="11">
        <v>0</v>
      </c>
      <c r="G13050" s="1">
        <v>0</v>
      </c>
      <c r="H13050" s="1" t="s">
        <v>5</v>
      </c>
      <c r="M13050" s="1" t="s">
        <v>677</v>
      </c>
      <c r="N13050" s="1" t="s">
        <v>466</v>
      </c>
      <c r="P13050" s="1" t="s">
        <v>457</v>
      </c>
      <c r="Q13050" s="1">
        <v>0</v>
      </c>
      <c r="S13050" s="1">
        <v>0</v>
      </c>
      <c r="T13050" s="1">
        <v>0</v>
      </c>
      <c r="V13050" s="1">
        <f t="shared" si="254"/>
        <v>0</v>
      </c>
      <c r="W13050" s="1" t="s">
        <v>5</v>
      </c>
      <c r="X13050" s="26"/>
      <c r="Y13050" s="23">
        <v>0</v>
      </c>
      <c r="Z13050" s="11">
        <v>0</v>
      </c>
      <c r="AA13050" s="11">
        <v>0</v>
      </c>
    </row>
    <row r="13051" spans="1:27" x14ac:dyDescent="0.2">
      <c r="A13051" s="1">
        <v>61</v>
      </c>
      <c r="B13051" s="1" t="s">
        <v>156</v>
      </c>
      <c r="C13051" s="1" t="s">
        <v>157</v>
      </c>
      <c r="D13051" s="1">
        <v>1828</v>
      </c>
      <c r="E13051" s="11">
        <v>0</v>
      </c>
      <c r="G13051" s="1">
        <v>0</v>
      </c>
      <c r="H13051" s="1" t="s">
        <v>5</v>
      </c>
      <c r="M13051" s="1" t="s">
        <v>677</v>
      </c>
      <c r="N13051" s="1" t="s">
        <v>466</v>
      </c>
      <c r="P13051" s="1" t="s">
        <v>457</v>
      </c>
      <c r="Q13051" s="1">
        <v>0</v>
      </c>
      <c r="S13051" s="1">
        <v>0</v>
      </c>
      <c r="T13051" s="1">
        <v>0</v>
      </c>
      <c r="V13051" s="1">
        <f t="shared" si="254"/>
        <v>0</v>
      </c>
      <c r="W13051" s="1" t="s">
        <v>5</v>
      </c>
      <c r="X13051" s="26"/>
      <c r="Y13051" s="23">
        <v>0</v>
      </c>
      <c r="Z13051" s="11">
        <v>0</v>
      </c>
      <c r="AA13051" s="11">
        <v>0</v>
      </c>
    </row>
    <row r="13052" spans="1:27" x14ac:dyDescent="0.2">
      <c r="A13052" s="1">
        <v>61</v>
      </c>
      <c r="B13052" s="1" t="s">
        <v>156</v>
      </c>
      <c r="C13052" s="1" t="s">
        <v>157</v>
      </c>
      <c r="D13052" s="1">
        <v>1829</v>
      </c>
      <c r="E13052" s="11">
        <v>0</v>
      </c>
      <c r="G13052" s="1">
        <v>0</v>
      </c>
      <c r="H13052" s="1" t="s">
        <v>5</v>
      </c>
      <c r="M13052" s="1" t="s">
        <v>677</v>
      </c>
      <c r="N13052" s="1" t="s">
        <v>466</v>
      </c>
      <c r="P13052" s="1" t="s">
        <v>457</v>
      </c>
      <c r="Q13052" s="1">
        <v>0</v>
      </c>
      <c r="S13052" s="1">
        <v>0</v>
      </c>
      <c r="T13052" s="1">
        <v>0</v>
      </c>
      <c r="V13052" s="1">
        <f t="shared" si="254"/>
        <v>0</v>
      </c>
      <c r="W13052" s="1" t="s">
        <v>5</v>
      </c>
      <c r="X13052" s="26"/>
      <c r="Y13052" s="23">
        <v>0</v>
      </c>
      <c r="Z13052" s="11">
        <v>0</v>
      </c>
      <c r="AA13052" s="11">
        <v>0</v>
      </c>
    </row>
    <row r="13053" spans="1:27" x14ac:dyDescent="0.2">
      <c r="A13053" s="1">
        <v>61</v>
      </c>
      <c r="B13053" s="1" t="s">
        <v>156</v>
      </c>
      <c r="C13053" s="1" t="s">
        <v>157</v>
      </c>
      <c r="D13053" s="1">
        <v>1830</v>
      </c>
      <c r="E13053" s="11">
        <v>0</v>
      </c>
      <c r="G13053" s="1">
        <v>0</v>
      </c>
      <c r="H13053" s="1" t="s">
        <v>5</v>
      </c>
      <c r="M13053" s="1" t="s">
        <v>677</v>
      </c>
      <c r="N13053" s="1" t="s">
        <v>466</v>
      </c>
      <c r="P13053" s="1" t="s">
        <v>457</v>
      </c>
      <c r="Q13053" s="1">
        <v>0</v>
      </c>
      <c r="S13053" s="1">
        <v>0</v>
      </c>
      <c r="T13053" s="1">
        <v>0</v>
      </c>
      <c r="V13053" s="1">
        <f t="shared" si="254"/>
        <v>0</v>
      </c>
      <c r="W13053" s="1" t="s">
        <v>5</v>
      </c>
      <c r="X13053" s="26"/>
      <c r="Y13053" s="23">
        <v>0</v>
      </c>
      <c r="Z13053" s="11">
        <v>0</v>
      </c>
      <c r="AA13053" s="11">
        <v>0</v>
      </c>
    </row>
    <row r="13054" spans="1:27" ht="12.95" customHeight="1" x14ac:dyDescent="0.2">
      <c r="A13054" s="1">
        <v>61</v>
      </c>
      <c r="B13054" s="1" t="s">
        <v>156</v>
      </c>
      <c r="C13054" s="1" t="s">
        <v>157</v>
      </c>
      <c r="D13054" s="1">
        <v>1831</v>
      </c>
      <c r="E13054" s="11">
        <v>0</v>
      </c>
      <c r="G13054" s="1">
        <v>0</v>
      </c>
      <c r="H13054" s="1" t="s">
        <v>5</v>
      </c>
      <c r="M13054" s="1" t="s">
        <v>677</v>
      </c>
      <c r="N13054" s="1" t="s">
        <v>466</v>
      </c>
      <c r="P13054" s="1" t="s">
        <v>457</v>
      </c>
      <c r="Q13054" s="1">
        <v>0</v>
      </c>
      <c r="S13054" s="1">
        <v>0</v>
      </c>
      <c r="T13054" s="1">
        <v>0</v>
      </c>
      <c r="V13054" s="1">
        <f t="shared" si="254"/>
        <v>0</v>
      </c>
      <c r="W13054" s="1" t="s">
        <v>5</v>
      </c>
      <c r="X13054" s="26"/>
      <c r="Y13054" s="23">
        <v>0</v>
      </c>
      <c r="Z13054" s="11">
        <v>0</v>
      </c>
      <c r="AA13054" s="11">
        <v>0</v>
      </c>
    </row>
    <row r="13055" spans="1:27" ht="12.95" customHeight="1" x14ac:dyDescent="0.2">
      <c r="A13055" s="1">
        <v>61</v>
      </c>
      <c r="B13055" s="1" t="s">
        <v>156</v>
      </c>
      <c r="C13055" s="1" t="s">
        <v>157</v>
      </c>
      <c r="D13055" s="1">
        <v>1832</v>
      </c>
      <c r="E13055" s="11">
        <v>0</v>
      </c>
      <c r="G13055" s="1">
        <v>0</v>
      </c>
      <c r="H13055" s="1" t="s">
        <v>5</v>
      </c>
      <c r="M13055" s="1" t="s">
        <v>677</v>
      </c>
      <c r="N13055" s="1" t="s">
        <v>466</v>
      </c>
      <c r="P13055" s="1" t="s">
        <v>457</v>
      </c>
      <c r="Q13055" s="1">
        <v>0</v>
      </c>
      <c r="S13055" s="1">
        <v>0</v>
      </c>
      <c r="T13055" s="1">
        <v>0</v>
      </c>
      <c r="V13055" s="1">
        <f t="shared" si="254"/>
        <v>0</v>
      </c>
      <c r="W13055" s="1" t="s">
        <v>5</v>
      </c>
      <c r="X13055" s="26"/>
      <c r="Y13055" s="23">
        <v>0</v>
      </c>
      <c r="Z13055" s="11">
        <v>0</v>
      </c>
      <c r="AA13055" s="11">
        <v>0</v>
      </c>
    </row>
    <row r="13056" spans="1:27" x14ac:dyDescent="0.2">
      <c r="A13056" s="1">
        <v>61</v>
      </c>
      <c r="B13056" s="1" t="s">
        <v>156</v>
      </c>
      <c r="C13056" s="1" t="s">
        <v>157</v>
      </c>
      <c r="D13056" s="1">
        <v>1833</v>
      </c>
      <c r="E13056" s="11">
        <v>0</v>
      </c>
      <c r="G13056" s="1">
        <v>0</v>
      </c>
      <c r="H13056" s="1" t="s">
        <v>5</v>
      </c>
      <c r="M13056" s="1" t="s">
        <v>677</v>
      </c>
      <c r="N13056" s="1" t="s">
        <v>466</v>
      </c>
      <c r="P13056" s="1" t="s">
        <v>457</v>
      </c>
      <c r="Q13056" s="1">
        <v>0</v>
      </c>
      <c r="S13056" s="1">
        <v>0</v>
      </c>
      <c r="T13056" s="1">
        <v>0</v>
      </c>
      <c r="V13056" s="1">
        <f t="shared" si="254"/>
        <v>0</v>
      </c>
      <c r="W13056" s="1" t="s">
        <v>5</v>
      </c>
      <c r="X13056" s="26"/>
      <c r="Y13056" s="23">
        <v>0</v>
      </c>
      <c r="Z13056" s="11">
        <v>0</v>
      </c>
      <c r="AA13056" s="11">
        <v>0</v>
      </c>
    </row>
    <row r="13057" spans="1:27" x14ac:dyDescent="0.2">
      <c r="A13057" s="1">
        <v>61</v>
      </c>
      <c r="B13057" s="1" t="s">
        <v>156</v>
      </c>
      <c r="C13057" s="1" t="s">
        <v>157</v>
      </c>
      <c r="D13057" s="1">
        <v>1834</v>
      </c>
      <c r="E13057" s="11">
        <v>0</v>
      </c>
      <c r="G13057" s="1">
        <v>0</v>
      </c>
      <c r="H13057" s="1" t="s">
        <v>5</v>
      </c>
      <c r="M13057" s="1" t="s">
        <v>677</v>
      </c>
      <c r="N13057" s="1" t="s">
        <v>466</v>
      </c>
      <c r="P13057" s="1" t="s">
        <v>457</v>
      </c>
      <c r="Q13057" s="1">
        <v>0</v>
      </c>
      <c r="S13057" s="1">
        <v>0</v>
      </c>
      <c r="T13057" s="1">
        <v>0</v>
      </c>
      <c r="V13057" s="1">
        <f t="shared" si="254"/>
        <v>0</v>
      </c>
      <c r="W13057" s="1" t="s">
        <v>5</v>
      </c>
      <c r="X13057" s="26"/>
      <c r="Y13057" s="23">
        <v>0</v>
      </c>
      <c r="Z13057" s="11">
        <v>0</v>
      </c>
      <c r="AA13057" s="11">
        <v>0</v>
      </c>
    </row>
    <row r="13058" spans="1:27" x14ac:dyDescent="0.2">
      <c r="A13058" s="1">
        <v>61</v>
      </c>
      <c r="B13058" s="1" t="s">
        <v>156</v>
      </c>
      <c r="C13058" s="1" t="s">
        <v>157</v>
      </c>
      <c r="D13058" s="1">
        <v>1835</v>
      </c>
      <c r="E13058" s="11">
        <v>0</v>
      </c>
      <c r="G13058" s="1">
        <v>0</v>
      </c>
      <c r="H13058" s="1" t="s">
        <v>5</v>
      </c>
      <c r="M13058" s="1" t="s">
        <v>677</v>
      </c>
      <c r="N13058" s="1" t="s">
        <v>466</v>
      </c>
      <c r="P13058" s="1" t="s">
        <v>457</v>
      </c>
      <c r="Q13058" s="1">
        <v>0</v>
      </c>
      <c r="S13058" s="1">
        <v>0</v>
      </c>
      <c r="T13058" s="1">
        <v>0</v>
      </c>
      <c r="V13058" s="1">
        <f t="shared" si="254"/>
        <v>0</v>
      </c>
      <c r="W13058" s="1" t="s">
        <v>5</v>
      </c>
      <c r="X13058" s="26"/>
      <c r="Y13058" s="23">
        <v>0</v>
      </c>
      <c r="Z13058" s="11">
        <v>0</v>
      </c>
      <c r="AA13058" s="11">
        <v>0</v>
      </c>
    </row>
    <row r="13059" spans="1:27" x14ac:dyDescent="0.2">
      <c r="A13059" s="1">
        <v>61</v>
      </c>
      <c r="B13059" s="1" t="s">
        <v>156</v>
      </c>
      <c r="C13059" s="1" t="s">
        <v>157</v>
      </c>
      <c r="D13059" s="1">
        <v>1836</v>
      </c>
      <c r="E13059" s="11">
        <v>0</v>
      </c>
      <c r="G13059" s="1">
        <v>0</v>
      </c>
      <c r="H13059" s="1" t="s">
        <v>5</v>
      </c>
      <c r="M13059" s="1" t="s">
        <v>677</v>
      </c>
      <c r="N13059" s="1" t="s">
        <v>466</v>
      </c>
      <c r="P13059" s="1" t="s">
        <v>457</v>
      </c>
      <c r="Q13059" s="1">
        <v>0</v>
      </c>
      <c r="S13059" s="1">
        <v>0</v>
      </c>
      <c r="T13059" s="1">
        <v>0</v>
      </c>
      <c r="V13059" s="1">
        <f t="shared" si="254"/>
        <v>0</v>
      </c>
      <c r="W13059" s="1" t="s">
        <v>5</v>
      </c>
      <c r="X13059" s="26"/>
      <c r="Y13059" s="23">
        <v>0</v>
      </c>
      <c r="Z13059" s="11">
        <v>0</v>
      </c>
      <c r="AA13059" s="11">
        <v>0</v>
      </c>
    </row>
    <row r="13060" spans="1:27" x14ac:dyDescent="0.2">
      <c r="A13060" s="1">
        <v>61</v>
      </c>
      <c r="B13060" s="1" t="s">
        <v>156</v>
      </c>
      <c r="C13060" s="1" t="s">
        <v>157</v>
      </c>
      <c r="D13060" s="1">
        <v>1837</v>
      </c>
      <c r="E13060" s="11">
        <v>0</v>
      </c>
      <c r="G13060" s="1">
        <v>0</v>
      </c>
      <c r="H13060" s="1" t="s">
        <v>5</v>
      </c>
      <c r="M13060" s="1" t="s">
        <v>677</v>
      </c>
      <c r="N13060" s="1" t="s">
        <v>466</v>
      </c>
      <c r="P13060" s="1" t="s">
        <v>457</v>
      </c>
      <c r="Q13060" s="1">
        <v>0</v>
      </c>
      <c r="S13060" s="1">
        <v>0</v>
      </c>
      <c r="T13060" s="1">
        <v>0</v>
      </c>
      <c r="V13060" s="1">
        <f t="shared" si="254"/>
        <v>0</v>
      </c>
      <c r="W13060" s="1" t="s">
        <v>5</v>
      </c>
      <c r="X13060" s="26"/>
      <c r="Y13060" s="23">
        <v>0</v>
      </c>
      <c r="Z13060" s="11">
        <v>0</v>
      </c>
      <c r="AA13060" s="11">
        <v>0</v>
      </c>
    </row>
    <row r="13061" spans="1:27" x14ac:dyDescent="0.2">
      <c r="A13061" s="1">
        <v>61</v>
      </c>
      <c r="B13061" s="1" t="s">
        <v>156</v>
      </c>
      <c r="C13061" s="1" t="s">
        <v>157</v>
      </c>
      <c r="D13061" s="1">
        <v>1838</v>
      </c>
      <c r="E13061" s="11">
        <v>0</v>
      </c>
      <c r="G13061" s="1">
        <v>0</v>
      </c>
      <c r="H13061" s="1" t="s">
        <v>5</v>
      </c>
      <c r="M13061" s="1" t="s">
        <v>677</v>
      </c>
      <c r="N13061" s="1" t="s">
        <v>466</v>
      </c>
      <c r="P13061" s="1" t="s">
        <v>457</v>
      </c>
      <c r="Q13061" s="1">
        <v>0</v>
      </c>
      <c r="S13061" s="1">
        <v>0</v>
      </c>
      <c r="T13061" s="1">
        <v>0</v>
      </c>
      <c r="V13061" s="1">
        <f t="shared" si="254"/>
        <v>0</v>
      </c>
      <c r="W13061" s="1" t="s">
        <v>5</v>
      </c>
      <c r="X13061" s="26"/>
      <c r="Y13061" s="23">
        <v>0</v>
      </c>
      <c r="Z13061" s="11">
        <v>0</v>
      </c>
      <c r="AA13061" s="11">
        <v>0</v>
      </c>
    </row>
    <row r="13062" spans="1:27" x14ac:dyDescent="0.2">
      <c r="A13062" s="1">
        <v>61</v>
      </c>
      <c r="B13062" s="1" t="s">
        <v>156</v>
      </c>
      <c r="C13062" s="1" t="s">
        <v>157</v>
      </c>
      <c r="D13062" s="1">
        <v>1839</v>
      </c>
      <c r="E13062" s="11">
        <v>0</v>
      </c>
      <c r="G13062" s="1">
        <v>0</v>
      </c>
      <c r="H13062" s="1" t="s">
        <v>5</v>
      </c>
      <c r="M13062" s="1" t="s">
        <v>677</v>
      </c>
      <c r="N13062" s="1" t="s">
        <v>466</v>
      </c>
      <c r="P13062" s="1" t="s">
        <v>457</v>
      </c>
      <c r="Q13062" s="1">
        <v>0</v>
      </c>
      <c r="S13062" s="1">
        <v>0</v>
      </c>
      <c r="T13062" s="1">
        <v>0</v>
      </c>
      <c r="V13062" s="1">
        <f t="shared" si="254"/>
        <v>0</v>
      </c>
      <c r="W13062" s="1" t="s">
        <v>5</v>
      </c>
      <c r="X13062" s="26"/>
      <c r="Y13062" s="23">
        <v>0</v>
      </c>
      <c r="Z13062" s="11">
        <v>0</v>
      </c>
      <c r="AA13062" s="11">
        <v>0</v>
      </c>
    </row>
    <row r="13063" spans="1:27" x14ac:dyDescent="0.2">
      <c r="A13063" s="1">
        <v>61</v>
      </c>
      <c r="B13063" s="1" t="s">
        <v>156</v>
      </c>
      <c r="C13063" s="1" t="s">
        <v>157</v>
      </c>
      <c r="D13063" s="1">
        <v>1840</v>
      </c>
      <c r="E13063" s="11">
        <v>0</v>
      </c>
      <c r="G13063" s="1">
        <v>0</v>
      </c>
      <c r="H13063" s="1" t="s">
        <v>5</v>
      </c>
      <c r="M13063" s="1" t="s">
        <v>677</v>
      </c>
      <c r="N13063" s="1" t="s">
        <v>466</v>
      </c>
      <c r="P13063" s="1" t="s">
        <v>457</v>
      </c>
      <c r="Q13063" s="1">
        <v>0</v>
      </c>
      <c r="S13063" s="1">
        <v>0</v>
      </c>
      <c r="T13063" s="1">
        <v>0</v>
      </c>
      <c r="V13063" s="1">
        <f t="shared" si="254"/>
        <v>0</v>
      </c>
      <c r="W13063" s="1" t="s">
        <v>5</v>
      </c>
      <c r="X13063" s="26"/>
      <c r="Y13063" s="23">
        <v>0</v>
      </c>
      <c r="Z13063" s="11">
        <v>0</v>
      </c>
      <c r="AA13063" s="11">
        <v>0</v>
      </c>
    </row>
    <row r="13064" spans="1:27" x14ac:dyDescent="0.2">
      <c r="A13064" s="1">
        <v>61</v>
      </c>
      <c r="B13064" s="1" t="s">
        <v>156</v>
      </c>
      <c r="C13064" s="1" t="s">
        <v>157</v>
      </c>
      <c r="D13064" s="1">
        <v>1841</v>
      </c>
      <c r="E13064" s="11">
        <v>0</v>
      </c>
      <c r="G13064" s="1">
        <v>0</v>
      </c>
      <c r="H13064" s="1" t="s">
        <v>5</v>
      </c>
      <c r="M13064" s="1" t="s">
        <v>677</v>
      </c>
      <c r="N13064" s="1" t="s">
        <v>466</v>
      </c>
      <c r="P13064" s="1" t="s">
        <v>457</v>
      </c>
      <c r="Q13064" s="1">
        <v>0</v>
      </c>
      <c r="S13064" s="1">
        <v>0</v>
      </c>
      <c r="T13064" s="1">
        <v>0</v>
      </c>
      <c r="V13064" s="1">
        <f t="shared" si="254"/>
        <v>0</v>
      </c>
      <c r="W13064" s="1" t="s">
        <v>5</v>
      </c>
      <c r="X13064" s="26"/>
      <c r="Y13064" s="23">
        <v>0</v>
      </c>
      <c r="Z13064" s="11">
        <v>0</v>
      </c>
      <c r="AA13064" s="11">
        <v>0</v>
      </c>
    </row>
    <row r="13065" spans="1:27" x14ac:dyDescent="0.2">
      <c r="A13065" s="1">
        <v>61</v>
      </c>
      <c r="B13065" s="1" t="s">
        <v>156</v>
      </c>
      <c r="C13065" s="1" t="s">
        <v>157</v>
      </c>
      <c r="D13065" s="1">
        <v>1842</v>
      </c>
      <c r="E13065" s="11">
        <v>0</v>
      </c>
      <c r="G13065" s="1">
        <v>0</v>
      </c>
      <c r="H13065" s="1" t="s">
        <v>5</v>
      </c>
      <c r="M13065" s="1" t="s">
        <v>677</v>
      </c>
      <c r="N13065" s="1" t="s">
        <v>466</v>
      </c>
      <c r="P13065" s="1" t="s">
        <v>457</v>
      </c>
      <c r="Q13065" s="1">
        <v>0</v>
      </c>
      <c r="S13065" s="1">
        <v>0</v>
      </c>
      <c r="T13065" s="1">
        <v>0</v>
      </c>
      <c r="V13065" s="1">
        <f t="shared" si="254"/>
        <v>0</v>
      </c>
      <c r="W13065" s="1" t="s">
        <v>5</v>
      </c>
      <c r="X13065" s="26"/>
      <c r="Y13065" s="23">
        <v>0</v>
      </c>
      <c r="Z13065" s="11">
        <v>0</v>
      </c>
      <c r="AA13065" s="11">
        <v>0</v>
      </c>
    </row>
    <row r="13066" spans="1:27" x14ac:dyDescent="0.2">
      <c r="A13066" s="1">
        <v>61</v>
      </c>
      <c r="B13066" s="1" t="s">
        <v>156</v>
      </c>
      <c r="C13066" s="1" t="s">
        <v>157</v>
      </c>
      <c r="D13066" s="1">
        <v>1843</v>
      </c>
      <c r="E13066" s="11">
        <v>0</v>
      </c>
      <c r="G13066" s="1">
        <v>0</v>
      </c>
      <c r="H13066" s="1" t="s">
        <v>5</v>
      </c>
      <c r="M13066" s="1" t="s">
        <v>677</v>
      </c>
      <c r="N13066" s="1" t="s">
        <v>466</v>
      </c>
      <c r="P13066" s="1" t="s">
        <v>457</v>
      </c>
      <c r="Q13066" s="1">
        <v>0</v>
      </c>
      <c r="S13066" s="1">
        <v>0</v>
      </c>
      <c r="T13066" s="1">
        <v>0</v>
      </c>
      <c r="V13066" s="1">
        <f t="shared" si="254"/>
        <v>0</v>
      </c>
      <c r="W13066" s="1" t="s">
        <v>5</v>
      </c>
      <c r="X13066" s="26"/>
      <c r="Y13066" s="23">
        <v>0</v>
      </c>
      <c r="Z13066" s="11">
        <v>0</v>
      </c>
      <c r="AA13066" s="11">
        <v>0</v>
      </c>
    </row>
    <row r="13067" spans="1:27" x14ac:dyDescent="0.2">
      <c r="A13067" s="1">
        <v>61</v>
      </c>
      <c r="B13067" s="1" t="s">
        <v>156</v>
      </c>
      <c r="C13067" s="1" t="s">
        <v>157</v>
      </c>
      <c r="D13067" s="1">
        <v>1844</v>
      </c>
      <c r="E13067" s="11">
        <v>0</v>
      </c>
      <c r="G13067" s="1">
        <v>0</v>
      </c>
      <c r="H13067" s="1" t="s">
        <v>5</v>
      </c>
      <c r="M13067" s="1" t="s">
        <v>677</v>
      </c>
      <c r="N13067" s="1" t="s">
        <v>466</v>
      </c>
      <c r="P13067" s="1" t="s">
        <v>457</v>
      </c>
      <c r="Q13067" s="1">
        <v>0</v>
      </c>
      <c r="S13067" s="1">
        <v>0</v>
      </c>
      <c r="T13067" s="1">
        <v>0</v>
      </c>
      <c r="V13067" s="1">
        <f t="shared" si="254"/>
        <v>0</v>
      </c>
      <c r="W13067" s="1" t="s">
        <v>5</v>
      </c>
      <c r="X13067" s="26"/>
      <c r="Y13067" s="23">
        <v>0</v>
      </c>
      <c r="Z13067" s="11">
        <v>0</v>
      </c>
      <c r="AA13067" s="11">
        <v>0</v>
      </c>
    </row>
    <row r="13068" spans="1:27" x14ac:dyDescent="0.2">
      <c r="A13068" s="1">
        <v>61</v>
      </c>
      <c r="B13068" s="1" t="s">
        <v>156</v>
      </c>
      <c r="C13068" s="1" t="s">
        <v>157</v>
      </c>
      <c r="D13068" s="1">
        <v>1845</v>
      </c>
      <c r="E13068" s="11">
        <v>0</v>
      </c>
      <c r="G13068" s="1">
        <v>0</v>
      </c>
      <c r="H13068" s="1" t="s">
        <v>5</v>
      </c>
      <c r="M13068" s="1" t="s">
        <v>677</v>
      </c>
      <c r="N13068" s="1" t="s">
        <v>466</v>
      </c>
      <c r="P13068" s="1" t="s">
        <v>457</v>
      </c>
      <c r="Q13068" s="1">
        <v>0</v>
      </c>
      <c r="S13068" s="1">
        <v>0</v>
      </c>
      <c r="T13068" s="1">
        <v>0</v>
      </c>
      <c r="V13068" s="1">
        <f t="shared" si="254"/>
        <v>0</v>
      </c>
      <c r="W13068" s="1" t="s">
        <v>5</v>
      </c>
      <c r="X13068" s="26"/>
      <c r="Y13068" s="23">
        <v>0</v>
      </c>
      <c r="Z13068" s="11">
        <v>0</v>
      </c>
      <c r="AA13068" s="11">
        <v>0</v>
      </c>
    </row>
    <row r="13069" spans="1:27" x14ac:dyDescent="0.2">
      <c r="A13069" s="1">
        <v>61</v>
      </c>
      <c r="B13069" s="1" t="s">
        <v>156</v>
      </c>
      <c r="C13069" s="1" t="s">
        <v>157</v>
      </c>
      <c r="D13069" s="1">
        <v>1846</v>
      </c>
      <c r="E13069" s="11">
        <v>0</v>
      </c>
      <c r="G13069" s="1">
        <v>0</v>
      </c>
      <c r="H13069" s="1" t="s">
        <v>5</v>
      </c>
      <c r="M13069" s="1" t="s">
        <v>677</v>
      </c>
      <c r="N13069" s="1" t="s">
        <v>466</v>
      </c>
      <c r="P13069" s="1" t="s">
        <v>457</v>
      </c>
      <c r="Q13069" s="1">
        <v>0</v>
      </c>
      <c r="S13069" s="1">
        <v>0</v>
      </c>
      <c r="T13069" s="1">
        <v>0</v>
      </c>
      <c r="V13069" s="1">
        <f t="shared" si="254"/>
        <v>0</v>
      </c>
      <c r="W13069" s="1" t="s">
        <v>5</v>
      </c>
      <c r="X13069" s="26"/>
      <c r="Y13069" s="23">
        <v>0</v>
      </c>
      <c r="Z13069" s="11">
        <v>0</v>
      </c>
      <c r="AA13069" s="11">
        <v>0</v>
      </c>
    </row>
    <row r="13070" spans="1:27" x14ac:dyDescent="0.2">
      <c r="A13070" s="1">
        <v>61</v>
      </c>
      <c r="B13070" s="1" t="s">
        <v>156</v>
      </c>
      <c r="C13070" s="1" t="s">
        <v>157</v>
      </c>
      <c r="D13070" s="1">
        <v>1847</v>
      </c>
      <c r="E13070" s="11">
        <v>0</v>
      </c>
      <c r="G13070" s="1">
        <v>0</v>
      </c>
      <c r="H13070" s="1" t="s">
        <v>5</v>
      </c>
      <c r="M13070" s="1" t="s">
        <v>677</v>
      </c>
      <c r="N13070" s="1" t="s">
        <v>466</v>
      </c>
      <c r="P13070" s="1" t="s">
        <v>457</v>
      </c>
      <c r="Q13070" s="1">
        <v>0</v>
      </c>
      <c r="S13070" s="1">
        <v>0</v>
      </c>
      <c r="T13070" s="1">
        <v>0</v>
      </c>
      <c r="V13070" s="1">
        <f t="shared" si="254"/>
        <v>0</v>
      </c>
      <c r="W13070" s="1" t="s">
        <v>5</v>
      </c>
      <c r="X13070" s="26"/>
      <c r="Y13070" s="23">
        <v>0</v>
      </c>
      <c r="Z13070" s="11">
        <v>0</v>
      </c>
      <c r="AA13070" s="11">
        <v>0</v>
      </c>
    </row>
    <row r="13071" spans="1:27" x14ac:dyDescent="0.2">
      <c r="A13071" s="1">
        <v>61</v>
      </c>
      <c r="B13071" s="1" t="s">
        <v>156</v>
      </c>
      <c r="C13071" s="1" t="s">
        <v>157</v>
      </c>
      <c r="D13071" s="1">
        <v>1848</v>
      </c>
      <c r="E13071" s="11">
        <v>0</v>
      </c>
      <c r="G13071" s="1">
        <v>0</v>
      </c>
      <c r="H13071" s="1" t="s">
        <v>5</v>
      </c>
      <c r="M13071" s="1" t="s">
        <v>677</v>
      </c>
      <c r="N13071" s="1" t="s">
        <v>466</v>
      </c>
      <c r="P13071" s="1" t="s">
        <v>457</v>
      </c>
      <c r="Q13071" s="1">
        <v>0</v>
      </c>
      <c r="S13071" s="1">
        <v>0</v>
      </c>
      <c r="T13071" s="1">
        <v>0</v>
      </c>
      <c r="V13071" s="1">
        <f t="shared" si="254"/>
        <v>0</v>
      </c>
      <c r="W13071" s="1" t="s">
        <v>5</v>
      </c>
      <c r="X13071" s="26"/>
      <c r="Y13071" s="23">
        <v>0</v>
      </c>
      <c r="Z13071" s="11">
        <v>0</v>
      </c>
      <c r="AA13071" s="11">
        <v>0</v>
      </c>
    </row>
    <row r="13072" spans="1:27" x14ac:dyDescent="0.2">
      <c r="A13072" s="1">
        <v>61</v>
      </c>
      <c r="B13072" s="1" t="s">
        <v>156</v>
      </c>
      <c r="C13072" s="1" t="s">
        <v>157</v>
      </c>
      <c r="D13072" s="1">
        <v>1849</v>
      </c>
      <c r="E13072" s="11">
        <v>0</v>
      </c>
      <c r="G13072" s="1">
        <v>0</v>
      </c>
      <c r="H13072" s="1" t="s">
        <v>5</v>
      </c>
      <c r="M13072" s="1" t="s">
        <v>677</v>
      </c>
      <c r="N13072" s="1" t="s">
        <v>466</v>
      </c>
      <c r="P13072" s="1" t="s">
        <v>457</v>
      </c>
      <c r="Q13072" s="1">
        <v>0</v>
      </c>
      <c r="S13072" s="1">
        <v>0</v>
      </c>
      <c r="T13072" s="1">
        <v>0</v>
      </c>
      <c r="V13072" s="1">
        <f t="shared" si="254"/>
        <v>0</v>
      </c>
      <c r="W13072" s="1" t="s">
        <v>5</v>
      </c>
      <c r="X13072" s="26"/>
      <c r="Y13072" s="23">
        <v>0</v>
      </c>
      <c r="Z13072" s="11">
        <v>0</v>
      </c>
      <c r="AA13072" s="11">
        <v>0</v>
      </c>
    </row>
    <row r="13073" spans="1:27" x14ac:dyDescent="0.2">
      <c r="A13073" s="1">
        <v>61</v>
      </c>
      <c r="B13073" s="1" t="s">
        <v>156</v>
      </c>
      <c r="C13073" s="1" t="s">
        <v>157</v>
      </c>
      <c r="D13073" s="1">
        <v>1850</v>
      </c>
      <c r="E13073" s="11">
        <v>0</v>
      </c>
      <c r="G13073" s="1">
        <v>0</v>
      </c>
      <c r="H13073" s="1" t="s">
        <v>5</v>
      </c>
      <c r="M13073" s="1" t="s">
        <v>677</v>
      </c>
      <c r="N13073" s="1" t="s">
        <v>466</v>
      </c>
      <c r="P13073" s="1" t="s">
        <v>457</v>
      </c>
      <c r="Q13073" s="1">
        <v>0</v>
      </c>
      <c r="S13073" s="1">
        <v>0</v>
      </c>
      <c r="T13073" s="1">
        <v>0</v>
      </c>
      <c r="V13073" s="1">
        <f t="shared" si="254"/>
        <v>0</v>
      </c>
      <c r="W13073" s="1" t="s">
        <v>5</v>
      </c>
      <c r="X13073" s="26"/>
      <c r="Y13073" s="23">
        <v>0</v>
      </c>
      <c r="Z13073" s="11">
        <v>0</v>
      </c>
      <c r="AA13073" s="11">
        <v>0</v>
      </c>
    </row>
    <row r="13074" spans="1:27" x14ac:dyDescent="0.2">
      <c r="A13074" s="1">
        <v>61</v>
      </c>
      <c r="B13074" s="1" t="s">
        <v>156</v>
      </c>
      <c r="C13074" s="1" t="s">
        <v>157</v>
      </c>
      <c r="D13074" s="1">
        <v>1851</v>
      </c>
      <c r="E13074" s="11">
        <v>0</v>
      </c>
      <c r="G13074" s="1">
        <v>0</v>
      </c>
      <c r="H13074" s="1" t="s">
        <v>5</v>
      </c>
      <c r="M13074" s="1" t="s">
        <v>677</v>
      </c>
      <c r="N13074" s="1" t="s">
        <v>466</v>
      </c>
      <c r="P13074" s="1" t="s">
        <v>457</v>
      </c>
      <c r="Q13074" s="1">
        <v>0</v>
      </c>
      <c r="S13074" s="1">
        <v>0</v>
      </c>
      <c r="T13074" s="1">
        <v>0</v>
      </c>
      <c r="V13074" s="1">
        <f t="shared" si="254"/>
        <v>0</v>
      </c>
      <c r="W13074" s="1" t="s">
        <v>5</v>
      </c>
      <c r="X13074" s="26"/>
      <c r="Y13074" s="23">
        <v>0</v>
      </c>
      <c r="Z13074" s="11">
        <v>0</v>
      </c>
      <c r="AA13074" s="11">
        <v>0</v>
      </c>
    </row>
    <row r="13075" spans="1:27" x14ac:dyDescent="0.2">
      <c r="A13075" s="1">
        <v>61</v>
      </c>
      <c r="B13075" s="1" t="s">
        <v>156</v>
      </c>
      <c r="C13075" s="1" t="s">
        <v>157</v>
      </c>
      <c r="D13075" s="1">
        <v>1852</v>
      </c>
      <c r="E13075" s="11">
        <v>0</v>
      </c>
      <c r="G13075" s="1">
        <v>0</v>
      </c>
      <c r="H13075" s="1" t="s">
        <v>5</v>
      </c>
      <c r="M13075" s="1" t="s">
        <v>677</v>
      </c>
      <c r="N13075" s="1" t="s">
        <v>466</v>
      </c>
      <c r="P13075" s="1" t="s">
        <v>457</v>
      </c>
      <c r="Q13075" s="1">
        <v>0</v>
      </c>
      <c r="S13075" s="1">
        <v>0</v>
      </c>
      <c r="T13075" s="1">
        <v>0</v>
      </c>
      <c r="V13075" s="1">
        <f t="shared" si="254"/>
        <v>0</v>
      </c>
      <c r="W13075" s="1" t="s">
        <v>5</v>
      </c>
      <c r="X13075" s="26"/>
      <c r="Y13075" s="23">
        <v>0</v>
      </c>
      <c r="Z13075" s="11">
        <v>0</v>
      </c>
      <c r="AA13075" s="11">
        <v>0</v>
      </c>
    </row>
    <row r="13076" spans="1:27" x14ac:dyDescent="0.2">
      <c r="A13076" s="1">
        <v>61</v>
      </c>
      <c r="B13076" s="1" t="s">
        <v>156</v>
      </c>
      <c r="C13076" s="1" t="s">
        <v>157</v>
      </c>
      <c r="D13076" s="1">
        <v>1853</v>
      </c>
      <c r="E13076" s="11">
        <v>0</v>
      </c>
      <c r="G13076" s="1">
        <v>0</v>
      </c>
      <c r="H13076" s="1" t="s">
        <v>5</v>
      </c>
      <c r="M13076" s="1" t="s">
        <v>677</v>
      </c>
      <c r="N13076" s="1" t="s">
        <v>466</v>
      </c>
      <c r="P13076" s="1" t="s">
        <v>457</v>
      </c>
      <c r="Q13076" s="1">
        <v>0</v>
      </c>
      <c r="S13076" s="1">
        <v>0</v>
      </c>
      <c r="T13076" s="1">
        <v>0</v>
      </c>
      <c r="V13076" s="1">
        <f t="shared" si="254"/>
        <v>0</v>
      </c>
      <c r="W13076" s="1" t="s">
        <v>5</v>
      </c>
      <c r="X13076" s="26"/>
      <c r="Y13076" s="23">
        <v>0</v>
      </c>
      <c r="Z13076" s="11">
        <v>0</v>
      </c>
      <c r="AA13076" s="11">
        <v>0</v>
      </c>
    </row>
    <row r="13077" spans="1:27" x14ac:dyDescent="0.2">
      <c r="A13077" s="1">
        <v>61</v>
      </c>
      <c r="B13077" s="1" t="s">
        <v>156</v>
      </c>
      <c r="C13077" s="1" t="s">
        <v>157</v>
      </c>
      <c r="D13077" s="1">
        <v>1854</v>
      </c>
      <c r="E13077" s="11">
        <v>0</v>
      </c>
      <c r="G13077" s="1">
        <v>0</v>
      </c>
      <c r="H13077" s="1" t="s">
        <v>5</v>
      </c>
      <c r="M13077" s="1" t="s">
        <v>677</v>
      </c>
      <c r="N13077" s="1" t="s">
        <v>466</v>
      </c>
      <c r="P13077" s="1" t="s">
        <v>457</v>
      </c>
      <c r="Q13077" s="1">
        <v>0</v>
      </c>
      <c r="S13077" s="1">
        <v>0</v>
      </c>
      <c r="T13077" s="1">
        <v>0</v>
      </c>
      <c r="V13077" s="1">
        <f t="shared" si="254"/>
        <v>0</v>
      </c>
      <c r="W13077" s="1" t="s">
        <v>5</v>
      </c>
      <c r="X13077" s="26"/>
      <c r="Y13077" s="23">
        <v>0</v>
      </c>
      <c r="Z13077" s="11">
        <v>0</v>
      </c>
      <c r="AA13077" s="11">
        <v>0</v>
      </c>
    </row>
    <row r="13078" spans="1:27" x14ac:dyDescent="0.2">
      <c r="A13078" s="1">
        <v>61</v>
      </c>
      <c r="B13078" s="1" t="s">
        <v>156</v>
      </c>
      <c r="C13078" s="1" t="s">
        <v>157</v>
      </c>
      <c r="D13078" s="1">
        <v>1855</v>
      </c>
      <c r="E13078" s="11">
        <v>0</v>
      </c>
      <c r="G13078" s="1">
        <v>0</v>
      </c>
      <c r="H13078" s="1" t="s">
        <v>5</v>
      </c>
      <c r="M13078" s="1" t="s">
        <v>677</v>
      </c>
      <c r="N13078" s="1" t="s">
        <v>466</v>
      </c>
      <c r="P13078" s="1" t="s">
        <v>457</v>
      </c>
      <c r="Q13078" s="1">
        <v>0</v>
      </c>
      <c r="S13078" s="1">
        <v>0</v>
      </c>
      <c r="T13078" s="1">
        <v>0</v>
      </c>
      <c r="V13078" s="1">
        <f t="shared" si="254"/>
        <v>0</v>
      </c>
      <c r="W13078" s="1" t="s">
        <v>5</v>
      </c>
      <c r="X13078" s="26"/>
      <c r="Y13078" s="23">
        <v>0</v>
      </c>
      <c r="Z13078" s="11">
        <v>0</v>
      </c>
      <c r="AA13078" s="11">
        <v>0</v>
      </c>
    </row>
    <row r="13079" spans="1:27" x14ac:dyDescent="0.2">
      <c r="A13079" s="1">
        <v>61</v>
      </c>
      <c r="B13079" s="1" t="s">
        <v>156</v>
      </c>
      <c r="C13079" s="1" t="s">
        <v>157</v>
      </c>
      <c r="D13079" s="1">
        <v>1856</v>
      </c>
      <c r="E13079" s="11">
        <v>0</v>
      </c>
      <c r="G13079" s="1">
        <v>0</v>
      </c>
      <c r="H13079" s="1" t="s">
        <v>5</v>
      </c>
      <c r="M13079" s="1" t="s">
        <v>677</v>
      </c>
      <c r="N13079" s="1" t="s">
        <v>466</v>
      </c>
      <c r="P13079" s="1" t="s">
        <v>457</v>
      </c>
      <c r="Q13079" s="1">
        <v>0</v>
      </c>
      <c r="S13079" s="1">
        <v>0</v>
      </c>
      <c r="T13079" s="1">
        <v>0</v>
      </c>
      <c r="V13079" s="1">
        <f t="shared" si="254"/>
        <v>0</v>
      </c>
      <c r="W13079" s="1" t="s">
        <v>5</v>
      </c>
      <c r="X13079" s="26"/>
      <c r="Y13079" s="23">
        <v>0</v>
      </c>
      <c r="Z13079" s="11">
        <v>0</v>
      </c>
      <c r="AA13079" s="11">
        <v>0</v>
      </c>
    </row>
    <row r="13080" spans="1:27" x14ac:dyDescent="0.2">
      <c r="A13080" s="1">
        <v>61</v>
      </c>
      <c r="B13080" s="1" t="s">
        <v>156</v>
      </c>
      <c r="C13080" s="1" t="s">
        <v>157</v>
      </c>
      <c r="D13080" s="1">
        <v>1857</v>
      </c>
      <c r="E13080" s="11">
        <v>0</v>
      </c>
      <c r="G13080" s="1">
        <v>0</v>
      </c>
      <c r="H13080" s="1" t="s">
        <v>5</v>
      </c>
      <c r="M13080" s="1" t="s">
        <v>677</v>
      </c>
      <c r="N13080" s="1" t="s">
        <v>466</v>
      </c>
      <c r="P13080" s="1" t="s">
        <v>457</v>
      </c>
      <c r="Q13080" s="1">
        <v>0</v>
      </c>
      <c r="S13080" s="1">
        <v>0</v>
      </c>
      <c r="T13080" s="1">
        <v>0</v>
      </c>
      <c r="V13080" s="1">
        <f t="shared" si="254"/>
        <v>0</v>
      </c>
      <c r="W13080" s="1" t="s">
        <v>5</v>
      </c>
      <c r="X13080" s="26"/>
      <c r="Y13080" s="23">
        <v>0</v>
      </c>
      <c r="Z13080" s="11">
        <v>0</v>
      </c>
      <c r="AA13080" s="11">
        <v>0</v>
      </c>
    </row>
    <row r="13081" spans="1:27" x14ac:dyDescent="0.2">
      <c r="A13081" s="1">
        <v>61</v>
      </c>
      <c r="B13081" s="1" t="s">
        <v>156</v>
      </c>
      <c r="C13081" s="1" t="s">
        <v>157</v>
      </c>
      <c r="D13081" s="1">
        <v>1858</v>
      </c>
      <c r="E13081" s="11">
        <v>0</v>
      </c>
      <c r="G13081" s="1">
        <v>0</v>
      </c>
      <c r="H13081" s="1" t="s">
        <v>5</v>
      </c>
      <c r="M13081" s="1" t="s">
        <v>677</v>
      </c>
      <c r="N13081" s="1" t="s">
        <v>466</v>
      </c>
      <c r="P13081" s="1" t="s">
        <v>457</v>
      </c>
      <c r="Q13081" s="1">
        <v>0</v>
      </c>
      <c r="S13081" s="1">
        <v>0</v>
      </c>
      <c r="T13081" s="1">
        <v>0</v>
      </c>
      <c r="V13081" s="1">
        <f t="shared" si="254"/>
        <v>0</v>
      </c>
      <c r="W13081" s="1" t="s">
        <v>5</v>
      </c>
      <c r="X13081" s="26"/>
      <c r="Y13081" s="23">
        <v>0</v>
      </c>
      <c r="Z13081" s="11">
        <v>0</v>
      </c>
      <c r="AA13081" s="11">
        <v>0</v>
      </c>
    </row>
    <row r="13082" spans="1:27" ht="12.95" customHeight="1" x14ac:dyDescent="0.2">
      <c r="A13082" s="1">
        <v>61</v>
      </c>
      <c r="B13082" s="1" t="s">
        <v>156</v>
      </c>
      <c r="C13082" s="1" t="s">
        <v>157</v>
      </c>
      <c r="D13082" s="1">
        <v>1859</v>
      </c>
      <c r="E13082" s="11">
        <v>0</v>
      </c>
      <c r="G13082" s="1">
        <v>0</v>
      </c>
      <c r="H13082" s="1" t="s">
        <v>5</v>
      </c>
      <c r="M13082" s="1" t="s">
        <v>677</v>
      </c>
      <c r="N13082" s="1" t="s">
        <v>466</v>
      </c>
      <c r="P13082" s="1" t="s">
        <v>457</v>
      </c>
      <c r="Q13082" s="1">
        <v>0</v>
      </c>
      <c r="S13082" s="1">
        <v>0</v>
      </c>
      <c r="T13082" s="1">
        <v>0</v>
      </c>
      <c r="V13082" s="1">
        <f t="shared" si="254"/>
        <v>0</v>
      </c>
      <c r="W13082" s="1" t="s">
        <v>5</v>
      </c>
      <c r="X13082" s="26"/>
      <c r="Y13082" s="23">
        <v>0</v>
      </c>
      <c r="Z13082" s="11">
        <v>0</v>
      </c>
      <c r="AA13082" s="11">
        <v>0</v>
      </c>
    </row>
    <row r="13083" spans="1:27" ht="12.95" customHeight="1" x14ac:dyDescent="0.2">
      <c r="A13083" s="1">
        <v>61</v>
      </c>
      <c r="B13083" s="1" t="s">
        <v>156</v>
      </c>
      <c r="C13083" s="1" t="s">
        <v>157</v>
      </c>
      <c r="D13083" s="1">
        <v>1860</v>
      </c>
      <c r="E13083" s="11">
        <v>0</v>
      </c>
      <c r="G13083" s="1">
        <v>0</v>
      </c>
      <c r="H13083" s="1" t="s">
        <v>5</v>
      </c>
      <c r="M13083" s="1" t="s">
        <v>677</v>
      </c>
      <c r="N13083" s="1" t="s">
        <v>466</v>
      </c>
      <c r="P13083" s="1" t="s">
        <v>457</v>
      </c>
      <c r="Q13083" s="1">
        <v>0</v>
      </c>
      <c r="S13083" s="1">
        <v>0</v>
      </c>
      <c r="T13083" s="1">
        <v>0</v>
      </c>
      <c r="V13083" s="1">
        <f t="shared" si="254"/>
        <v>0</v>
      </c>
      <c r="W13083" s="1" t="s">
        <v>5</v>
      </c>
      <c r="X13083" s="26"/>
      <c r="Y13083" s="23">
        <v>0</v>
      </c>
      <c r="Z13083" s="11">
        <v>0</v>
      </c>
      <c r="AA13083" s="11">
        <v>0</v>
      </c>
    </row>
    <row r="13084" spans="1:27" x14ac:dyDescent="0.2">
      <c r="A13084" s="1">
        <v>61</v>
      </c>
      <c r="B13084" s="1" t="s">
        <v>156</v>
      </c>
      <c r="C13084" s="1" t="s">
        <v>157</v>
      </c>
      <c r="D13084" s="1">
        <v>1861</v>
      </c>
      <c r="E13084" s="11">
        <v>0</v>
      </c>
      <c r="G13084" s="1">
        <v>0</v>
      </c>
      <c r="H13084" s="1" t="s">
        <v>5</v>
      </c>
      <c r="M13084" s="1" t="s">
        <v>677</v>
      </c>
      <c r="N13084" s="1" t="s">
        <v>466</v>
      </c>
      <c r="P13084" s="1" t="s">
        <v>457</v>
      </c>
      <c r="Q13084" s="1">
        <v>0</v>
      </c>
      <c r="S13084" s="1">
        <v>0</v>
      </c>
      <c r="T13084" s="1">
        <v>0</v>
      </c>
      <c r="V13084" s="1">
        <f t="shared" si="254"/>
        <v>0</v>
      </c>
      <c r="W13084" s="1" t="s">
        <v>5</v>
      </c>
      <c r="X13084" s="26"/>
      <c r="Y13084" s="23">
        <v>0</v>
      </c>
      <c r="Z13084" s="11">
        <v>0</v>
      </c>
      <c r="AA13084" s="11">
        <v>0</v>
      </c>
    </row>
    <row r="13085" spans="1:27" x14ac:dyDescent="0.2">
      <c r="A13085" s="1">
        <v>61</v>
      </c>
      <c r="B13085" s="1" t="s">
        <v>156</v>
      </c>
      <c r="C13085" s="1" t="s">
        <v>157</v>
      </c>
      <c r="D13085" s="1">
        <v>1862</v>
      </c>
      <c r="E13085" s="11">
        <v>0</v>
      </c>
      <c r="G13085" s="1">
        <v>0</v>
      </c>
      <c r="H13085" s="1" t="s">
        <v>5</v>
      </c>
      <c r="M13085" s="1" t="s">
        <v>677</v>
      </c>
      <c r="N13085" s="1" t="s">
        <v>466</v>
      </c>
      <c r="P13085" s="1" t="s">
        <v>457</v>
      </c>
      <c r="Q13085" s="1">
        <v>0</v>
      </c>
      <c r="S13085" s="1">
        <v>0</v>
      </c>
      <c r="T13085" s="1">
        <v>0</v>
      </c>
      <c r="V13085" s="1">
        <f t="shared" si="254"/>
        <v>0</v>
      </c>
      <c r="W13085" s="1" t="s">
        <v>5</v>
      </c>
      <c r="X13085" s="26"/>
      <c r="Y13085" s="23">
        <v>0</v>
      </c>
      <c r="Z13085" s="11">
        <v>0</v>
      </c>
      <c r="AA13085" s="11">
        <v>0</v>
      </c>
    </row>
    <row r="13086" spans="1:27" x14ac:dyDescent="0.2">
      <c r="A13086" s="1">
        <v>61</v>
      </c>
      <c r="B13086" s="1" t="s">
        <v>156</v>
      </c>
      <c r="C13086" s="1" t="s">
        <v>157</v>
      </c>
      <c r="D13086" s="1">
        <v>1863</v>
      </c>
      <c r="E13086" s="11">
        <v>0</v>
      </c>
      <c r="G13086" s="1">
        <v>0</v>
      </c>
      <c r="H13086" s="1" t="s">
        <v>5</v>
      </c>
      <c r="M13086" s="1" t="s">
        <v>677</v>
      </c>
      <c r="N13086" s="1" t="s">
        <v>466</v>
      </c>
      <c r="P13086" s="1" t="s">
        <v>457</v>
      </c>
      <c r="Q13086" s="1">
        <v>0</v>
      </c>
      <c r="S13086" s="1">
        <v>0</v>
      </c>
      <c r="T13086" s="1">
        <v>0</v>
      </c>
      <c r="V13086" s="1">
        <f t="shared" si="254"/>
        <v>0</v>
      </c>
      <c r="W13086" s="1" t="s">
        <v>5</v>
      </c>
      <c r="X13086" s="26"/>
      <c r="Y13086" s="23">
        <v>0</v>
      </c>
      <c r="Z13086" s="11">
        <v>0</v>
      </c>
      <c r="AA13086" s="11">
        <v>0</v>
      </c>
    </row>
    <row r="13087" spans="1:27" x14ac:dyDescent="0.2">
      <c r="A13087" s="1">
        <v>61</v>
      </c>
      <c r="B13087" s="1" t="s">
        <v>156</v>
      </c>
      <c r="C13087" s="1" t="s">
        <v>157</v>
      </c>
      <c r="D13087" s="1">
        <v>1864</v>
      </c>
      <c r="E13087" s="11">
        <v>0</v>
      </c>
      <c r="G13087" s="1">
        <v>0</v>
      </c>
      <c r="H13087" s="1" t="s">
        <v>5</v>
      </c>
      <c r="M13087" s="1" t="s">
        <v>677</v>
      </c>
      <c r="N13087" s="1" t="s">
        <v>466</v>
      </c>
      <c r="P13087" s="1" t="s">
        <v>457</v>
      </c>
      <c r="Q13087" s="1">
        <v>0</v>
      </c>
      <c r="S13087" s="1">
        <v>0</v>
      </c>
      <c r="T13087" s="1">
        <v>0</v>
      </c>
      <c r="V13087" s="1">
        <f t="shared" ref="V13087:V13150" si="255">0.09*S13087</f>
        <v>0</v>
      </c>
      <c r="W13087" s="1" t="s">
        <v>5</v>
      </c>
      <c r="X13087" s="26"/>
      <c r="Y13087" s="23">
        <v>0</v>
      </c>
      <c r="Z13087" s="11">
        <v>0</v>
      </c>
      <c r="AA13087" s="11">
        <v>0</v>
      </c>
    </row>
    <row r="13088" spans="1:27" x14ac:dyDescent="0.2">
      <c r="A13088" s="1">
        <v>61</v>
      </c>
      <c r="B13088" s="1" t="s">
        <v>156</v>
      </c>
      <c r="C13088" s="1" t="s">
        <v>157</v>
      </c>
      <c r="D13088" s="1">
        <v>1865</v>
      </c>
      <c r="E13088" s="11">
        <v>0</v>
      </c>
      <c r="G13088" s="1">
        <v>0</v>
      </c>
      <c r="H13088" s="1" t="s">
        <v>5</v>
      </c>
      <c r="M13088" s="1" t="s">
        <v>677</v>
      </c>
      <c r="N13088" s="1" t="s">
        <v>466</v>
      </c>
      <c r="P13088" s="1" t="s">
        <v>457</v>
      </c>
      <c r="Q13088" s="1">
        <v>0</v>
      </c>
      <c r="S13088" s="1">
        <v>0</v>
      </c>
      <c r="T13088" s="1">
        <v>0</v>
      </c>
      <c r="V13088" s="1">
        <f t="shared" si="255"/>
        <v>0</v>
      </c>
      <c r="W13088" s="1" t="s">
        <v>5</v>
      </c>
      <c r="X13088" s="26"/>
      <c r="Y13088" s="23">
        <v>0</v>
      </c>
      <c r="Z13088" s="11">
        <v>0</v>
      </c>
      <c r="AA13088" s="11">
        <v>0</v>
      </c>
    </row>
    <row r="13089" spans="1:27" ht="12.95" customHeight="1" x14ac:dyDescent="0.2">
      <c r="A13089" s="1">
        <v>61</v>
      </c>
      <c r="B13089" s="1" t="s">
        <v>156</v>
      </c>
      <c r="C13089" s="1" t="s">
        <v>157</v>
      </c>
      <c r="D13089" s="1">
        <v>1866</v>
      </c>
      <c r="E13089" s="11">
        <v>0</v>
      </c>
      <c r="G13089" s="1">
        <v>0</v>
      </c>
      <c r="H13089" s="1" t="s">
        <v>5</v>
      </c>
      <c r="M13089" s="1" t="s">
        <v>677</v>
      </c>
      <c r="N13089" s="1" t="s">
        <v>466</v>
      </c>
      <c r="P13089" s="1" t="s">
        <v>457</v>
      </c>
      <c r="Q13089" s="1">
        <v>0</v>
      </c>
      <c r="S13089" s="1">
        <v>0</v>
      </c>
      <c r="T13089" s="1">
        <v>0</v>
      </c>
      <c r="V13089" s="1">
        <f t="shared" si="255"/>
        <v>0</v>
      </c>
      <c r="W13089" s="1" t="s">
        <v>5</v>
      </c>
      <c r="X13089" s="26"/>
      <c r="Y13089" s="23">
        <v>0</v>
      </c>
      <c r="Z13089" s="11">
        <v>0</v>
      </c>
      <c r="AA13089" s="11">
        <v>0</v>
      </c>
    </row>
    <row r="13090" spans="1:27" ht="12.75" customHeight="1" x14ac:dyDescent="0.2">
      <c r="A13090" s="1">
        <v>61</v>
      </c>
      <c r="B13090" s="1" t="s">
        <v>156</v>
      </c>
      <c r="C13090" s="1" t="s">
        <v>157</v>
      </c>
      <c r="D13090" s="1">
        <v>1867</v>
      </c>
      <c r="E13090" s="11">
        <v>0</v>
      </c>
      <c r="G13090" s="1">
        <v>0</v>
      </c>
      <c r="H13090" s="1" t="s">
        <v>5</v>
      </c>
      <c r="M13090" s="1" t="s">
        <v>677</v>
      </c>
      <c r="N13090" s="1" t="s">
        <v>466</v>
      </c>
      <c r="P13090" s="1" t="s">
        <v>457</v>
      </c>
      <c r="Q13090" s="1">
        <v>0</v>
      </c>
      <c r="S13090" s="1">
        <v>0</v>
      </c>
      <c r="T13090" s="1">
        <v>0</v>
      </c>
      <c r="V13090" s="1">
        <f t="shared" si="255"/>
        <v>0</v>
      </c>
      <c r="W13090" s="1" t="s">
        <v>5</v>
      </c>
      <c r="X13090" s="26"/>
      <c r="Y13090" s="23">
        <v>0</v>
      </c>
      <c r="Z13090" s="11">
        <v>0</v>
      </c>
      <c r="AA13090" s="11">
        <v>0</v>
      </c>
    </row>
    <row r="13091" spans="1:27" ht="12.75" customHeight="1" x14ac:dyDescent="0.2">
      <c r="A13091" s="1">
        <v>61</v>
      </c>
      <c r="B13091" s="1" t="s">
        <v>156</v>
      </c>
      <c r="C13091" s="1" t="s">
        <v>157</v>
      </c>
      <c r="D13091" s="1">
        <v>1868</v>
      </c>
      <c r="E13091" s="11">
        <v>0</v>
      </c>
      <c r="G13091" s="1">
        <v>0</v>
      </c>
      <c r="H13091" s="1" t="s">
        <v>5</v>
      </c>
      <c r="M13091" s="1" t="s">
        <v>677</v>
      </c>
      <c r="N13091" s="1" t="s">
        <v>466</v>
      </c>
      <c r="P13091" s="1" t="s">
        <v>457</v>
      </c>
      <c r="Q13091" s="1">
        <v>0</v>
      </c>
      <c r="S13091" s="1">
        <v>0</v>
      </c>
      <c r="T13091" s="1">
        <v>0</v>
      </c>
      <c r="V13091" s="1">
        <f t="shared" si="255"/>
        <v>0</v>
      </c>
      <c r="W13091" s="1" t="s">
        <v>5</v>
      </c>
      <c r="X13091" s="26"/>
      <c r="Y13091" s="23">
        <v>0</v>
      </c>
      <c r="Z13091" s="11">
        <v>0</v>
      </c>
      <c r="AA13091" s="11">
        <v>0</v>
      </c>
    </row>
    <row r="13092" spans="1:27" ht="12.75" customHeight="1" x14ac:dyDescent="0.2">
      <c r="A13092" s="1">
        <v>61</v>
      </c>
      <c r="B13092" s="1" t="s">
        <v>156</v>
      </c>
      <c r="C13092" s="1" t="s">
        <v>157</v>
      </c>
      <c r="D13092" s="1">
        <v>1869</v>
      </c>
      <c r="E13092" s="11">
        <v>0</v>
      </c>
      <c r="G13092" s="1">
        <v>0</v>
      </c>
      <c r="H13092" s="1" t="s">
        <v>5</v>
      </c>
      <c r="M13092" s="1" t="s">
        <v>677</v>
      </c>
      <c r="N13092" s="1" t="s">
        <v>466</v>
      </c>
      <c r="P13092" s="1" t="s">
        <v>457</v>
      </c>
      <c r="Q13092" s="1">
        <v>0</v>
      </c>
      <c r="S13092" s="1">
        <v>0</v>
      </c>
      <c r="T13092" s="1">
        <v>0</v>
      </c>
      <c r="V13092" s="1">
        <f t="shared" si="255"/>
        <v>0</v>
      </c>
      <c r="W13092" s="1" t="s">
        <v>5</v>
      </c>
      <c r="X13092" s="26"/>
      <c r="Y13092" s="23">
        <v>0</v>
      </c>
      <c r="Z13092" s="11">
        <v>0</v>
      </c>
      <c r="AA13092" s="11">
        <v>0</v>
      </c>
    </row>
    <row r="13093" spans="1:27" ht="12.75" customHeight="1" x14ac:dyDescent="0.2">
      <c r="A13093" s="1">
        <v>61</v>
      </c>
      <c r="B13093" s="1" t="s">
        <v>156</v>
      </c>
      <c r="C13093" s="1" t="s">
        <v>157</v>
      </c>
      <c r="D13093" s="1">
        <v>1870</v>
      </c>
      <c r="E13093" s="11">
        <v>0</v>
      </c>
      <c r="G13093" s="1">
        <v>0</v>
      </c>
      <c r="H13093" s="1" t="s">
        <v>5</v>
      </c>
      <c r="M13093" s="1" t="s">
        <v>677</v>
      </c>
      <c r="N13093" s="1" t="s">
        <v>466</v>
      </c>
      <c r="P13093" s="1" t="s">
        <v>457</v>
      </c>
      <c r="Q13093" s="1">
        <v>0</v>
      </c>
      <c r="S13093" s="1">
        <v>0</v>
      </c>
      <c r="T13093" s="1">
        <v>0</v>
      </c>
      <c r="V13093" s="1">
        <f t="shared" si="255"/>
        <v>0</v>
      </c>
      <c r="W13093" s="1" t="s">
        <v>5</v>
      </c>
      <c r="X13093" s="26"/>
      <c r="Y13093" s="23">
        <v>0</v>
      </c>
      <c r="Z13093" s="11">
        <v>0</v>
      </c>
      <c r="AA13093" s="11">
        <v>0</v>
      </c>
    </row>
    <row r="13094" spans="1:27" ht="12.75" customHeight="1" x14ac:dyDescent="0.2">
      <c r="A13094" s="1">
        <v>61</v>
      </c>
      <c r="B13094" s="1" t="s">
        <v>156</v>
      </c>
      <c r="C13094" s="1" t="s">
        <v>157</v>
      </c>
      <c r="D13094" s="1">
        <v>1871</v>
      </c>
      <c r="E13094" s="11">
        <v>0</v>
      </c>
      <c r="G13094" s="1">
        <v>0</v>
      </c>
      <c r="H13094" s="1" t="s">
        <v>5</v>
      </c>
      <c r="M13094" s="1" t="s">
        <v>677</v>
      </c>
      <c r="N13094" s="1" t="s">
        <v>466</v>
      </c>
      <c r="P13094" s="1" t="s">
        <v>457</v>
      </c>
      <c r="Q13094" s="1">
        <v>0</v>
      </c>
      <c r="S13094" s="1">
        <v>0</v>
      </c>
      <c r="T13094" s="1">
        <v>0</v>
      </c>
      <c r="V13094" s="1">
        <f t="shared" si="255"/>
        <v>0</v>
      </c>
      <c r="W13094" s="1" t="s">
        <v>5</v>
      </c>
      <c r="X13094" s="26"/>
      <c r="Y13094" s="23">
        <v>0</v>
      </c>
      <c r="Z13094" s="11">
        <v>0</v>
      </c>
      <c r="AA13094" s="11">
        <v>0</v>
      </c>
    </row>
    <row r="13095" spans="1:27" ht="12.75" customHeight="1" x14ac:dyDescent="0.2">
      <c r="A13095" s="1">
        <v>61</v>
      </c>
      <c r="B13095" s="1" t="s">
        <v>156</v>
      </c>
      <c r="C13095" s="1" t="s">
        <v>157</v>
      </c>
      <c r="D13095" s="1">
        <v>1872</v>
      </c>
      <c r="E13095" s="11">
        <v>0</v>
      </c>
      <c r="G13095" s="1">
        <v>0</v>
      </c>
      <c r="H13095" s="1" t="s">
        <v>5</v>
      </c>
      <c r="M13095" s="1" t="s">
        <v>677</v>
      </c>
      <c r="N13095" s="1" t="s">
        <v>466</v>
      </c>
      <c r="P13095" s="1" t="s">
        <v>457</v>
      </c>
      <c r="Q13095" s="1">
        <v>0</v>
      </c>
      <c r="S13095" s="1">
        <v>0</v>
      </c>
      <c r="T13095" s="1">
        <v>0</v>
      </c>
      <c r="V13095" s="1">
        <f t="shared" si="255"/>
        <v>0</v>
      </c>
      <c r="W13095" s="1" t="s">
        <v>5</v>
      </c>
      <c r="X13095" s="26"/>
      <c r="Y13095" s="23">
        <v>0</v>
      </c>
      <c r="Z13095" s="11">
        <v>0</v>
      </c>
      <c r="AA13095" s="11">
        <v>0</v>
      </c>
    </row>
    <row r="13096" spans="1:27" x14ac:dyDescent="0.2">
      <c r="A13096" s="1">
        <v>61</v>
      </c>
      <c r="B13096" s="1" t="s">
        <v>156</v>
      </c>
      <c r="C13096" s="1" t="s">
        <v>157</v>
      </c>
      <c r="D13096" s="1">
        <v>1873</v>
      </c>
      <c r="E13096" s="11">
        <v>0</v>
      </c>
      <c r="G13096" s="1">
        <v>0</v>
      </c>
      <c r="H13096" s="1" t="s">
        <v>5</v>
      </c>
      <c r="M13096" s="1" t="s">
        <v>677</v>
      </c>
      <c r="N13096" s="1" t="s">
        <v>466</v>
      </c>
      <c r="P13096" s="1" t="s">
        <v>457</v>
      </c>
      <c r="Q13096" s="1">
        <v>0</v>
      </c>
      <c r="S13096" s="1">
        <v>0</v>
      </c>
      <c r="T13096" s="1">
        <v>0</v>
      </c>
      <c r="V13096" s="1">
        <f t="shared" si="255"/>
        <v>0</v>
      </c>
      <c r="W13096" s="1" t="s">
        <v>5</v>
      </c>
      <c r="X13096" s="26"/>
      <c r="Y13096" s="23">
        <v>0</v>
      </c>
      <c r="Z13096" s="11">
        <v>0</v>
      </c>
      <c r="AA13096" s="11">
        <v>0</v>
      </c>
    </row>
    <row r="13097" spans="1:27" x14ac:dyDescent="0.2">
      <c r="A13097" s="1">
        <v>61</v>
      </c>
      <c r="B13097" s="1" t="s">
        <v>156</v>
      </c>
      <c r="C13097" s="1" t="s">
        <v>157</v>
      </c>
      <c r="D13097" s="1">
        <v>1874</v>
      </c>
      <c r="E13097" s="11">
        <v>0</v>
      </c>
      <c r="G13097" s="1">
        <v>0</v>
      </c>
      <c r="H13097" s="1" t="s">
        <v>5</v>
      </c>
      <c r="M13097" s="1" t="s">
        <v>677</v>
      </c>
      <c r="N13097" s="1" t="s">
        <v>466</v>
      </c>
      <c r="P13097" s="1" t="s">
        <v>457</v>
      </c>
      <c r="Q13097" s="1">
        <v>0</v>
      </c>
      <c r="S13097" s="1">
        <v>0</v>
      </c>
      <c r="T13097" s="1">
        <v>0</v>
      </c>
      <c r="V13097" s="1">
        <f t="shared" si="255"/>
        <v>0</v>
      </c>
      <c r="W13097" s="1" t="s">
        <v>5</v>
      </c>
      <c r="X13097" s="26"/>
      <c r="Y13097" s="23">
        <v>0</v>
      </c>
      <c r="Z13097" s="11">
        <v>0</v>
      </c>
      <c r="AA13097" s="11">
        <v>0</v>
      </c>
    </row>
    <row r="13098" spans="1:27" x14ac:dyDescent="0.2">
      <c r="A13098" s="1">
        <v>61</v>
      </c>
      <c r="B13098" s="1" t="s">
        <v>156</v>
      </c>
      <c r="C13098" s="1" t="s">
        <v>157</v>
      </c>
      <c r="D13098" s="1">
        <v>1875</v>
      </c>
      <c r="E13098" s="11">
        <v>0</v>
      </c>
      <c r="G13098" s="1">
        <v>0</v>
      </c>
      <c r="H13098" s="1" t="s">
        <v>5</v>
      </c>
      <c r="M13098" s="1" t="s">
        <v>677</v>
      </c>
      <c r="N13098" s="1" t="s">
        <v>466</v>
      </c>
      <c r="P13098" s="1" t="s">
        <v>457</v>
      </c>
      <c r="Q13098" s="1">
        <v>0</v>
      </c>
      <c r="S13098" s="1">
        <v>0</v>
      </c>
      <c r="T13098" s="1">
        <v>0</v>
      </c>
      <c r="V13098" s="1">
        <f t="shared" si="255"/>
        <v>0</v>
      </c>
      <c r="W13098" s="1" t="s">
        <v>5</v>
      </c>
      <c r="X13098" s="26"/>
      <c r="Y13098" s="23">
        <v>0</v>
      </c>
      <c r="Z13098" s="11">
        <v>0</v>
      </c>
      <c r="AA13098" s="11">
        <v>0</v>
      </c>
    </row>
    <row r="13099" spans="1:27" x14ac:dyDescent="0.2">
      <c r="A13099" s="1">
        <v>61</v>
      </c>
      <c r="B13099" s="1" t="s">
        <v>156</v>
      </c>
      <c r="C13099" s="1" t="s">
        <v>157</v>
      </c>
      <c r="D13099" s="1">
        <v>1876</v>
      </c>
      <c r="E13099" s="11">
        <v>0</v>
      </c>
      <c r="G13099" s="1">
        <v>0</v>
      </c>
      <c r="H13099" s="1" t="s">
        <v>5</v>
      </c>
      <c r="M13099" s="1" t="s">
        <v>677</v>
      </c>
      <c r="N13099" s="1" t="s">
        <v>466</v>
      </c>
      <c r="P13099" s="1" t="s">
        <v>457</v>
      </c>
      <c r="Q13099" s="1">
        <v>0</v>
      </c>
      <c r="S13099" s="1">
        <v>0</v>
      </c>
      <c r="T13099" s="1">
        <v>0</v>
      </c>
      <c r="V13099" s="1">
        <f t="shared" si="255"/>
        <v>0</v>
      </c>
      <c r="W13099" s="1" t="s">
        <v>5</v>
      </c>
      <c r="X13099" s="26"/>
      <c r="Y13099" s="23">
        <v>0</v>
      </c>
      <c r="Z13099" s="11">
        <v>0</v>
      </c>
      <c r="AA13099" s="11">
        <v>0</v>
      </c>
    </row>
    <row r="13100" spans="1:27" x14ac:dyDescent="0.2">
      <c r="A13100" s="1">
        <v>61</v>
      </c>
      <c r="B13100" s="1" t="s">
        <v>156</v>
      </c>
      <c r="C13100" s="1" t="s">
        <v>157</v>
      </c>
      <c r="D13100" s="1">
        <v>1877</v>
      </c>
      <c r="E13100" s="11">
        <v>0</v>
      </c>
      <c r="G13100" s="1">
        <v>0</v>
      </c>
      <c r="H13100" s="1" t="s">
        <v>5</v>
      </c>
      <c r="M13100" s="1" t="s">
        <v>677</v>
      </c>
      <c r="N13100" s="1" t="s">
        <v>466</v>
      </c>
      <c r="P13100" s="1" t="s">
        <v>457</v>
      </c>
      <c r="Q13100" s="1">
        <v>0</v>
      </c>
      <c r="S13100" s="1">
        <v>0</v>
      </c>
      <c r="T13100" s="1">
        <v>0</v>
      </c>
      <c r="V13100" s="1">
        <f t="shared" si="255"/>
        <v>0</v>
      </c>
      <c r="W13100" s="1" t="s">
        <v>5</v>
      </c>
      <c r="X13100" s="39"/>
      <c r="Y13100" s="23">
        <v>0</v>
      </c>
      <c r="Z13100" s="11">
        <v>0</v>
      </c>
      <c r="AA13100" s="11">
        <v>0</v>
      </c>
    </row>
    <row r="13101" spans="1:27" x14ac:dyDescent="0.2">
      <c r="A13101" s="1">
        <v>61</v>
      </c>
      <c r="B13101" s="1" t="s">
        <v>156</v>
      </c>
      <c r="C13101" s="1" t="s">
        <v>157</v>
      </c>
      <c r="D13101" s="1">
        <v>1878</v>
      </c>
      <c r="E13101" s="11">
        <v>0</v>
      </c>
      <c r="G13101" s="1">
        <v>0</v>
      </c>
      <c r="H13101" s="1" t="s">
        <v>5</v>
      </c>
      <c r="M13101" s="1" t="s">
        <v>677</v>
      </c>
      <c r="N13101" s="1" t="s">
        <v>466</v>
      </c>
      <c r="P13101" s="1" t="s">
        <v>457</v>
      </c>
      <c r="Q13101" s="1">
        <v>0</v>
      </c>
      <c r="S13101" s="1">
        <v>0</v>
      </c>
      <c r="T13101" s="1">
        <v>0</v>
      </c>
      <c r="V13101" s="1">
        <f t="shared" si="255"/>
        <v>0</v>
      </c>
      <c r="W13101" s="1" t="s">
        <v>5</v>
      </c>
      <c r="X13101" s="39"/>
      <c r="Y13101" s="23">
        <v>0</v>
      </c>
      <c r="Z13101" s="11">
        <v>0</v>
      </c>
      <c r="AA13101" s="11">
        <v>0</v>
      </c>
    </row>
    <row r="13102" spans="1:27" x14ac:dyDescent="0.2">
      <c r="A13102" s="1">
        <v>61</v>
      </c>
      <c r="B13102" s="1" t="s">
        <v>156</v>
      </c>
      <c r="C13102" s="1" t="s">
        <v>157</v>
      </c>
      <c r="D13102" s="1">
        <v>1879</v>
      </c>
      <c r="E13102" s="11">
        <v>0</v>
      </c>
      <c r="G13102" s="1">
        <v>0</v>
      </c>
      <c r="H13102" s="1" t="s">
        <v>5</v>
      </c>
      <c r="M13102" s="1" t="s">
        <v>677</v>
      </c>
      <c r="N13102" s="1" t="s">
        <v>466</v>
      </c>
      <c r="P13102" s="1" t="s">
        <v>457</v>
      </c>
      <c r="Q13102" s="1">
        <v>0</v>
      </c>
      <c r="S13102" s="1">
        <v>0</v>
      </c>
      <c r="T13102" s="1">
        <v>0</v>
      </c>
      <c r="V13102" s="1">
        <f t="shared" si="255"/>
        <v>0</v>
      </c>
      <c r="W13102" s="1" t="s">
        <v>5</v>
      </c>
      <c r="X13102" s="39"/>
      <c r="Y13102" s="23">
        <v>0</v>
      </c>
      <c r="Z13102" s="11">
        <v>0</v>
      </c>
      <c r="AA13102" s="11">
        <v>0</v>
      </c>
    </row>
    <row r="13103" spans="1:27" x14ac:dyDescent="0.2">
      <c r="A13103" s="1">
        <v>61</v>
      </c>
      <c r="B13103" s="1" t="s">
        <v>156</v>
      </c>
      <c r="C13103" s="1" t="s">
        <v>157</v>
      </c>
      <c r="D13103" s="1">
        <v>1880</v>
      </c>
      <c r="E13103" s="11">
        <v>0</v>
      </c>
      <c r="G13103" s="1">
        <v>0</v>
      </c>
      <c r="H13103" s="1" t="s">
        <v>5</v>
      </c>
      <c r="M13103" s="1" t="s">
        <v>677</v>
      </c>
      <c r="N13103" s="1" t="s">
        <v>466</v>
      </c>
      <c r="P13103" s="1" t="s">
        <v>457</v>
      </c>
      <c r="Q13103" s="1">
        <v>0</v>
      </c>
      <c r="S13103" s="1">
        <v>0</v>
      </c>
      <c r="T13103" s="1">
        <v>0</v>
      </c>
      <c r="V13103" s="1">
        <f t="shared" si="255"/>
        <v>0</v>
      </c>
      <c r="W13103" s="1" t="s">
        <v>5</v>
      </c>
      <c r="X13103" s="39"/>
      <c r="Y13103" s="23">
        <v>0</v>
      </c>
      <c r="Z13103" s="11">
        <v>0</v>
      </c>
      <c r="AA13103" s="11">
        <v>0</v>
      </c>
    </row>
    <row r="13104" spans="1:27" x14ac:dyDescent="0.2">
      <c r="A13104" s="1">
        <v>61</v>
      </c>
      <c r="B13104" s="1" t="s">
        <v>156</v>
      </c>
      <c r="C13104" s="1" t="s">
        <v>157</v>
      </c>
      <c r="D13104" s="1">
        <v>1881</v>
      </c>
      <c r="E13104" s="11">
        <v>0</v>
      </c>
      <c r="G13104" s="1">
        <v>0</v>
      </c>
      <c r="H13104" s="1" t="s">
        <v>5</v>
      </c>
      <c r="M13104" s="1" t="s">
        <v>677</v>
      </c>
      <c r="N13104" s="1" t="s">
        <v>466</v>
      </c>
      <c r="P13104" s="1" t="s">
        <v>457</v>
      </c>
      <c r="Q13104" s="1">
        <v>0</v>
      </c>
      <c r="S13104" s="1">
        <v>0</v>
      </c>
      <c r="T13104" s="1">
        <v>0</v>
      </c>
      <c r="V13104" s="1">
        <f t="shared" si="255"/>
        <v>0</v>
      </c>
      <c r="W13104" s="1" t="s">
        <v>5</v>
      </c>
      <c r="X13104" s="39"/>
      <c r="Y13104" s="23">
        <v>0</v>
      </c>
      <c r="Z13104" s="11">
        <v>0</v>
      </c>
      <c r="AA13104" s="11">
        <v>0</v>
      </c>
    </row>
    <row r="13105" spans="1:27" x14ac:dyDescent="0.2">
      <c r="A13105" s="1">
        <v>61</v>
      </c>
      <c r="B13105" s="1" t="s">
        <v>156</v>
      </c>
      <c r="C13105" s="1" t="s">
        <v>157</v>
      </c>
      <c r="D13105" s="1">
        <v>1882</v>
      </c>
      <c r="E13105" s="11">
        <v>0</v>
      </c>
      <c r="G13105" s="1">
        <v>0</v>
      </c>
      <c r="H13105" s="1" t="s">
        <v>5</v>
      </c>
      <c r="M13105" s="1" t="s">
        <v>677</v>
      </c>
      <c r="N13105" s="1" t="s">
        <v>466</v>
      </c>
      <c r="P13105" s="1" t="s">
        <v>457</v>
      </c>
      <c r="Q13105" s="1">
        <v>0</v>
      </c>
      <c r="S13105" s="1">
        <v>0</v>
      </c>
      <c r="T13105" s="1">
        <v>0</v>
      </c>
      <c r="V13105" s="1">
        <f t="shared" si="255"/>
        <v>0</v>
      </c>
      <c r="W13105" s="1" t="s">
        <v>5</v>
      </c>
      <c r="X13105" s="39"/>
      <c r="Y13105" s="23">
        <v>0</v>
      </c>
      <c r="Z13105" s="11">
        <v>0</v>
      </c>
      <c r="AA13105" s="11">
        <v>0</v>
      </c>
    </row>
    <row r="13106" spans="1:27" x14ac:dyDescent="0.2">
      <c r="A13106" s="1">
        <v>61</v>
      </c>
      <c r="B13106" s="1" t="s">
        <v>156</v>
      </c>
      <c r="C13106" s="1" t="s">
        <v>157</v>
      </c>
      <c r="D13106" s="1">
        <v>1883</v>
      </c>
      <c r="E13106" s="11">
        <v>0</v>
      </c>
      <c r="G13106" s="1">
        <v>0</v>
      </c>
      <c r="H13106" s="1" t="s">
        <v>5</v>
      </c>
      <c r="M13106" s="1" t="s">
        <v>677</v>
      </c>
      <c r="N13106" s="1" t="s">
        <v>466</v>
      </c>
      <c r="P13106" s="1" t="s">
        <v>457</v>
      </c>
      <c r="Q13106" s="1">
        <v>0</v>
      </c>
      <c r="S13106" s="1">
        <v>0</v>
      </c>
      <c r="T13106" s="1">
        <v>0</v>
      </c>
      <c r="V13106" s="1">
        <f t="shared" si="255"/>
        <v>0</v>
      </c>
      <c r="W13106" s="1" t="s">
        <v>5</v>
      </c>
      <c r="X13106" s="39"/>
      <c r="Y13106" s="23">
        <v>0</v>
      </c>
      <c r="Z13106" s="11">
        <v>0</v>
      </c>
      <c r="AA13106" s="11">
        <v>0</v>
      </c>
    </row>
    <row r="13107" spans="1:27" x14ac:dyDescent="0.2">
      <c r="A13107" s="1">
        <v>61</v>
      </c>
      <c r="B13107" s="1" t="s">
        <v>156</v>
      </c>
      <c r="C13107" s="1" t="s">
        <v>157</v>
      </c>
      <c r="D13107" s="1">
        <v>1884</v>
      </c>
      <c r="E13107" s="11">
        <v>0</v>
      </c>
      <c r="G13107" s="1">
        <v>0</v>
      </c>
      <c r="H13107" s="1" t="s">
        <v>5</v>
      </c>
      <c r="M13107" s="1" t="s">
        <v>677</v>
      </c>
      <c r="N13107" s="1" t="s">
        <v>466</v>
      </c>
      <c r="P13107" s="1" t="s">
        <v>457</v>
      </c>
      <c r="Q13107" s="1">
        <v>0</v>
      </c>
      <c r="S13107" s="1">
        <v>0</v>
      </c>
      <c r="T13107" s="1">
        <v>0</v>
      </c>
      <c r="V13107" s="1">
        <f t="shared" si="255"/>
        <v>0</v>
      </c>
      <c r="W13107" s="1" t="s">
        <v>5</v>
      </c>
      <c r="X13107" s="39"/>
      <c r="Y13107" s="23">
        <v>0</v>
      </c>
      <c r="Z13107" s="11">
        <v>0</v>
      </c>
      <c r="AA13107" s="11">
        <v>0</v>
      </c>
    </row>
    <row r="13108" spans="1:27" x14ac:dyDescent="0.2">
      <c r="A13108" s="1">
        <v>61</v>
      </c>
      <c r="B13108" s="1" t="s">
        <v>156</v>
      </c>
      <c r="C13108" s="1" t="s">
        <v>157</v>
      </c>
      <c r="D13108" s="1">
        <v>1885</v>
      </c>
      <c r="E13108" s="11">
        <v>0</v>
      </c>
      <c r="G13108" s="1">
        <v>0</v>
      </c>
      <c r="H13108" s="1" t="s">
        <v>5</v>
      </c>
      <c r="M13108" s="1" t="s">
        <v>677</v>
      </c>
      <c r="N13108" s="1" t="s">
        <v>466</v>
      </c>
      <c r="P13108" s="1" t="s">
        <v>457</v>
      </c>
      <c r="Q13108" s="1">
        <v>0</v>
      </c>
      <c r="S13108" s="1">
        <v>0</v>
      </c>
      <c r="T13108" s="1">
        <v>0</v>
      </c>
      <c r="V13108" s="1">
        <f t="shared" si="255"/>
        <v>0</v>
      </c>
      <c r="W13108" s="1" t="s">
        <v>5</v>
      </c>
      <c r="X13108" s="39"/>
      <c r="Y13108" s="23">
        <v>0</v>
      </c>
      <c r="Z13108" s="11">
        <v>0</v>
      </c>
      <c r="AA13108" s="11">
        <v>0</v>
      </c>
    </row>
    <row r="13109" spans="1:27" x14ac:dyDescent="0.2">
      <c r="A13109" s="1">
        <v>61</v>
      </c>
      <c r="B13109" s="1" t="s">
        <v>156</v>
      </c>
      <c r="C13109" s="1" t="s">
        <v>157</v>
      </c>
      <c r="D13109" s="1">
        <v>1886</v>
      </c>
      <c r="E13109" s="11">
        <v>0</v>
      </c>
      <c r="G13109" s="1">
        <v>0</v>
      </c>
      <c r="H13109" s="1" t="s">
        <v>5</v>
      </c>
      <c r="M13109" s="1" t="s">
        <v>677</v>
      </c>
      <c r="N13109" s="1" t="s">
        <v>466</v>
      </c>
      <c r="P13109" s="1" t="s">
        <v>457</v>
      </c>
      <c r="Q13109" s="1">
        <v>0</v>
      </c>
      <c r="S13109" s="1">
        <v>0</v>
      </c>
      <c r="T13109" s="1">
        <v>0</v>
      </c>
      <c r="V13109" s="1">
        <f t="shared" si="255"/>
        <v>0</v>
      </c>
      <c r="W13109" s="1" t="s">
        <v>5</v>
      </c>
      <c r="X13109" s="39"/>
      <c r="Y13109" s="23">
        <v>0</v>
      </c>
      <c r="Z13109" s="11">
        <v>0</v>
      </c>
      <c r="AA13109" s="11">
        <v>0</v>
      </c>
    </row>
    <row r="13110" spans="1:27" x14ac:dyDescent="0.2">
      <c r="A13110" s="1">
        <v>61</v>
      </c>
      <c r="B13110" s="1" t="s">
        <v>156</v>
      </c>
      <c r="C13110" s="1" t="s">
        <v>157</v>
      </c>
      <c r="D13110" s="1">
        <v>1887</v>
      </c>
      <c r="E13110" s="11">
        <v>0</v>
      </c>
      <c r="G13110" s="1">
        <v>0</v>
      </c>
      <c r="H13110" s="1" t="s">
        <v>5</v>
      </c>
      <c r="M13110" s="1" t="s">
        <v>677</v>
      </c>
      <c r="N13110" s="1" t="s">
        <v>466</v>
      </c>
      <c r="P13110" s="1" t="s">
        <v>457</v>
      </c>
      <c r="Q13110" s="1">
        <v>0</v>
      </c>
      <c r="S13110" s="1">
        <v>0</v>
      </c>
      <c r="T13110" s="1">
        <v>0</v>
      </c>
      <c r="V13110" s="1">
        <f t="shared" si="255"/>
        <v>0</v>
      </c>
      <c r="W13110" s="1" t="s">
        <v>5</v>
      </c>
      <c r="X13110" s="39"/>
      <c r="Y13110" s="23">
        <v>0</v>
      </c>
      <c r="Z13110" s="11">
        <v>0</v>
      </c>
      <c r="AA13110" s="11">
        <v>0</v>
      </c>
    </row>
    <row r="13111" spans="1:27" x14ac:dyDescent="0.2">
      <c r="A13111" s="1">
        <v>61</v>
      </c>
      <c r="B13111" s="1" t="s">
        <v>156</v>
      </c>
      <c r="C13111" s="1" t="s">
        <v>157</v>
      </c>
      <c r="D13111" s="1">
        <v>1888</v>
      </c>
      <c r="E13111" s="11">
        <v>0</v>
      </c>
      <c r="G13111" s="1">
        <v>0</v>
      </c>
      <c r="H13111" s="1" t="s">
        <v>5</v>
      </c>
      <c r="M13111" s="1" t="s">
        <v>677</v>
      </c>
      <c r="N13111" s="1" t="s">
        <v>466</v>
      </c>
      <c r="P13111" s="1" t="s">
        <v>457</v>
      </c>
      <c r="Q13111" s="1">
        <v>0</v>
      </c>
      <c r="S13111" s="1">
        <v>0</v>
      </c>
      <c r="T13111" s="1">
        <v>0</v>
      </c>
      <c r="V13111" s="1">
        <f t="shared" si="255"/>
        <v>0</v>
      </c>
      <c r="W13111" s="1" t="s">
        <v>5</v>
      </c>
      <c r="X13111" s="39"/>
      <c r="Y13111" s="23">
        <v>0</v>
      </c>
      <c r="Z13111" s="11">
        <v>0</v>
      </c>
      <c r="AA13111" s="11">
        <v>0</v>
      </c>
    </row>
    <row r="13112" spans="1:27" x14ac:dyDescent="0.2">
      <c r="A13112" s="1">
        <v>61</v>
      </c>
      <c r="B13112" s="1" t="s">
        <v>156</v>
      </c>
      <c r="C13112" s="1" t="s">
        <v>157</v>
      </c>
      <c r="D13112" s="1">
        <v>1889</v>
      </c>
      <c r="E13112" s="11">
        <v>0</v>
      </c>
      <c r="G13112" s="1">
        <v>0</v>
      </c>
      <c r="H13112" s="1" t="s">
        <v>5</v>
      </c>
      <c r="M13112" s="1" t="s">
        <v>677</v>
      </c>
      <c r="N13112" s="1" t="s">
        <v>466</v>
      </c>
      <c r="P13112" s="1" t="s">
        <v>457</v>
      </c>
      <c r="Q13112" s="1">
        <v>0</v>
      </c>
      <c r="S13112" s="1">
        <v>0</v>
      </c>
      <c r="T13112" s="1">
        <v>0</v>
      </c>
      <c r="V13112" s="1">
        <f t="shared" si="255"/>
        <v>0</v>
      </c>
      <c r="W13112" s="1" t="s">
        <v>5</v>
      </c>
      <c r="X13112" s="39"/>
      <c r="Y13112" s="23">
        <v>0</v>
      </c>
      <c r="Z13112" s="11">
        <v>0</v>
      </c>
      <c r="AA13112" s="11">
        <v>0</v>
      </c>
    </row>
    <row r="13113" spans="1:27" x14ac:dyDescent="0.2">
      <c r="A13113" s="1">
        <v>61</v>
      </c>
      <c r="B13113" s="1" t="s">
        <v>156</v>
      </c>
      <c r="C13113" s="1" t="s">
        <v>157</v>
      </c>
      <c r="D13113" s="1">
        <v>1890</v>
      </c>
      <c r="E13113" s="11">
        <v>0</v>
      </c>
      <c r="G13113" s="1">
        <v>0</v>
      </c>
      <c r="H13113" s="1" t="s">
        <v>5</v>
      </c>
      <c r="M13113" s="1" t="s">
        <v>677</v>
      </c>
      <c r="N13113" s="1" t="s">
        <v>466</v>
      </c>
      <c r="P13113" s="1" t="s">
        <v>457</v>
      </c>
      <c r="Q13113" s="1">
        <v>0</v>
      </c>
      <c r="S13113" s="1">
        <v>0</v>
      </c>
      <c r="T13113" s="1">
        <v>0</v>
      </c>
      <c r="V13113" s="1">
        <f t="shared" si="255"/>
        <v>0</v>
      </c>
      <c r="W13113" s="1" t="s">
        <v>5</v>
      </c>
      <c r="X13113" s="39"/>
      <c r="Y13113" s="23">
        <v>0</v>
      </c>
      <c r="Z13113" s="11">
        <v>0</v>
      </c>
      <c r="AA13113" s="11">
        <v>0</v>
      </c>
    </row>
    <row r="13114" spans="1:27" x14ac:dyDescent="0.2">
      <c r="A13114" s="1">
        <v>61</v>
      </c>
      <c r="B13114" s="1" t="s">
        <v>156</v>
      </c>
      <c r="C13114" s="1" t="s">
        <v>157</v>
      </c>
      <c r="D13114" s="1">
        <v>1891</v>
      </c>
      <c r="E13114" s="11">
        <v>0</v>
      </c>
      <c r="G13114" s="1">
        <v>0</v>
      </c>
      <c r="H13114" s="1" t="s">
        <v>5</v>
      </c>
      <c r="M13114" s="1" t="s">
        <v>677</v>
      </c>
      <c r="N13114" s="1" t="s">
        <v>466</v>
      </c>
      <c r="P13114" s="1" t="s">
        <v>457</v>
      </c>
      <c r="Q13114" s="1">
        <v>0</v>
      </c>
      <c r="S13114" s="1">
        <v>0</v>
      </c>
      <c r="T13114" s="1">
        <v>0</v>
      </c>
      <c r="V13114" s="1">
        <f t="shared" si="255"/>
        <v>0</v>
      </c>
      <c r="W13114" s="1" t="s">
        <v>5</v>
      </c>
      <c r="X13114" s="39"/>
      <c r="Y13114" s="23">
        <v>0</v>
      </c>
      <c r="Z13114" s="11">
        <v>0</v>
      </c>
      <c r="AA13114" s="11">
        <v>0</v>
      </c>
    </row>
    <row r="13115" spans="1:27" x14ac:dyDescent="0.2">
      <c r="A13115" s="1">
        <v>61</v>
      </c>
      <c r="B13115" s="1" t="s">
        <v>156</v>
      </c>
      <c r="C13115" s="1" t="s">
        <v>157</v>
      </c>
      <c r="D13115" s="1">
        <v>1892</v>
      </c>
      <c r="E13115" s="11">
        <v>0</v>
      </c>
      <c r="G13115" s="1">
        <v>0</v>
      </c>
      <c r="H13115" s="1" t="s">
        <v>5</v>
      </c>
      <c r="M13115" s="1" t="s">
        <v>677</v>
      </c>
      <c r="N13115" s="1" t="s">
        <v>466</v>
      </c>
      <c r="P13115" s="1" t="s">
        <v>457</v>
      </c>
      <c r="Q13115" s="1">
        <v>0</v>
      </c>
      <c r="S13115" s="1">
        <v>0</v>
      </c>
      <c r="T13115" s="1">
        <v>0</v>
      </c>
      <c r="V13115" s="1">
        <f t="shared" si="255"/>
        <v>0</v>
      </c>
      <c r="W13115" s="1" t="s">
        <v>5</v>
      </c>
      <c r="X13115" s="39"/>
      <c r="Y13115" s="23">
        <v>0</v>
      </c>
      <c r="Z13115" s="11">
        <v>0</v>
      </c>
      <c r="AA13115" s="11">
        <v>0</v>
      </c>
    </row>
    <row r="13116" spans="1:27" x14ac:dyDescent="0.2">
      <c r="A13116" s="1">
        <v>61</v>
      </c>
      <c r="B13116" s="1" t="s">
        <v>156</v>
      </c>
      <c r="C13116" s="1" t="s">
        <v>157</v>
      </c>
      <c r="D13116" s="1">
        <v>1893</v>
      </c>
      <c r="E13116" s="11">
        <v>0</v>
      </c>
      <c r="G13116" s="1">
        <v>0</v>
      </c>
      <c r="H13116" s="1" t="s">
        <v>5</v>
      </c>
      <c r="M13116" s="1" t="s">
        <v>677</v>
      </c>
      <c r="N13116" s="1" t="s">
        <v>466</v>
      </c>
      <c r="P13116" s="1" t="s">
        <v>457</v>
      </c>
      <c r="Q13116" s="1">
        <v>0</v>
      </c>
      <c r="S13116" s="1">
        <v>0</v>
      </c>
      <c r="T13116" s="1">
        <v>0</v>
      </c>
      <c r="V13116" s="1">
        <f t="shared" si="255"/>
        <v>0</v>
      </c>
      <c r="W13116" s="1" t="s">
        <v>5</v>
      </c>
      <c r="X13116" s="39"/>
      <c r="Y13116" s="23">
        <v>0</v>
      </c>
      <c r="Z13116" s="11">
        <v>0</v>
      </c>
      <c r="AA13116" s="11">
        <v>0</v>
      </c>
    </row>
    <row r="13117" spans="1:27" x14ac:dyDescent="0.2">
      <c r="A13117" s="1">
        <v>61</v>
      </c>
      <c r="B13117" s="1" t="s">
        <v>156</v>
      </c>
      <c r="C13117" s="1" t="s">
        <v>157</v>
      </c>
      <c r="D13117" s="1">
        <v>1894</v>
      </c>
      <c r="E13117" s="11">
        <v>0</v>
      </c>
      <c r="G13117" s="1">
        <v>0</v>
      </c>
      <c r="H13117" s="1" t="s">
        <v>5</v>
      </c>
      <c r="M13117" s="1" t="s">
        <v>677</v>
      </c>
      <c r="N13117" s="1" t="s">
        <v>466</v>
      </c>
      <c r="P13117" s="1" t="s">
        <v>457</v>
      </c>
      <c r="Q13117" s="1">
        <v>0</v>
      </c>
      <c r="S13117" s="1">
        <v>0</v>
      </c>
      <c r="T13117" s="1">
        <v>0</v>
      </c>
      <c r="V13117" s="1">
        <f t="shared" si="255"/>
        <v>0</v>
      </c>
      <c r="W13117" s="1" t="s">
        <v>5</v>
      </c>
      <c r="X13117" s="39"/>
      <c r="Y13117" s="23">
        <v>0</v>
      </c>
      <c r="Z13117" s="11">
        <v>0</v>
      </c>
      <c r="AA13117" s="11">
        <v>0</v>
      </c>
    </row>
    <row r="13118" spans="1:27" x14ac:dyDescent="0.2">
      <c r="A13118" s="1">
        <v>61</v>
      </c>
      <c r="B13118" s="1" t="s">
        <v>156</v>
      </c>
      <c r="C13118" s="1" t="s">
        <v>157</v>
      </c>
      <c r="D13118" s="1">
        <v>1895</v>
      </c>
      <c r="E13118" s="11">
        <v>0</v>
      </c>
      <c r="G13118" s="1">
        <v>0</v>
      </c>
      <c r="H13118" s="1" t="s">
        <v>5</v>
      </c>
      <c r="I13118" s="1">
        <v>1.9277</v>
      </c>
      <c r="J13118" s="1">
        <v>4.8192500000000003E-5</v>
      </c>
      <c r="M13118" s="1" t="s">
        <v>677</v>
      </c>
      <c r="N13118" s="1" t="s">
        <v>466</v>
      </c>
      <c r="P13118" s="1" t="s">
        <v>457</v>
      </c>
      <c r="Q13118" s="1">
        <v>0</v>
      </c>
      <c r="S13118" s="1">
        <v>0</v>
      </c>
      <c r="T13118" s="1">
        <v>0</v>
      </c>
      <c r="V13118" s="1">
        <f t="shared" si="255"/>
        <v>0</v>
      </c>
      <c r="W13118" s="1" t="s">
        <v>5</v>
      </c>
      <c r="X13118" s="39"/>
      <c r="Y13118" s="23">
        <v>0</v>
      </c>
      <c r="Z13118" s="11">
        <v>0</v>
      </c>
      <c r="AA13118" s="11">
        <v>0</v>
      </c>
    </row>
    <row r="13119" spans="1:27" x14ac:dyDescent="0.2">
      <c r="A13119" s="1">
        <v>61</v>
      </c>
      <c r="B13119" s="1" t="s">
        <v>156</v>
      </c>
      <c r="C13119" s="1" t="s">
        <v>157</v>
      </c>
      <c r="D13119" s="1">
        <v>1896</v>
      </c>
      <c r="E13119" s="11">
        <v>0</v>
      </c>
      <c r="G13119" s="1">
        <v>0</v>
      </c>
      <c r="H13119" s="1" t="s">
        <v>5</v>
      </c>
      <c r="I13119" s="1">
        <v>1.9370000000000001</v>
      </c>
      <c r="J13119" s="1">
        <v>4.8424999999999998E-5</v>
      </c>
      <c r="M13119" s="1" t="s">
        <v>677</v>
      </c>
      <c r="N13119" s="1" t="s">
        <v>466</v>
      </c>
      <c r="P13119" s="1" t="s">
        <v>457</v>
      </c>
      <c r="Q13119" s="1">
        <v>0</v>
      </c>
      <c r="S13119" s="1">
        <v>0</v>
      </c>
      <c r="T13119" s="1">
        <v>0</v>
      </c>
      <c r="V13119" s="1">
        <f t="shared" si="255"/>
        <v>0</v>
      </c>
      <c r="W13119" s="1" t="s">
        <v>5</v>
      </c>
      <c r="X13119" s="39"/>
      <c r="Y13119" s="23">
        <v>0</v>
      </c>
      <c r="Z13119" s="11">
        <v>0</v>
      </c>
      <c r="AA13119" s="11">
        <v>0</v>
      </c>
    </row>
    <row r="13120" spans="1:27" x14ac:dyDescent="0.2">
      <c r="A13120" s="1">
        <v>61</v>
      </c>
      <c r="B13120" s="1" t="s">
        <v>156</v>
      </c>
      <c r="C13120" s="1" t="s">
        <v>157</v>
      </c>
      <c r="D13120" s="1">
        <v>1897</v>
      </c>
      <c r="E13120" s="11">
        <v>0</v>
      </c>
      <c r="G13120" s="1">
        <v>0</v>
      </c>
      <c r="H13120" s="1" t="s">
        <v>5</v>
      </c>
      <c r="I13120" s="1">
        <v>2.0566</v>
      </c>
      <c r="J13120" s="1">
        <v>5.1415000000000002E-5</v>
      </c>
      <c r="M13120" s="1" t="s">
        <v>677</v>
      </c>
      <c r="N13120" s="1" t="s">
        <v>466</v>
      </c>
      <c r="P13120" s="1" t="s">
        <v>457</v>
      </c>
      <c r="Q13120" s="1">
        <v>0</v>
      </c>
      <c r="S13120" s="1">
        <v>0</v>
      </c>
      <c r="T13120" s="1">
        <v>0</v>
      </c>
      <c r="V13120" s="1">
        <f t="shared" si="255"/>
        <v>0</v>
      </c>
      <c r="W13120" s="1" t="s">
        <v>5</v>
      </c>
      <c r="X13120" s="39"/>
      <c r="Y13120" s="23">
        <v>0</v>
      </c>
      <c r="Z13120" s="11">
        <v>0</v>
      </c>
      <c r="AA13120" s="11">
        <v>0</v>
      </c>
    </row>
    <row r="13121" spans="1:27" x14ac:dyDescent="0.2">
      <c r="A13121" s="1">
        <v>61</v>
      </c>
      <c r="B13121" s="1" t="s">
        <v>156</v>
      </c>
      <c r="C13121" s="1" t="s">
        <v>157</v>
      </c>
      <c r="D13121" s="1">
        <v>1898</v>
      </c>
      <c r="E13121" s="11">
        <v>0</v>
      </c>
      <c r="G13121" s="1">
        <v>0</v>
      </c>
      <c r="H13121" s="1" t="s">
        <v>5</v>
      </c>
      <c r="I13121" s="1">
        <v>2.0253000000000001</v>
      </c>
      <c r="J13121" s="1">
        <v>5.06325E-5</v>
      </c>
      <c r="M13121" s="1" t="s">
        <v>677</v>
      </c>
      <c r="N13121" s="1" t="s">
        <v>466</v>
      </c>
      <c r="P13121" s="1" t="s">
        <v>457</v>
      </c>
      <c r="Q13121" s="1">
        <v>0</v>
      </c>
      <c r="S13121" s="1">
        <v>0</v>
      </c>
      <c r="T13121" s="1">
        <v>0</v>
      </c>
      <c r="V13121" s="1">
        <f t="shared" si="255"/>
        <v>0</v>
      </c>
      <c r="W13121" s="1" t="s">
        <v>5</v>
      </c>
      <c r="X13121" s="39">
        <v>8.4158415841584233</v>
      </c>
      <c r="Y13121" s="23">
        <v>0</v>
      </c>
      <c r="Z13121" s="11">
        <v>0</v>
      </c>
      <c r="AA13121" s="11">
        <v>0</v>
      </c>
    </row>
    <row r="13122" spans="1:27" x14ac:dyDescent="0.2">
      <c r="A13122" s="1">
        <v>61</v>
      </c>
      <c r="B13122" s="1" t="s">
        <v>156</v>
      </c>
      <c r="C13122" s="1" t="s">
        <v>157</v>
      </c>
      <c r="D13122" s="1">
        <v>1899</v>
      </c>
      <c r="E13122" s="11">
        <v>0</v>
      </c>
      <c r="G13122" s="1">
        <v>0</v>
      </c>
      <c r="H13122" s="1" t="s">
        <v>5</v>
      </c>
      <c r="I13122" s="1">
        <v>2.0228000000000002</v>
      </c>
      <c r="J13122" s="1">
        <v>5.0569999999999999E-5</v>
      </c>
      <c r="M13122" s="1" t="s">
        <v>677</v>
      </c>
      <c r="N13122" s="1" t="s">
        <v>466</v>
      </c>
      <c r="P13122" s="1" t="s">
        <v>457</v>
      </c>
      <c r="Q13122" s="1">
        <v>0</v>
      </c>
      <c r="S13122" s="1">
        <v>0</v>
      </c>
      <c r="T13122" s="1">
        <v>0</v>
      </c>
      <c r="V13122" s="1">
        <f t="shared" si="255"/>
        <v>0</v>
      </c>
      <c r="W13122" s="1" t="s">
        <v>5</v>
      </c>
      <c r="X13122" s="39">
        <v>-5.4794520547945202</v>
      </c>
      <c r="Y13122" s="23">
        <v>0</v>
      </c>
      <c r="Z13122" s="11">
        <v>0</v>
      </c>
      <c r="AA13122" s="11">
        <v>0</v>
      </c>
    </row>
    <row r="13123" spans="1:27" x14ac:dyDescent="0.2">
      <c r="A13123" s="1">
        <v>61</v>
      </c>
      <c r="B13123" s="1" t="s">
        <v>156</v>
      </c>
      <c r="C13123" s="1" t="s">
        <v>157</v>
      </c>
      <c r="D13123" s="1">
        <v>1900</v>
      </c>
      <c r="E13123" s="11">
        <v>0</v>
      </c>
      <c r="G13123" s="1">
        <v>0</v>
      </c>
      <c r="H13123" s="1" t="s">
        <v>5</v>
      </c>
      <c r="I13123" s="1">
        <v>2.0305</v>
      </c>
      <c r="J13123" s="1">
        <v>5.0762500000000001E-5</v>
      </c>
      <c r="M13123" s="1" t="s">
        <v>677</v>
      </c>
      <c r="N13123" s="1" t="s">
        <v>466</v>
      </c>
      <c r="P13123" s="1" t="s">
        <v>457</v>
      </c>
      <c r="Q13123" s="1">
        <v>0</v>
      </c>
      <c r="S13123" s="1">
        <v>0</v>
      </c>
      <c r="T13123" s="1">
        <v>0</v>
      </c>
      <c r="V13123" s="1">
        <f t="shared" si="255"/>
        <v>0</v>
      </c>
      <c r="W13123" s="1" t="s">
        <v>5</v>
      </c>
      <c r="X13123" s="39">
        <v>12.318840579710155</v>
      </c>
      <c r="Y13123" s="23">
        <v>0</v>
      </c>
      <c r="Z13123" s="11">
        <v>0</v>
      </c>
      <c r="AA13123" s="11">
        <v>0</v>
      </c>
    </row>
    <row r="13124" spans="1:27" ht="12.95" customHeight="1" x14ac:dyDescent="0.2">
      <c r="A13124" s="1">
        <v>61</v>
      </c>
      <c r="B13124" s="1" t="s">
        <v>156</v>
      </c>
      <c r="C13124" s="1" t="s">
        <v>157</v>
      </c>
      <c r="D13124" s="1">
        <v>1901</v>
      </c>
      <c r="E13124" s="11">
        <v>0</v>
      </c>
      <c r="G13124" s="1">
        <v>0</v>
      </c>
      <c r="H13124" s="1" t="s">
        <v>5</v>
      </c>
      <c r="I13124" s="1">
        <v>2.0253000000000001</v>
      </c>
      <c r="J13124" s="1">
        <v>5.06325E-5</v>
      </c>
      <c r="M13124" s="1" t="s">
        <v>677</v>
      </c>
      <c r="N13124" s="1" t="s">
        <v>466</v>
      </c>
      <c r="P13124" s="1" t="s">
        <v>457</v>
      </c>
      <c r="Q13124" s="1">
        <v>0</v>
      </c>
      <c r="S13124" s="1">
        <v>0</v>
      </c>
      <c r="T13124" s="1">
        <v>0</v>
      </c>
      <c r="V13124" s="1">
        <f t="shared" si="255"/>
        <v>0</v>
      </c>
      <c r="W13124" s="1" t="s">
        <v>5</v>
      </c>
      <c r="X13124" s="39">
        <v>-2.1505376344086002</v>
      </c>
      <c r="Y13124" s="23">
        <v>0</v>
      </c>
      <c r="Z13124" s="11">
        <v>0</v>
      </c>
      <c r="AA13124" s="11">
        <v>0</v>
      </c>
    </row>
    <row r="13125" spans="1:27" ht="12.95" customHeight="1" x14ac:dyDescent="0.2">
      <c r="A13125" s="1">
        <v>61</v>
      </c>
      <c r="B13125" s="1" t="s">
        <v>156</v>
      </c>
      <c r="C13125" s="1" t="s">
        <v>157</v>
      </c>
      <c r="D13125" s="1">
        <v>1902</v>
      </c>
      <c r="E13125" s="11">
        <v>0</v>
      </c>
      <c r="G13125" s="1">
        <v>0</v>
      </c>
      <c r="H13125" s="1" t="s">
        <v>5</v>
      </c>
      <c r="I13125" s="1">
        <v>2</v>
      </c>
      <c r="J13125" s="1">
        <v>5.0000000000000002E-5</v>
      </c>
      <c r="M13125" s="1" t="s">
        <v>677</v>
      </c>
      <c r="N13125" s="1" t="s">
        <v>466</v>
      </c>
      <c r="P13125" s="1" t="s">
        <v>457</v>
      </c>
      <c r="Q13125" s="1">
        <v>0</v>
      </c>
      <c r="S13125" s="1">
        <v>0</v>
      </c>
      <c r="T13125" s="1">
        <v>0</v>
      </c>
      <c r="V13125" s="1">
        <f t="shared" si="255"/>
        <v>0</v>
      </c>
      <c r="W13125" s="1" t="s">
        <v>5</v>
      </c>
      <c r="X13125" s="39">
        <v>3.7362637362637452</v>
      </c>
      <c r="Y13125" s="23">
        <v>0</v>
      </c>
      <c r="Z13125" s="11">
        <v>0</v>
      </c>
      <c r="AA13125" s="11">
        <v>0</v>
      </c>
    </row>
    <row r="13126" spans="1:27" x14ac:dyDescent="0.2">
      <c r="A13126" s="1">
        <v>61</v>
      </c>
      <c r="B13126" s="1" t="s">
        <v>156</v>
      </c>
      <c r="C13126" s="1" t="s">
        <v>157</v>
      </c>
      <c r="D13126" s="1">
        <v>1903</v>
      </c>
      <c r="E13126" s="11">
        <v>0</v>
      </c>
      <c r="G13126" s="1">
        <v>0</v>
      </c>
      <c r="H13126" s="1" t="s">
        <v>5</v>
      </c>
      <c r="I13126" s="1">
        <v>2.0381999999999998</v>
      </c>
      <c r="J13126" s="1">
        <v>5.0955000000000003E-5</v>
      </c>
      <c r="M13126" s="1" t="s">
        <v>677</v>
      </c>
      <c r="N13126" s="1" t="s">
        <v>466</v>
      </c>
      <c r="P13126" s="1" t="s">
        <v>457</v>
      </c>
      <c r="Q13126" s="1">
        <v>0</v>
      </c>
      <c r="S13126" s="1">
        <v>0</v>
      </c>
      <c r="T13126" s="1">
        <v>0</v>
      </c>
      <c r="V13126" s="1">
        <f t="shared" si="255"/>
        <v>0</v>
      </c>
      <c r="W13126" s="1" t="s">
        <v>5</v>
      </c>
      <c r="X13126" s="39">
        <v>5.0847457627118509</v>
      </c>
      <c r="Y13126" s="23">
        <v>0</v>
      </c>
      <c r="Z13126" s="11">
        <v>0</v>
      </c>
      <c r="AA13126" s="11">
        <v>0</v>
      </c>
    </row>
    <row r="13127" spans="1:27" x14ac:dyDescent="0.2">
      <c r="A13127" s="1">
        <v>61</v>
      </c>
      <c r="B13127" s="1" t="s">
        <v>156</v>
      </c>
      <c r="C13127" s="1" t="s">
        <v>157</v>
      </c>
      <c r="D13127" s="1">
        <v>1904</v>
      </c>
      <c r="E13127" s="11">
        <v>0</v>
      </c>
      <c r="G13127" s="1">
        <v>0</v>
      </c>
      <c r="H13127" s="1" t="s">
        <v>5</v>
      </c>
      <c r="I13127" s="1">
        <v>2.0356000000000001</v>
      </c>
      <c r="J13127" s="1">
        <v>5.0890000000000002E-5</v>
      </c>
      <c r="M13127" s="1" t="s">
        <v>677</v>
      </c>
      <c r="N13127" s="1" t="s">
        <v>466</v>
      </c>
      <c r="P13127" s="1" t="s">
        <v>457</v>
      </c>
      <c r="Q13127" s="1">
        <v>0</v>
      </c>
      <c r="S13127" s="1">
        <v>0</v>
      </c>
      <c r="T13127" s="1">
        <v>0</v>
      </c>
      <c r="V13127" s="1">
        <f t="shared" si="255"/>
        <v>0</v>
      </c>
      <c r="W13127" s="1" t="s">
        <v>5</v>
      </c>
      <c r="X13127" s="39">
        <v>9.4998079877112183</v>
      </c>
      <c r="Y13127" s="23">
        <v>0</v>
      </c>
      <c r="Z13127" s="11">
        <v>0</v>
      </c>
      <c r="AA13127" s="11">
        <v>0</v>
      </c>
    </row>
    <row r="13128" spans="1:27" x14ac:dyDescent="0.2">
      <c r="A13128" s="1">
        <v>61</v>
      </c>
      <c r="B13128" s="1" t="s">
        <v>156</v>
      </c>
      <c r="C13128" s="1" t="s">
        <v>157</v>
      </c>
      <c r="D13128" s="1">
        <v>1905</v>
      </c>
      <c r="E13128" s="11">
        <v>0</v>
      </c>
      <c r="G13128" s="1">
        <v>0</v>
      </c>
      <c r="H13128" s="1" t="s">
        <v>5</v>
      </c>
      <c r="I13128" s="1">
        <v>2.0125999999999999</v>
      </c>
      <c r="J13128" s="1">
        <v>5.0315000000000002E-5</v>
      </c>
      <c r="M13128" s="1" t="s">
        <v>677</v>
      </c>
      <c r="N13128" s="1" t="s">
        <v>466</v>
      </c>
      <c r="P13128" s="1" t="s">
        <v>457</v>
      </c>
      <c r="Q13128" s="1">
        <v>0</v>
      </c>
      <c r="S13128" s="1">
        <v>0</v>
      </c>
      <c r="T13128" s="1">
        <v>0</v>
      </c>
      <c r="V13128" s="1">
        <f t="shared" si="255"/>
        <v>0</v>
      </c>
      <c r="W13128" s="1" t="s">
        <v>5</v>
      </c>
      <c r="X13128" s="39">
        <v>4.7522319200896801</v>
      </c>
      <c r="Y13128" s="23">
        <v>0</v>
      </c>
      <c r="Z13128" s="11">
        <v>0</v>
      </c>
      <c r="AA13128" s="11">
        <v>0</v>
      </c>
    </row>
    <row r="13129" spans="1:27" x14ac:dyDescent="0.2">
      <c r="A13129" s="1">
        <v>61</v>
      </c>
      <c r="B13129" s="1" t="s">
        <v>156</v>
      </c>
      <c r="C13129" s="1" t="s">
        <v>157</v>
      </c>
      <c r="D13129" s="1">
        <v>1906</v>
      </c>
      <c r="E13129" s="11">
        <v>0</v>
      </c>
      <c r="G13129" s="1">
        <v>0</v>
      </c>
      <c r="H13129" s="1" t="s">
        <v>5</v>
      </c>
      <c r="I13129" s="1">
        <v>2.0305</v>
      </c>
      <c r="J13129" s="1">
        <v>5.0762500000000001E-5</v>
      </c>
      <c r="M13129" s="1" t="s">
        <v>677</v>
      </c>
      <c r="N13129" s="1" t="s">
        <v>466</v>
      </c>
      <c r="P13129" s="1" t="s">
        <v>457</v>
      </c>
      <c r="Q13129" s="1">
        <v>0</v>
      </c>
      <c r="S13129" s="1">
        <v>0</v>
      </c>
      <c r="T13129" s="1">
        <v>0</v>
      </c>
      <c r="V13129" s="1">
        <f t="shared" si="255"/>
        <v>0</v>
      </c>
      <c r="W13129" s="1" t="s">
        <v>5</v>
      </c>
      <c r="X13129" s="39">
        <v>8.756567425569628E-2</v>
      </c>
      <c r="Y13129" s="23">
        <v>0</v>
      </c>
      <c r="Z13129" s="11">
        <v>0</v>
      </c>
      <c r="AA13129" s="11">
        <v>0</v>
      </c>
    </row>
    <row r="13130" spans="1:27" x14ac:dyDescent="0.2">
      <c r="A13130" s="1">
        <v>61</v>
      </c>
      <c r="B13130" s="1" t="s">
        <v>156</v>
      </c>
      <c r="C13130" s="1" t="s">
        <v>157</v>
      </c>
      <c r="D13130" s="1">
        <v>1907</v>
      </c>
      <c r="E13130" s="11">
        <v>0</v>
      </c>
      <c r="G13130" s="1">
        <v>0</v>
      </c>
      <c r="H13130" s="1" t="s">
        <v>5</v>
      </c>
      <c r="I13130" s="1">
        <v>2.0305</v>
      </c>
      <c r="J13130" s="1">
        <v>5.0762500000000001E-5</v>
      </c>
      <c r="M13130" s="1" t="s">
        <v>677</v>
      </c>
      <c r="N13130" s="1" t="s">
        <v>466</v>
      </c>
      <c r="P13130" s="1" t="s">
        <v>457</v>
      </c>
      <c r="Q13130" s="1">
        <v>0</v>
      </c>
      <c r="S13130" s="1">
        <v>0</v>
      </c>
      <c r="T13130" s="1">
        <v>0</v>
      </c>
      <c r="V13130" s="1">
        <f t="shared" si="255"/>
        <v>0</v>
      </c>
      <c r="W13130" s="1" t="s">
        <v>5</v>
      </c>
      <c r="X13130" s="39">
        <v>0.17482517482516613</v>
      </c>
      <c r="Y13130" s="23">
        <v>0</v>
      </c>
      <c r="Z13130" s="11">
        <v>0</v>
      </c>
      <c r="AA13130" s="11">
        <v>0</v>
      </c>
    </row>
    <row r="13131" spans="1:27" x14ac:dyDescent="0.2">
      <c r="A13131" s="1">
        <v>61</v>
      </c>
      <c r="B13131" s="1" t="s">
        <v>156</v>
      </c>
      <c r="C13131" s="1" t="s">
        <v>157</v>
      </c>
      <c r="D13131" s="1">
        <v>1908</v>
      </c>
      <c r="E13131" s="11">
        <v>0</v>
      </c>
      <c r="G13131" s="1">
        <v>0</v>
      </c>
      <c r="H13131" s="1" t="s">
        <v>5</v>
      </c>
      <c r="I13131" s="1">
        <v>2.0202</v>
      </c>
      <c r="J13131" s="1">
        <v>5.0504999999999998E-5</v>
      </c>
      <c r="M13131" s="1" t="s">
        <v>677</v>
      </c>
      <c r="N13131" s="1" t="s">
        <v>466</v>
      </c>
      <c r="P13131" s="1" t="s">
        <v>457</v>
      </c>
      <c r="Q13131" s="1">
        <v>0</v>
      </c>
      <c r="S13131" s="1">
        <v>0</v>
      </c>
      <c r="T13131" s="1">
        <v>0</v>
      </c>
      <c r="V13131" s="1">
        <f t="shared" si="255"/>
        <v>0</v>
      </c>
      <c r="W13131" s="1" t="s">
        <v>5</v>
      </c>
      <c r="X13131" s="39">
        <v>5.6511324041811806</v>
      </c>
      <c r="Y13131" s="23">
        <v>0</v>
      </c>
      <c r="Z13131" s="11">
        <v>0</v>
      </c>
      <c r="AA13131" s="11">
        <v>0</v>
      </c>
    </row>
    <row r="13132" spans="1:27" x14ac:dyDescent="0.2">
      <c r="A13132" s="1">
        <v>61</v>
      </c>
      <c r="B13132" s="1" t="s">
        <v>156</v>
      </c>
      <c r="C13132" s="1" t="s">
        <v>157</v>
      </c>
      <c r="D13132" s="1">
        <v>1909</v>
      </c>
      <c r="E13132" s="11">
        <v>0</v>
      </c>
      <c r="G13132" s="1">
        <v>0</v>
      </c>
      <c r="H13132" s="1" t="s">
        <v>5</v>
      </c>
      <c r="I13132" s="1">
        <v>2.0202</v>
      </c>
      <c r="J13132" s="1">
        <v>5.0504999999999998E-5</v>
      </c>
      <c r="M13132" s="1" t="s">
        <v>677</v>
      </c>
      <c r="N13132" s="1" t="s">
        <v>466</v>
      </c>
      <c r="P13132" s="1" t="s">
        <v>457</v>
      </c>
      <c r="Q13132" s="1">
        <v>0</v>
      </c>
      <c r="S13132" s="1">
        <v>0</v>
      </c>
      <c r="T13132" s="1">
        <v>0</v>
      </c>
      <c r="V13132" s="1">
        <f t="shared" si="255"/>
        <v>0</v>
      </c>
      <c r="W13132" s="1" t="s">
        <v>5</v>
      </c>
      <c r="X13132" s="39">
        <v>6.2579260559945338</v>
      </c>
      <c r="Y13132" s="23">
        <v>0</v>
      </c>
      <c r="Z13132" s="11">
        <v>0</v>
      </c>
      <c r="AA13132" s="11">
        <v>0</v>
      </c>
    </row>
    <row r="13133" spans="1:27" x14ac:dyDescent="0.2">
      <c r="A13133" s="1">
        <v>61</v>
      </c>
      <c r="B13133" s="1" t="s">
        <v>156</v>
      </c>
      <c r="C13133" s="1" t="s">
        <v>157</v>
      </c>
      <c r="D13133" s="1">
        <v>1910</v>
      </c>
      <c r="E13133" s="11">
        <v>0</v>
      </c>
      <c r="G13133" s="1">
        <v>0</v>
      </c>
      <c r="H13133" s="1" t="s">
        <v>5</v>
      </c>
      <c r="I13133" s="1">
        <v>2.0278999999999998</v>
      </c>
      <c r="J13133" s="1">
        <v>5.06975E-5</v>
      </c>
      <c r="M13133" s="1" t="s">
        <v>677</v>
      </c>
      <c r="N13133" s="1" t="s">
        <v>466</v>
      </c>
      <c r="P13133" s="1" t="s">
        <v>457</v>
      </c>
      <c r="Q13133" s="1">
        <v>0</v>
      </c>
      <c r="S13133" s="1">
        <v>0</v>
      </c>
      <c r="T13133" s="1">
        <v>0</v>
      </c>
      <c r="V13133" s="1">
        <f t="shared" si="255"/>
        <v>0</v>
      </c>
      <c r="W13133" s="1" t="s">
        <v>5</v>
      </c>
      <c r="X13133" s="39">
        <v>7.825010080064521</v>
      </c>
      <c r="Y13133" s="23">
        <v>0</v>
      </c>
      <c r="Z13133" s="11">
        <v>0</v>
      </c>
      <c r="AA13133" s="11">
        <v>0</v>
      </c>
    </row>
    <row r="13134" spans="1:27" x14ac:dyDescent="0.2">
      <c r="A13134" s="1">
        <v>61</v>
      </c>
      <c r="B13134" s="1" t="s">
        <v>156</v>
      </c>
      <c r="C13134" s="1" t="s">
        <v>157</v>
      </c>
      <c r="D13134" s="1">
        <v>1911</v>
      </c>
      <c r="E13134" s="11">
        <v>0</v>
      </c>
      <c r="G13134" s="1">
        <v>0</v>
      </c>
      <c r="H13134" s="1" t="s">
        <v>5</v>
      </c>
      <c r="I13134" s="1">
        <v>2.0278999999999998</v>
      </c>
      <c r="J13134" s="1">
        <v>5.06975E-5</v>
      </c>
      <c r="M13134" s="1" t="s">
        <v>677</v>
      </c>
      <c r="N13134" s="1" t="s">
        <v>466</v>
      </c>
      <c r="P13134" s="1" t="s">
        <v>457</v>
      </c>
      <c r="Q13134" s="1">
        <v>0</v>
      </c>
      <c r="S13134" s="1">
        <v>0</v>
      </c>
      <c r="T13134" s="1">
        <v>0</v>
      </c>
      <c r="V13134" s="1">
        <f t="shared" si="255"/>
        <v>0</v>
      </c>
      <c r="W13134" s="1" t="s">
        <v>5</v>
      </c>
      <c r="X13134" s="39">
        <v>8.3333333333333481</v>
      </c>
      <c r="Y13134" s="23">
        <v>0</v>
      </c>
      <c r="Z13134" s="11">
        <v>0</v>
      </c>
      <c r="AA13134" s="11">
        <v>0</v>
      </c>
    </row>
    <row r="13135" spans="1:27" x14ac:dyDescent="0.2">
      <c r="A13135" s="1">
        <v>61</v>
      </c>
      <c r="B13135" s="1" t="s">
        <v>156</v>
      </c>
      <c r="C13135" s="1" t="s">
        <v>157</v>
      </c>
      <c r="D13135" s="1">
        <v>1912</v>
      </c>
      <c r="E13135" s="11">
        <v>0</v>
      </c>
      <c r="G13135" s="1">
        <v>0</v>
      </c>
      <c r="H13135" s="1" t="s">
        <v>5</v>
      </c>
      <c r="I13135" s="1">
        <v>2.0177</v>
      </c>
      <c r="J13135" s="1">
        <v>5.0442499999999997E-5</v>
      </c>
      <c r="M13135" s="1" t="s">
        <v>677</v>
      </c>
      <c r="N13135" s="1" t="s">
        <v>466</v>
      </c>
      <c r="P13135" s="1" t="s">
        <v>457</v>
      </c>
      <c r="Q13135" s="1">
        <v>0</v>
      </c>
      <c r="S13135" s="1">
        <v>0</v>
      </c>
      <c r="T13135" s="1">
        <v>0</v>
      </c>
      <c r="V13135" s="1">
        <f t="shared" si="255"/>
        <v>0</v>
      </c>
      <c r="W13135" s="1" t="s">
        <v>5</v>
      </c>
      <c r="X13135" s="39">
        <v>9.0837132725430703</v>
      </c>
      <c r="Y13135" s="23">
        <v>0</v>
      </c>
      <c r="Z13135" s="11">
        <v>0</v>
      </c>
      <c r="AA13135" s="11">
        <v>0</v>
      </c>
    </row>
    <row r="13136" spans="1:27" x14ac:dyDescent="0.2">
      <c r="A13136" s="1">
        <v>61</v>
      </c>
      <c r="B13136" s="1" t="s">
        <v>156</v>
      </c>
      <c r="C13136" s="1" t="s">
        <v>157</v>
      </c>
      <c r="D13136" s="1">
        <v>1913</v>
      </c>
      <c r="E13136" s="11">
        <v>0</v>
      </c>
      <c r="G13136" s="1">
        <v>0</v>
      </c>
      <c r="H13136" s="1" t="s">
        <v>5</v>
      </c>
      <c r="I13136" s="1">
        <v>2.0278999999999998</v>
      </c>
      <c r="J13136" s="1">
        <v>5.06975E-5</v>
      </c>
      <c r="M13136" s="1" t="s">
        <v>677</v>
      </c>
      <c r="N13136" s="1" t="s">
        <v>466</v>
      </c>
      <c r="P13136" s="1" t="s">
        <v>457</v>
      </c>
      <c r="Q13136" s="1">
        <v>0</v>
      </c>
      <c r="S13136" s="1">
        <v>0</v>
      </c>
      <c r="T13136" s="1">
        <v>0</v>
      </c>
      <c r="V13136" s="1">
        <f t="shared" si="255"/>
        <v>0</v>
      </c>
      <c r="W13136" s="1" t="s">
        <v>5</v>
      </c>
      <c r="X13136" s="39">
        <v>-3.7039008035761767</v>
      </c>
      <c r="Y13136" s="23">
        <v>0</v>
      </c>
      <c r="Z13136" s="11">
        <v>0</v>
      </c>
      <c r="AA13136" s="11">
        <v>0</v>
      </c>
    </row>
    <row r="13137" spans="1:27" x14ac:dyDescent="0.2">
      <c r="A13137" s="1">
        <v>61</v>
      </c>
      <c r="B13137" s="1" t="s">
        <v>156</v>
      </c>
      <c r="C13137" s="1" t="s">
        <v>157</v>
      </c>
      <c r="D13137" s="1">
        <v>1914</v>
      </c>
      <c r="E13137" s="11">
        <v>0</v>
      </c>
      <c r="G13137" s="1">
        <v>0</v>
      </c>
      <c r="H13137" s="1" t="s">
        <v>5</v>
      </c>
      <c r="I13137" s="1">
        <v>2.0407999999999999</v>
      </c>
      <c r="J13137" s="1">
        <v>5.1020000000000003E-5</v>
      </c>
      <c r="M13137" s="1" t="s">
        <v>677</v>
      </c>
      <c r="N13137" s="1" t="s">
        <v>466</v>
      </c>
      <c r="P13137" s="1" t="s">
        <v>457</v>
      </c>
      <c r="Q13137" s="1">
        <v>0</v>
      </c>
      <c r="S13137" s="1">
        <v>0</v>
      </c>
      <c r="T13137" s="1">
        <v>0</v>
      </c>
      <c r="V13137" s="1">
        <f t="shared" si="255"/>
        <v>0</v>
      </c>
      <c r="W13137" s="1" t="s">
        <v>5</v>
      </c>
      <c r="X13137" s="39">
        <v>-1.7676767676767735</v>
      </c>
      <c r="Y13137" s="23">
        <v>0</v>
      </c>
      <c r="Z13137" s="11">
        <v>0</v>
      </c>
      <c r="AA13137" s="11">
        <v>0</v>
      </c>
    </row>
    <row r="13138" spans="1:27" x14ac:dyDescent="0.2">
      <c r="A13138" s="1">
        <v>61</v>
      </c>
      <c r="B13138" s="1" t="s">
        <v>156</v>
      </c>
      <c r="C13138" s="1" t="s">
        <v>157</v>
      </c>
      <c r="D13138" s="1">
        <v>1915</v>
      </c>
      <c r="E13138" s="11">
        <v>0</v>
      </c>
      <c r="G13138" s="1">
        <v>0</v>
      </c>
      <c r="H13138" s="1" t="s">
        <v>5</v>
      </c>
      <c r="I13138" s="1">
        <v>2.0305</v>
      </c>
      <c r="J13138" s="1">
        <v>5.0762500000000001E-5</v>
      </c>
      <c r="M13138" s="1" t="s">
        <v>677</v>
      </c>
      <c r="N13138" s="1" t="s">
        <v>466</v>
      </c>
      <c r="P13138" s="1" t="s">
        <v>457</v>
      </c>
      <c r="Q13138" s="1">
        <v>0</v>
      </c>
      <c r="S13138" s="1">
        <v>0</v>
      </c>
      <c r="T13138" s="1">
        <v>0</v>
      </c>
      <c r="V13138" s="1">
        <f t="shared" si="255"/>
        <v>0</v>
      </c>
      <c r="W13138" s="1" t="s">
        <v>5</v>
      </c>
      <c r="X13138" s="39">
        <v>-6.1052735923869896</v>
      </c>
      <c r="Y13138" s="23">
        <v>0</v>
      </c>
      <c r="Z13138" s="11">
        <v>0</v>
      </c>
      <c r="AA13138" s="11">
        <v>0</v>
      </c>
    </row>
    <row r="13139" spans="1:27" x14ac:dyDescent="0.2">
      <c r="A13139" s="1">
        <v>61</v>
      </c>
      <c r="B13139" s="1" t="s">
        <v>156</v>
      </c>
      <c r="C13139" s="1" t="s">
        <v>157</v>
      </c>
      <c r="D13139" s="1">
        <v>1916</v>
      </c>
      <c r="E13139" s="11">
        <v>0</v>
      </c>
      <c r="G13139" s="1">
        <v>0</v>
      </c>
      <c r="H13139" s="1" t="s">
        <v>5</v>
      </c>
      <c r="I13139" s="1">
        <v>1.9641</v>
      </c>
      <c r="J13139" s="1">
        <v>4.91025E-5</v>
      </c>
      <c r="M13139" s="1" t="s">
        <v>677</v>
      </c>
      <c r="N13139" s="1" t="s">
        <v>466</v>
      </c>
      <c r="P13139" s="1" t="s">
        <v>457</v>
      </c>
      <c r="Q13139" s="1">
        <v>0</v>
      </c>
      <c r="S13139" s="1">
        <v>0</v>
      </c>
      <c r="T13139" s="1">
        <v>0</v>
      </c>
      <c r="V13139" s="1">
        <f t="shared" si="255"/>
        <v>0</v>
      </c>
      <c r="W13139" s="1" t="s">
        <v>5</v>
      </c>
      <c r="X13139" s="39">
        <v>7.7334772538172665</v>
      </c>
      <c r="Y13139" s="23">
        <v>0</v>
      </c>
      <c r="Z13139" s="11">
        <v>0</v>
      </c>
      <c r="AA13139" s="11">
        <v>0</v>
      </c>
    </row>
    <row r="13140" spans="1:27" x14ac:dyDescent="0.2">
      <c r="A13140" s="1">
        <v>61</v>
      </c>
      <c r="B13140" s="1" t="s">
        <v>156</v>
      </c>
      <c r="C13140" s="1" t="s">
        <v>157</v>
      </c>
      <c r="D13140" s="1">
        <v>1917</v>
      </c>
      <c r="E13140" s="11">
        <v>0</v>
      </c>
      <c r="G13140" s="1">
        <v>0</v>
      </c>
      <c r="H13140" s="1" t="s">
        <v>5</v>
      </c>
      <c r="I13140" s="1">
        <v>1.925</v>
      </c>
      <c r="J13140" s="1">
        <v>4.8124999999999997E-5</v>
      </c>
      <c r="M13140" s="1" t="s">
        <v>677</v>
      </c>
      <c r="N13140" s="1" t="s">
        <v>466</v>
      </c>
      <c r="P13140" s="1" t="s">
        <v>457</v>
      </c>
      <c r="Q13140" s="1">
        <v>0</v>
      </c>
      <c r="S13140" s="1">
        <v>0</v>
      </c>
      <c r="T13140" s="1">
        <v>0</v>
      </c>
      <c r="V13140" s="1">
        <f t="shared" si="255"/>
        <v>0</v>
      </c>
      <c r="W13140" s="1" t="s">
        <v>5</v>
      </c>
      <c r="X13140" s="39">
        <v>22.936526389211807</v>
      </c>
      <c r="Y13140" s="23">
        <v>0</v>
      </c>
      <c r="Z13140" s="11">
        <v>0</v>
      </c>
      <c r="AA13140" s="40">
        <v>1</v>
      </c>
    </row>
    <row r="13141" spans="1:27" x14ac:dyDescent="0.2">
      <c r="A13141" s="1">
        <v>61</v>
      </c>
      <c r="B13141" s="1" t="s">
        <v>156</v>
      </c>
      <c r="C13141" s="1" t="s">
        <v>157</v>
      </c>
      <c r="D13141" s="1">
        <v>1918</v>
      </c>
      <c r="E13141" s="11">
        <v>0</v>
      </c>
      <c r="G13141" s="1">
        <v>0</v>
      </c>
      <c r="H13141" s="1" t="s">
        <v>5</v>
      </c>
      <c r="I13141" s="1">
        <v>1.8893</v>
      </c>
      <c r="J13141" s="1">
        <v>4.7232499999999999E-5</v>
      </c>
      <c r="M13141" s="1" t="s">
        <v>677</v>
      </c>
      <c r="N13141" s="1" t="s">
        <v>466</v>
      </c>
      <c r="P13141" s="1" t="s">
        <v>457</v>
      </c>
      <c r="Q13141" s="1">
        <v>0</v>
      </c>
      <c r="S13141" s="1">
        <v>0</v>
      </c>
      <c r="T13141" s="1">
        <v>0</v>
      </c>
      <c r="V13141" s="1">
        <f t="shared" si="255"/>
        <v>0</v>
      </c>
      <c r="W13141" s="1" t="s">
        <v>5</v>
      </c>
      <c r="X13141" s="39">
        <v>23.877927772008768</v>
      </c>
      <c r="Y13141" s="23">
        <v>0</v>
      </c>
      <c r="Z13141" s="11">
        <v>0</v>
      </c>
      <c r="AA13141" s="40">
        <v>1</v>
      </c>
    </row>
    <row r="13142" spans="1:27" x14ac:dyDescent="0.2">
      <c r="A13142" s="1">
        <v>61</v>
      </c>
      <c r="B13142" s="1" t="s">
        <v>156</v>
      </c>
      <c r="C13142" s="1" t="s">
        <v>157</v>
      </c>
      <c r="D13142" s="1">
        <v>1919</v>
      </c>
      <c r="E13142" s="11">
        <v>0</v>
      </c>
      <c r="G13142" s="1">
        <v>0</v>
      </c>
      <c r="H13142" s="1" t="s">
        <v>5</v>
      </c>
      <c r="I13142" s="1">
        <v>1.9834000000000001</v>
      </c>
      <c r="J13142" s="1">
        <v>4.9585E-5</v>
      </c>
      <c r="M13142" s="1" t="s">
        <v>677</v>
      </c>
      <c r="N13142" s="1" t="s">
        <v>466</v>
      </c>
      <c r="P13142" s="1" t="s">
        <v>457</v>
      </c>
      <c r="Q13142" s="1">
        <v>0</v>
      </c>
      <c r="S13142" s="1">
        <v>0</v>
      </c>
      <c r="T13142" s="1">
        <v>0</v>
      </c>
      <c r="V13142" s="1">
        <f t="shared" si="255"/>
        <v>0</v>
      </c>
      <c r="W13142" s="1" t="s">
        <v>5</v>
      </c>
      <c r="X13142" s="39">
        <v>24.613617376775267</v>
      </c>
      <c r="Y13142" s="23">
        <v>0</v>
      </c>
      <c r="Z13142" s="11">
        <v>0</v>
      </c>
      <c r="AA13142" s="40">
        <v>1</v>
      </c>
    </row>
    <row r="13143" spans="1:27" x14ac:dyDescent="0.2">
      <c r="A13143" s="1">
        <v>61</v>
      </c>
      <c r="B13143" s="1" t="s">
        <v>156</v>
      </c>
      <c r="C13143" s="1" t="s">
        <v>157</v>
      </c>
      <c r="D13143" s="1">
        <v>1920</v>
      </c>
      <c r="E13143" s="11">
        <v>0</v>
      </c>
      <c r="G13143" s="1">
        <v>0</v>
      </c>
      <c r="H13143" s="1" t="s">
        <v>5</v>
      </c>
      <c r="I13143" s="1">
        <v>1.9863</v>
      </c>
      <c r="J13143" s="1">
        <v>4.9657499999999997E-5</v>
      </c>
      <c r="M13143" s="1" t="s">
        <v>677</v>
      </c>
      <c r="N13143" s="1" t="s">
        <v>466</v>
      </c>
      <c r="P13143" s="1" t="s">
        <v>457</v>
      </c>
      <c r="Q13143" s="1">
        <v>0</v>
      </c>
      <c r="S13143" s="1">
        <v>0</v>
      </c>
      <c r="T13143" s="1">
        <v>0</v>
      </c>
      <c r="V13143" s="1">
        <f t="shared" si="255"/>
        <v>0</v>
      </c>
      <c r="W13143" s="1" t="s">
        <v>5</v>
      </c>
      <c r="X13143" s="39">
        <v>-10.879085406859446</v>
      </c>
      <c r="Y13143" s="23">
        <v>0</v>
      </c>
      <c r="Z13143" s="11">
        <v>0</v>
      </c>
      <c r="AA13143" s="11">
        <v>0</v>
      </c>
    </row>
    <row r="13144" spans="1:27" x14ac:dyDescent="0.2">
      <c r="A13144" s="1">
        <v>61</v>
      </c>
      <c r="B13144" s="1" t="s">
        <v>156</v>
      </c>
      <c r="C13144" s="1" t="s">
        <v>157</v>
      </c>
      <c r="D13144" s="1">
        <v>1921</v>
      </c>
      <c r="E13144" s="11">
        <v>0</v>
      </c>
      <c r="G13144" s="1">
        <v>0</v>
      </c>
      <c r="H13144" s="1" t="s">
        <v>5</v>
      </c>
      <c r="I13144" s="1">
        <v>2.0867</v>
      </c>
      <c r="J13144" s="1">
        <v>5.2167499999999998E-5</v>
      </c>
      <c r="M13144" s="1" t="s">
        <v>677</v>
      </c>
      <c r="N13144" s="1" t="s">
        <v>466</v>
      </c>
      <c r="P13144" s="1" t="s">
        <v>457</v>
      </c>
      <c r="Q13144" s="1">
        <v>0</v>
      </c>
      <c r="S13144" s="1">
        <v>0</v>
      </c>
      <c r="T13144" s="1">
        <v>0</v>
      </c>
      <c r="V13144" s="1">
        <f t="shared" si="255"/>
        <v>0</v>
      </c>
      <c r="W13144" s="1" t="s">
        <v>5</v>
      </c>
      <c r="X13144" s="39">
        <v>-11.194879089615933</v>
      </c>
      <c r="Y13144" s="23">
        <v>0</v>
      </c>
      <c r="Z13144" s="11">
        <v>0</v>
      </c>
      <c r="AA13144" s="11">
        <v>0</v>
      </c>
    </row>
    <row r="13145" spans="1:27" x14ac:dyDescent="0.2">
      <c r="A13145" s="1">
        <v>61</v>
      </c>
      <c r="B13145" s="1" t="s">
        <v>156</v>
      </c>
      <c r="C13145" s="1" t="s">
        <v>157</v>
      </c>
      <c r="D13145" s="1">
        <v>1922</v>
      </c>
      <c r="E13145" s="11">
        <v>0</v>
      </c>
      <c r="G13145" s="1">
        <v>0</v>
      </c>
      <c r="H13145" s="1" t="s">
        <v>5</v>
      </c>
      <c r="I13145" s="1">
        <v>2.0470999999999999</v>
      </c>
      <c r="J13145" s="1">
        <v>5.1177500000000003E-5</v>
      </c>
      <c r="M13145" s="1" t="s">
        <v>677</v>
      </c>
      <c r="N13145" s="1" t="s">
        <v>466</v>
      </c>
      <c r="P13145" s="1" t="s">
        <v>457</v>
      </c>
      <c r="Q13145" s="1">
        <v>0</v>
      </c>
      <c r="S13145" s="1">
        <v>0</v>
      </c>
      <c r="T13145" s="1">
        <v>0</v>
      </c>
      <c r="V13145" s="1">
        <f t="shared" si="255"/>
        <v>0</v>
      </c>
      <c r="W13145" s="1" t="s">
        <v>5</v>
      </c>
      <c r="X13145" s="39">
        <v>-7.0642650999793837</v>
      </c>
      <c r="Y13145" s="23">
        <v>0</v>
      </c>
      <c r="Z13145" s="11">
        <v>0</v>
      </c>
      <c r="AA13145" s="11">
        <v>0</v>
      </c>
    </row>
    <row r="13146" spans="1:27" x14ac:dyDescent="0.2">
      <c r="A13146" s="1">
        <v>61</v>
      </c>
      <c r="B13146" s="1" t="s">
        <v>156</v>
      </c>
      <c r="C13146" s="1" t="s">
        <v>157</v>
      </c>
      <c r="D13146" s="1">
        <v>1923</v>
      </c>
      <c r="E13146" s="5">
        <v>1</v>
      </c>
      <c r="G13146" s="1">
        <v>1</v>
      </c>
      <c r="H13146" s="1" t="s">
        <v>5</v>
      </c>
      <c r="I13146" s="1">
        <v>2.1272000000000002</v>
      </c>
      <c r="J13146" s="1">
        <v>5.3180000000000002E-5</v>
      </c>
      <c r="M13146" s="1" t="s">
        <v>677</v>
      </c>
      <c r="N13146" s="1" t="s">
        <v>466</v>
      </c>
      <c r="P13146" s="1" t="s">
        <v>457</v>
      </c>
      <c r="Q13146" s="1">
        <v>0</v>
      </c>
      <c r="S13146" s="1">
        <v>0</v>
      </c>
      <c r="T13146" s="1">
        <v>0</v>
      </c>
      <c r="V13146" s="1">
        <f t="shared" si="255"/>
        <v>0</v>
      </c>
      <c r="W13146" s="1" t="s">
        <v>5</v>
      </c>
      <c r="X13146" s="39">
        <v>-1.9561239508333605</v>
      </c>
      <c r="Y13146" s="23">
        <v>0</v>
      </c>
      <c r="Z13146" s="11">
        <v>0</v>
      </c>
      <c r="AA13146" s="11">
        <v>0</v>
      </c>
    </row>
    <row r="13147" spans="1:27" x14ac:dyDescent="0.2">
      <c r="A13147" s="1">
        <v>61</v>
      </c>
      <c r="B13147" s="1" t="s">
        <v>156</v>
      </c>
      <c r="C13147" s="1" t="s">
        <v>157</v>
      </c>
      <c r="D13147" s="1">
        <v>1924</v>
      </c>
      <c r="E13147" s="11">
        <v>0</v>
      </c>
      <c r="G13147" s="1">
        <v>0</v>
      </c>
      <c r="H13147" s="1" t="s">
        <v>5</v>
      </c>
      <c r="I13147" s="1">
        <v>2.6015000000000001</v>
      </c>
      <c r="J13147" s="1">
        <v>6.5037500000000002E-5</v>
      </c>
      <c r="M13147" s="1" t="s">
        <v>677</v>
      </c>
      <c r="N13147" s="1" t="s">
        <v>466</v>
      </c>
      <c r="P13147" s="1" t="s">
        <v>457</v>
      </c>
      <c r="Q13147" s="1">
        <v>0</v>
      </c>
      <c r="S13147" s="1">
        <v>0</v>
      </c>
      <c r="T13147" s="1">
        <v>0</v>
      </c>
      <c r="V13147" s="1">
        <f t="shared" si="255"/>
        <v>0</v>
      </c>
      <c r="W13147" s="1" t="s">
        <v>5</v>
      </c>
      <c r="X13147" s="39">
        <v>6.7318435754189938</v>
      </c>
      <c r="Y13147" s="23">
        <v>0</v>
      </c>
      <c r="Z13147" s="49">
        <v>1</v>
      </c>
      <c r="AA13147" s="11">
        <v>0</v>
      </c>
    </row>
    <row r="13148" spans="1:27" x14ac:dyDescent="0.2">
      <c r="A13148" s="1">
        <v>61</v>
      </c>
      <c r="B13148" s="1" t="s">
        <v>156</v>
      </c>
      <c r="C13148" s="1" t="s">
        <v>157</v>
      </c>
      <c r="D13148" s="1">
        <v>1925</v>
      </c>
      <c r="E13148" s="11">
        <v>0</v>
      </c>
      <c r="G13148" s="1">
        <v>0</v>
      </c>
      <c r="H13148" s="1" t="s">
        <v>5</v>
      </c>
      <c r="I13148" s="1">
        <v>2.3151999999999999</v>
      </c>
      <c r="J13148" s="1">
        <v>5.7880000000000001E-5</v>
      </c>
      <c r="M13148" s="1" t="s">
        <v>677</v>
      </c>
      <c r="N13148" s="1" t="s">
        <v>466</v>
      </c>
      <c r="P13148" s="1" t="s">
        <v>457</v>
      </c>
      <c r="Q13148" s="1">
        <v>0</v>
      </c>
      <c r="S13148" s="1">
        <v>0</v>
      </c>
      <c r="T13148" s="1">
        <v>0</v>
      </c>
      <c r="V13148" s="1">
        <f t="shared" si="255"/>
        <v>0</v>
      </c>
      <c r="W13148" s="1" t="s">
        <v>5</v>
      </c>
      <c r="X13148" s="39">
        <v>4.2193403080499898</v>
      </c>
      <c r="Y13148" s="23">
        <v>0</v>
      </c>
      <c r="Z13148" s="11">
        <v>0</v>
      </c>
      <c r="AA13148" s="11">
        <v>0</v>
      </c>
    </row>
    <row r="13149" spans="1:27" x14ac:dyDescent="0.2">
      <c r="A13149" s="1">
        <v>61</v>
      </c>
      <c r="B13149" s="1" t="s">
        <v>156</v>
      </c>
      <c r="C13149" s="1" t="s">
        <v>157</v>
      </c>
      <c r="D13149" s="1">
        <v>1926</v>
      </c>
      <c r="E13149" s="11">
        <v>0</v>
      </c>
      <c r="G13149" s="1">
        <v>0</v>
      </c>
      <c r="H13149" s="1" t="s">
        <v>5</v>
      </c>
      <c r="I13149" s="1">
        <v>2.0434000000000001</v>
      </c>
      <c r="J13149" s="1">
        <v>5.1085000000000003E-5</v>
      </c>
      <c r="M13149" s="1" t="s">
        <v>677</v>
      </c>
      <c r="N13149" s="1" t="s">
        <v>466</v>
      </c>
      <c r="P13149" s="1" t="s">
        <v>457</v>
      </c>
      <c r="Q13149" s="1">
        <v>0</v>
      </c>
      <c r="S13149" s="1">
        <v>0</v>
      </c>
      <c r="T13149" s="1">
        <v>0</v>
      </c>
      <c r="V13149" s="1">
        <f t="shared" si="255"/>
        <v>0</v>
      </c>
      <c r="W13149" s="1" t="s">
        <v>5</v>
      </c>
      <c r="X13149" s="39">
        <v>-2.8795986622073553</v>
      </c>
      <c r="Y13149" s="23">
        <v>0</v>
      </c>
      <c r="Z13149" s="11">
        <v>0</v>
      </c>
      <c r="AA13149" s="11">
        <v>0</v>
      </c>
    </row>
    <row r="13150" spans="1:27" x14ac:dyDescent="0.2">
      <c r="A13150" s="1">
        <v>61</v>
      </c>
      <c r="B13150" s="1" t="s">
        <v>156</v>
      </c>
      <c r="C13150" s="1" t="s">
        <v>157</v>
      </c>
      <c r="D13150" s="1">
        <v>1927</v>
      </c>
      <c r="E13150" s="5">
        <v>1</v>
      </c>
      <c r="G13150" s="1">
        <v>1</v>
      </c>
      <c r="H13150" s="1" t="s">
        <v>5</v>
      </c>
      <c r="I13150" s="1">
        <v>2.1650999999999998</v>
      </c>
      <c r="J13150" s="1">
        <v>5.41275E-5</v>
      </c>
      <c r="M13150" s="1" t="s">
        <v>677</v>
      </c>
      <c r="N13150" s="1" t="s">
        <v>466</v>
      </c>
      <c r="P13150" s="1" t="s">
        <v>457</v>
      </c>
      <c r="Q13150" s="1">
        <v>0</v>
      </c>
      <c r="S13150" s="1">
        <v>0</v>
      </c>
      <c r="T13150" s="1">
        <v>0</v>
      </c>
      <c r="V13150" s="1">
        <f t="shared" si="255"/>
        <v>0</v>
      </c>
      <c r="W13150" s="1" t="s">
        <v>5</v>
      </c>
      <c r="X13150" s="39">
        <v>-6.1882263254469887</v>
      </c>
      <c r="Y13150" s="23">
        <v>0</v>
      </c>
      <c r="Z13150" s="11">
        <v>0</v>
      </c>
      <c r="AA13150" s="11">
        <v>0</v>
      </c>
    </row>
    <row r="13151" spans="1:27" x14ac:dyDescent="0.2">
      <c r="A13151" s="1">
        <v>61</v>
      </c>
      <c r="B13151" s="1" t="s">
        <v>156</v>
      </c>
      <c r="C13151" s="1" t="s">
        <v>157</v>
      </c>
      <c r="D13151" s="1">
        <v>1928</v>
      </c>
      <c r="E13151" s="5">
        <v>1</v>
      </c>
      <c r="G13151" s="1">
        <v>1</v>
      </c>
      <c r="H13151" s="1" t="s">
        <v>5</v>
      </c>
      <c r="I13151" s="1">
        <v>2.1789000000000001</v>
      </c>
      <c r="J13151" s="1">
        <v>5.4472499999999997E-5</v>
      </c>
      <c r="M13151" s="1" t="s">
        <v>677</v>
      </c>
      <c r="N13151" s="1" t="s">
        <v>466</v>
      </c>
      <c r="P13151" s="1" t="s">
        <v>457</v>
      </c>
      <c r="Q13151" s="1">
        <v>0</v>
      </c>
      <c r="S13151" s="1">
        <v>0</v>
      </c>
      <c r="T13151" s="1">
        <v>0</v>
      </c>
      <c r="V13151" s="1">
        <f t="shared" ref="V13151:V13214" si="256">0.09*S13151</f>
        <v>0</v>
      </c>
      <c r="W13151" s="1" t="s">
        <v>5</v>
      </c>
      <c r="X13151" s="39">
        <v>2.0154913830440879</v>
      </c>
      <c r="Y13151" s="23">
        <v>0</v>
      </c>
      <c r="Z13151" s="11">
        <v>0</v>
      </c>
      <c r="AA13151" s="11">
        <v>0</v>
      </c>
    </row>
    <row r="13152" spans="1:27" ht="12.95" customHeight="1" x14ac:dyDescent="0.2">
      <c r="A13152" s="1">
        <v>61</v>
      </c>
      <c r="B13152" s="1" t="s">
        <v>156</v>
      </c>
      <c r="C13152" s="1" t="s">
        <v>157</v>
      </c>
      <c r="D13152" s="1">
        <v>1929</v>
      </c>
      <c r="E13152" s="11">
        <v>0</v>
      </c>
      <c r="G13152" s="1">
        <v>0</v>
      </c>
      <c r="H13152" s="1" t="s">
        <v>5</v>
      </c>
      <c r="I13152" s="1">
        <v>2.0425</v>
      </c>
      <c r="J13152" s="1">
        <v>5.1062500000000001E-5</v>
      </c>
      <c r="M13152" s="1" t="s">
        <v>677</v>
      </c>
      <c r="N13152" s="1" t="s">
        <v>466</v>
      </c>
      <c r="P13152" s="1" t="s">
        <v>457</v>
      </c>
      <c r="Q13152" s="1">
        <v>0</v>
      </c>
      <c r="S13152" s="1">
        <v>0</v>
      </c>
      <c r="T13152" s="1">
        <v>0</v>
      </c>
      <c r="V13152" s="1">
        <f t="shared" si="256"/>
        <v>0</v>
      </c>
      <c r="W13152" s="1" t="s">
        <v>5</v>
      </c>
      <c r="X13152" s="39">
        <v>0.85266591175247042</v>
      </c>
      <c r="Y13152" s="23">
        <v>0</v>
      </c>
      <c r="Z13152" s="11">
        <v>0</v>
      </c>
      <c r="AA13152" s="11">
        <v>0</v>
      </c>
    </row>
    <row r="13153" spans="1:27" ht="12.95" customHeight="1" x14ac:dyDescent="0.2">
      <c r="A13153" s="1">
        <v>61</v>
      </c>
      <c r="B13153" s="1" t="s">
        <v>156</v>
      </c>
      <c r="C13153" s="1" t="s">
        <v>157</v>
      </c>
      <c r="D13153" s="1">
        <v>1930</v>
      </c>
      <c r="E13153" s="11">
        <v>0</v>
      </c>
      <c r="G13153" s="1">
        <v>0</v>
      </c>
      <c r="H13153" s="1" t="s">
        <v>5</v>
      </c>
      <c r="I13153" s="1">
        <v>2.0152999999999999</v>
      </c>
      <c r="J13153" s="1">
        <v>5.0382500000000001E-5</v>
      </c>
      <c r="M13153" s="1" t="s">
        <v>677</v>
      </c>
      <c r="N13153" s="1" t="s">
        <v>466</v>
      </c>
      <c r="P13153" s="1" t="s">
        <v>457</v>
      </c>
      <c r="Q13153" s="1">
        <v>0</v>
      </c>
      <c r="S13153" s="1">
        <v>0</v>
      </c>
      <c r="T13153" s="1">
        <v>0</v>
      </c>
      <c r="V13153" s="1">
        <f t="shared" si="256"/>
        <v>0</v>
      </c>
      <c r="W13153" s="1" t="s">
        <v>5</v>
      </c>
      <c r="X13153" s="39">
        <v>-12.644159403189587</v>
      </c>
      <c r="Y13153" s="23">
        <v>0</v>
      </c>
      <c r="Z13153" s="11">
        <v>0</v>
      </c>
      <c r="AA13153" s="11">
        <v>0</v>
      </c>
    </row>
    <row r="13154" spans="1:27" x14ac:dyDescent="0.2">
      <c r="A13154" s="1">
        <v>61</v>
      </c>
      <c r="B13154" s="1" t="s">
        <v>156</v>
      </c>
      <c r="C13154" s="1" t="s">
        <v>157</v>
      </c>
      <c r="D13154" s="1">
        <v>1931</v>
      </c>
      <c r="E13154" s="11">
        <v>0</v>
      </c>
      <c r="G13154" s="1">
        <v>0</v>
      </c>
      <c r="H13154" s="1" t="s">
        <v>5</v>
      </c>
      <c r="I13154" s="1">
        <v>2.3010000000000002</v>
      </c>
      <c r="J13154" s="1">
        <v>5.7525000000000002E-5</v>
      </c>
      <c r="M13154" s="1" t="s">
        <v>677</v>
      </c>
      <c r="N13154" s="1" t="s">
        <v>466</v>
      </c>
      <c r="P13154" s="1" t="s">
        <v>457</v>
      </c>
      <c r="Q13154" s="1">
        <v>0</v>
      </c>
      <c r="S13154" s="1">
        <v>0</v>
      </c>
      <c r="T13154" s="1">
        <v>0</v>
      </c>
      <c r="V13154" s="1">
        <f t="shared" si="256"/>
        <v>0</v>
      </c>
      <c r="W13154" s="1" t="s">
        <v>5</v>
      </c>
      <c r="X13154" s="39">
        <v>-9.6837747518579427</v>
      </c>
      <c r="Y13154" s="23">
        <v>0</v>
      </c>
      <c r="Z13154" s="11">
        <v>0</v>
      </c>
      <c r="AA13154" s="11">
        <v>0</v>
      </c>
    </row>
    <row r="13155" spans="1:27" x14ac:dyDescent="0.2">
      <c r="A13155" s="1">
        <v>61</v>
      </c>
      <c r="B13155" s="1" t="s">
        <v>156</v>
      </c>
      <c r="C13155" s="1" t="s">
        <v>157</v>
      </c>
      <c r="D13155" s="1">
        <v>1932</v>
      </c>
      <c r="E13155" s="11">
        <v>0</v>
      </c>
      <c r="G13155" s="1">
        <v>0</v>
      </c>
      <c r="H13155" s="1" t="s">
        <v>5</v>
      </c>
      <c r="I13155" s="1">
        <v>4.8239000000000001</v>
      </c>
      <c r="J13155" s="1">
        <v>1.2059750000000001E-4</v>
      </c>
      <c r="M13155" s="1" t="s">
        <v>677</v>
      </c>
      <c r="N13155" s="1" t="s">
        <v>466</v>
      </c>
      <c r="P13155" s="1" t="s">
        <v>457</v>
      </c>
      <c r="Q13155" s="1">
        <v>0</v>
      </c>
      <c r="S13155" s="1">
        <v>0</v>
      </c>
      <c r="T13155" s="1">
        <v>0</v>
      </c>
      <c r="V13155" s="1">
        <f t="shared" si="256"/>
        <v>0</v>
      </c>
      <c r="W13155" s="1" t="s">
        <v>5</v>
      </c>
      <c r="X13155" s="39">
        <v>-1.4109697933227416</v>
      </c>
      <c r="Y13155" s="23">
        <v>0</v>
      </c>
      <c r="Z13155" s="49">
        <v>1</v>
      </c>
      <c r="AA13155" s="11">
        <v>0</v>
      </c>
    </row>
    <row r="13156" spans="1:27" x14ac:dyDescent="0.2">
      <c r="A13156" s="1">
        <v>61</v>
      </c>
      <c r="B13156" s="1" t="s">
        <v>156</v>
      </c>
      <c r="C13156" s="1" t="s">
        <v>157</v>
      </c>
      <c r="D13156" s="1">
        <v>1933</v>
      </c>
      <c r="E13156" s="11">
        <v>0</v>
      </c>
      <c r="G13156" s="1">
        <v>0</v>
      </c>
      <c r="H13156" s="1" t="s">
        <v>5</v>
      </c>
      <c r="I13156" s="1">
        <v>3.2494999999999998</v>
      </c>
      <c r="J13156" s="1">
        <v>8.1237500000000003E-5</v>
      </c>
      <c r="M13156" s="1" t="s">
        <v>677</v>
      </c>
      <c r="N13156" s="1" t="s">
        <v>466</v>
      </c>
      <c r="P13156" s="1" t="s">
        <v>457</v>
      </c>
      <c r="Q13156" s="1">
        <v>0</v>
      </c>
      <c r="S13156" s="1">
        <v>0</v>
      </c>
      <c r="T13156" s="1">
        <v>0</v>
      </c>
      <c r="V13156" s="1">
        <f t="shared" si="256"/>
        <v>0</v>
      </c>
      <c r="W13156" s="1" t="s">
        <v>5</v>
      </c>
      <c r="X13156" s="39">
        <v>5.3803689665476657</v>
      </c>
      <c r="Y13156" s="23">
        <v>0</v>
      </c>
      <c r="Z13156" s="11">
        <v>0</v>
      </c>
      <c r="AA13156" s="11">
        <v>0</v>
      </c>
    </row>
    <row r="13157" spans="1:27" x14ac:dyDescent="0.2">
      <c r="A13157" s="1">
        <v>61</v>
      </c>
      <c r="B13157" s="1" t="s">
        <v>156</v>
      </c>
      <c r="C13157" s="1" t="s">
        <v>157</v>
      </c>
      <c r="D13157" s="1">
        <v>1934</v>
      </c>
      <c r="E13157" s="11">
        <v>0</v>
      </c>
      <c r="G13157" s="1">
        <v>0</v>
      </c>
      <c r="H13157" s="1" t="s">
        <v>5</v>
      </c>
      <c r="I13157" s="1">
        <v>3.4693999999999998</v>
      </c>
      <c r="J13157" s="1">
        <v>8.6735000000000002E-5</v>
      </c>
      <c r="M13157" s="1" t="s">
        <v>677</v>
      </c>
      <c r="N13157" s="1" t="s">
        <v>466</v>
      </c>
      <c r="P13157" s="1" t="s">
        <v>457</v>
      </c>
      <c r="Q13157" s="1">
        <v>0</v>
      </c>
      <c r="S13157" s="1">
        <v>0</v>
      </c>
      <c r="T13157" s="1">
        <v>0</v>
      </c>
      <c r="V13157" s="1">
        <f t="shared" si="256"/>
        <v>0</v>
      </c>
      <c r="W13157" s="1" t="s">
        <v>5</v>
      </c>
      <c r="X13157" s="39">
        <v>2.4982650936849482</v>
      </c>
      <c r="Y13157" s="23">
        <v>0</v>
      </c>
      <c r="Z13157" s="11">
        <v>0</v>
      </c>
      <c r="AA13157" s="11">
        <v>0</v>
      </c>
    </row>
    <row r="13158" spans="1:27" x14ac:dyDescent="0.2">
      <c r="A13158" s="1">
        <v>61</v>
      </c>
      <c r="B13158" s="1" t="s">
        <v>156</v>
      </c>
      <c r="C13158" s="1" t="s">
        <v>157</v>
      </c>
      <c r="D13158" s="1">
        <v>1935</v>
      </c>
      <c r="E13158" s="11">
        <v>0</v>
      </c>
      <c r="G13158" s="1">
        <v>0</v>
      </c>
      <c r="H13158" s="1" t="s">
        <v>5</v>
      </c>
      <c r="I13158" s="1">
        <v>3.4796</v>
      </c>
      <c r="J13158" s="1">
        <v>8.6990000000000006E-5</v>
      </c>
      <c r="M13158" s="1" t="s">
        <v>677</v>
      </c>
      <c r="N13158" s="1" t="s">
        <v>466</v>
      </c>
      <c r="P13158" s="1" t="s">
        <v>457</v>
      </c>
      <c r="Q13158" s="1">
        <v>0</v>
      </c>
      <c r="S13158" s="1">
        <v>0</v>
      </c>
      <c r="T13158" s="1">
        <v>0</v>
      </c>
      <c r="V13158" s="1">
        <f t="shared" si="256"/>
        <v>0</v>
      </c>
      <c r="W13158" s="1" t="s">
        <v>5</v>
      </c>
      <c r="X13158" s="39">
        <v>6.3061970046238152</v>
      </c>
      <c r="Y13158" s="23">
        <v>0</v>
      </c>
      <c r="Z13158" s="11">
        <v>0</v>
      </c>
      <c r="AA13158" s="11">
        <v>0</v>
      </c>
    </row>
    <row r="13159" spans="1:27" x14ac:dyDescent="0.2">
      <c r="A13159" s="1">
        <v>61</v>
      </c>
      <c r="B13159" s="1" t="s">
        <v>156</v>
      </c>
      <c r="C13159" s="1" t="s">
        <v>157</v>
      </c>
      <c r="D13159" s="1">
        <v>1936</v>
      </c>
      <c r="E13159" s="11">
        <v>0</v>
      </c>
      <c r="G13159" s="1">
        <v>0</v>
      </c>
      <c r="H13159" s="1" t="s">
        <v>5</v>
      </c>
      <c r="I13159" s="1">
        <v>3.5074999999999998</v>
      </c>
      <c r="J13159" s="1">
        <v>8.7687499999999997E-5</v>
      </c>
      <c r="M13159" s="1" t="s">
        <v>677</v>
      </c>
      <c r="N13159" s="1" t="s">
        <v>466</v>
      </c>
      <c r="P13159" s="1" t="s">
        <v>457</v>
      </c>
      <c r="Q13159" s="1">
        <v>0</v>
      </c>
      <c r="S13159" s="1">
        <v>0</v>
      </c>
      <c r="T13159" s="1">
        <v>0</v>
      </c>
      <c r="V13159" s="1">
        <f t="shared" si="256"/>
        <v>0</v>
      </c>
      <c r="W13159" s="1" t="s">
        <v>5</v>
      </c>
      <c r="X13159" s="39">
        <v>6.1826033018417821</v>
      </c>
      <c r="Y13159" s="23">
        <v>0</v>
      </c>
      <c r="Z13159" s="11">
        <v>0</v>
      </c>
      <c r="AA13159" s="11">
        <v>0</v>
      </c>
    </row>
    <row r="13160" spans="1:27" x14ac:dyDescent="0.2">
      <c r="A13160" s="1">
        <v>61</v>
      </c>
      <c r="B13160" s="1" t="s">
        <v>156</v>
      </c>
      <c r="C13160" s="1" t="s">
        <v>157</v>
      </c>
      <c r="D13160" s="1">
        <v>1937</v>
      </c>
      <c r="E13160" s="11">
        <v>0</v>
      </c>
      <c r="G13160" s="1">
        <v>0</v>
      </c>
      <c r="H13160" s="1" t="s">
        <v>5</v>
      </c>
      <c r="I13160" s="1">
        <v>3.4388000000000001</v>
      </c>
      <c r="J13160" s="1">
        <v>8.5970000000000005E-5</v>
      </c>
      <c r="M13160" s="1" t="s">
        <v>677</v>
      </c>
      <c r="N13160" s="1" t="s">
        <v>466</v>
      </c>
      <c r="P13160" s="1" t="s">
        <v>457</v>
      </c>
      <c r="Q13160" s="1">
        <v>0</v>
      </c>
      <c r="S13160" s="1">
        <v>0</v>
      </c>
      <c r="T13160" s="1">
        <v>0</v>
      </c>
      <c r="V13160" s="1">
        <f t="shared" si="256"/>
        <v>0</v>
      </c>
      <c r="W13160" s="1" t="s">
        <v>5</v>
      </c>
      <c r="X13160" s="39">
        <v>6.4781311496222909</v>
      </c>
      <c r="Y13160" s="23">
        <v>0</v>
      </c>
      <c r="Z13160" s="11">
        <v>0</v>
      </c>
      <c r="AA13160" s="11">
        <v>0</v>
      </c>
    </row>
    <row r="13161" spans="1:27" x14ac:dyDescent="0.2">
      <c r="A13161" s="1">
        <v>61</v>
      </c>
      <c r="B13161" s="1" t="s">
        <v>156</v>
      </c>
      <c r="C13161" s="1" t="s">
        <v>157</v>
      </c>
      <c r="D13161" s="1">
        <v>1938</v>
      </c>
      <c r="E13161" s="11">
        <v>0</v>
      </c>
      <c r="G13161" s="1">
        <v>0</v>
      </c>
      <c r="H13161" s="1" t="s">
        <v>5</v>
      </c>
      <c r="I13161" s="1">
        <v>3.6751</v>
      </c>
      <c r="J13161" s="1">
        <v>9.1877499999999996E-5</v>
      </c>
      <c r="M13161" s="1" t="s">
        <v>677</v>
      </c>
      <c r="N13161" s="1" t="s">
        <v>466</v>
      </c>
      <c r="P13161" s="1" t="s">
        <v>457</v>
      </c>
      <c r="Q13161" s="1">
        <v>0</v>
      </c>
      <c r="S13161" s="1">
        <v>0</v>
      </c>
      <c r="T13161" s="1">
        <v>0</v>
      </c>
      <c r="V13161" s="1">
        <f t="shared" si="256"/>
        <v>0</v>
      </c>
      <c r="W13161" s="1" t="s">
        <v>5</v>
      </c>
      <c r="X13161" s="39">
        <v>5.5127846211272864</v>
      </c>
      <c r="Y13161" s="23">
        <v>0</v>
      </c>
      <c r="Z13161" s="11">
        <v>0</v>
      </c>
      <c r="AA13161" s="11">
        <v>0</v>
      </c>
    </row>
    <row r="13162" spans="1:27" x14ac:dyDescent="0.2">
      <c r="A13162" s="1">
        <v>61</v>
      </c>
      <c r="B13162" s="1" t="s">
        <v>156</v>
      </c>
      <c r="C13162" s="1" t="s">
        <v>157</v>
      </c>
      <c r="D13162" s="1">
        <v>1939</v>
      </c>
      <c r="E13162" s="11">
        <v>0</v>
      </c>
      <c r="G13162" s="1">
        <v>0</v>
      </c>
      <c r="H13162" s="1" t="s">
        <v>5</v>
      </c>
      <c r="I13162" s="1">
        <v>4.2699999999999996</v>
      </c>
      <c r="J13162" s="1">
        <v>1.0675000000000001E-4</v>
      </c>
      <c r="M13162" s="1" t="s">
        <v>677</v>
      </c>
      <c r="N13162" s="1" t="s">
        <v>466</v>
      </c>
      <c r="P13162" s="1" t="s">
        <v>457</v>
      </c>
      <c r="Q13162" s="1">
        <v>0</v>
      </c>
      <c r="S13162" s="1">
        <v>0</v>
      </c>
      <c r="T13162" s="1">
        <v>0</v>
      </c>
      <c r="V13162" s="1">
        <f t="shared" si="256"/>
        <v>0</v>
      </c>
      <c r="W13162" s="1" t="s">
        <v>5</v>
      </c>
      <c r="X13162" s="39">
        <v>12.322377619446801</v>
      </c>
      <c r="Y13162" s="23">
        <v>0</v>
      </c>
      <c r="Z13162" s="49">
        <v>1</v>
      </c>
      <c r="AA13162" s="11">
        <v>0</v>
      </c>
    </row>
    <row r="13163" spans="1:27" x14ac:dyDescent="0.2">
      <c r="A13163" s="1">
        <v>61</v>
      </c>
      <c r="B13163" s="1" t="s">
        <v>156</v>
      </c>
      <c r="C13163" s="1" t="s">
        <v>157</v>
      </c>
      <c r="D13163" s="1">
        <v>1940</v>
      </c>
      <c r="E13163" s="11">
        <v>0</v>
      </c>
      <c r="G13163" s="1">
        <v>0</v>
      </c>
      <c r="H13163" s="1" t="s">
        <v>5</v>
      </c>
      <c r="I13163" s="1">
        <v>4.2699999999999996</v>
      </c>
      <c r="J13163" s="1">
        <v>1.0675000000000001E-4</v>
      </c>
      <c r="M13163" s="1" t="s">
        <v>677</v>
      </c>
      <c r="N13163" s="1" t="s">
        <v>466</v>
      </c>
      <c r="P13163" s="1" t="s">
        <v>457</v>
      </c>
      <c r="Q13163" s="1">
        <v>0</v>
      </c>
      <c r="S13163" s="1">
        <v>0</v>
      </c>
      <c r="T13163" s="1">
        <v>0</v>
      </c>
      <c r="V13163" s="1">
        <f t="shared" si="256"/>
        <v>0</v>
      </c>
      <c r="W13163" s="1" t="s">
        <v>5</v>
      </c>
      <c r="X13163" s="39" t="s">
        <v>419</v>
      </c>
      <c r="Y13163" s="23">
        <v>0</v>
      </c>
      <c r="Z13163" s="11">
        <v>0</v>
      </c>
      <c r="AA13163" s="11">
        <v>0</v>
      </c>
    </row>
    <row r="13164" spans="1:27" ht="12.75" customHeight="1" x14ac:dyDescent="0.2">
      <c r="A13164" s="1">
        <v>61</v>
      </c>
      <c r="B13164" s="1" t="s">
        <v>156</v>
      </c>
      <c r="C13164" s="1" t="s">
        <v>157</v>
      </c>
      <c r="D13164" s="1">
        <v>1941</v>
      </c>
      <c r="E13164" s="11">
        <v>0</v>
      </c>
      <c r="G13164" s="1">
        <v>0</v>
      </c>
      <c r="H13164" s="1" t="s">
        <v>5</v>
      </c>
      <c r="I13164" s="1">
        <v>4.2699999999999996</v>
      </c>
      <c r="J13164" s="1">
        <v>1.0675000000000001E-4</v>
      </c>
      <c r="M13164" s="1" t="s">
        <v>677</v>
      </c>
      <c r="N13164" s="1" t="s">
        <v>466</v>
      </c>
      <c r="P13164" s="1" t="s">
        <v>457</v>
      </c>
      <c r="Q13164" s="1">
        <v>0</v>
      </c>
      <c r="S13164" s="1">
        <v>0</v>
      </c>
      <c r="T13164" s="1">
        <v>0</v>
      </c>
      <c r="V13164" s="1">
        <f t="shared" si="256"/>
        <v>0</v>
      </c>
      <c r="W13164" s="1" t="s">
        <v>5</v>
      </c>
      <c r="X13164" s="39" t="s">
        <v>419</v>
      </c>
      <c r="Y13164" s="23">
        <v>0</v>
      </c>
      <c r="Z13164" s="11">
        <v>0</v>
      </c>
      <c r="AA13164" s="11">
        <v>0</v>
      </c>
    </row>
    <row r="13165" spans="1:27" x14ac:dyDescent="0.2">
      <c r="A13165" s="1">
        <v>61</v>
      </c>
      <c r="B13165" s="1" t="s">
        <v>156</v>
      </c>
      <c r="C13165" s="1" t="s">
        <v>157</v>
      </c>
      <c r="D13165" s="1">
        <v>1942</v>
      </c>
      <c r="E13165" s="11">
        <v>0</v>
      </c>
      <c r="G13165" s="1">
        <v>0</v>
      </c>
      <c r="H13165" s="1" t="s">
        <v>5</v>
      </c>
      <c r="I13165" s="1">
        <v>4.2699999999999996</v>
      </c>
      <c r="J13165" s="1">
        <v>1.0675000000000001E-4</v>
      </c>
      <c r="M13165" s="1" t="s">
        <v>677</v>
      </c>
      <c r="N13165" s="1" t="s">
        <v>466</v>
      </c>
      <c r="P13165" s="1" t="s">
        <v>457</v>
      </c>
      <c r="Q13165" s="1">
        <v>0</v>
      </c>
      <c r="S13165" s="1">
        <v>0</v>
      </c>
      <c r="T13165" s="1">
        <v>0</v>
      </c>
      <c r="V13165" s="1">
        <f t="shared" si="256"/>
        <v>0</v>
      </c>
      <c r="W13165" s="1" t="s">
        <v>5</v>
      </c>
      <c r="X13165" s="39" t="s">
        <v>419</v>
      </c>
      <c r="Y13165" s="23">
        <v>0</v>
      </c>
      <c r="Z13165" s="11">
        <v>0</v>
      </c>
      <c r="AA13165" s="11">
        <v>0</v>
      </c>
    </row>
    <row r="13166" spans="1:27" x14ac:dyDescent="0.2">
      <c r="A13166" s="1">
        <v>61</v>
      </c>
      <c r="B13166" s="1" t="s">
        <v>156</v>
      </c>
      <c r="C13166" s="1" t="s">
        <v>157</v>
      </c>
      <c r="D13166" s="1">
        <v>1943</v>
      </c>
      <c r="E13166" s="11">
        <v>0</v>
      </c>
      <c r="G13166" s="1">
        <v>0</v>
      </c>
      <c r="H13166" s="1" t="s">
        <v>5</v>
      </c>
      <c r="I13166" s="1">
        <v>4.2699999999999996</v>
      </c>
      <c r="J13166" s="1">
        <v>1.0675000000000001E-4</v>
      </c>
      <c r="M13166" s="1" t="s">
        <v>677</v>
      </c>
      <c r="N13166" s="1" t="s">
        <v>466</v>
      </c>
      <c r="P13166" s="1" t="s">
        <v>457</v>
      </c>
      <c r="Q13166" s="1">
        <v>0</v>
      </c>
      <c r="S13166" s="1">
        <v>0</v>
      </c>
      <c r="T13166" s="1">
        <v>0</v>
      </c>
      <c r="V13166" s="1">
        <f t="shared" si="256"/>
        <v>0</v>
      </c>
      <c r="W13166" s="1" t="s">
        <v>5</v>
      </c>
      <c r="X13166" s="39" t="s">
        <v>419</v>
      </c>
      <c r="Y13166" s="23">
        <v>0</v>
      </c>
      <c r="Z13166" s="11">
        <v>0</v>
      </c>
      <c r="AA13166" s="11">
        <v>0</v>
      </c>
    </row>
    <row r="13167" spans="1:27" x14ac:dyDescent="0.2">
      <c r="A13167" s="1">
        <v>61</v>
      </c>
      <c r="B13167" s="1" t="s">
        <v>156</v>
      </c>
      <c r="C13167" s="1" t="s">
        <v>157</v>
      </c>
      <c r="D13167" s="1">
        <v>1944</v>
      </c>
      <c r="E13167" s="11">
        <v>0</v>
      </c>
      <c r="G13167" s="1">
        <v>0</v>
      </c>
      <c r="H13167" s="1" t="s">
        <v>5</v>
      </c>
      <c r="I13167" s="1">
        <v>4.2699999999999996</v>
      </c>
      <c r="J13167" s="1">
        <v>1.0675000000000001E-4</v>
      </c>
      <c r="M13167" s="1" t="s">
        <v>677</v>
      </c>
      <c r="N13167" s="1" t="s">
        <v>466</v>
      </c>
      <c r="P13167" s="1" t="s">
        <v>457</v>
      </c>
      <c r="Q13167" s="1">
        <v>0</v>
      </c>
      <c r="S13167" s="1">
        <v>0</v>
      </c>
      <c r="T13167" s="1">
        <v>0</v>
      </c>
      <c r="V13167" s="1">
        <f t="shared" si="256"/>
        <v>0</v>
      </c>
      <c r="W13167" s="1" t="s">
        <v>5</v>
      </c>
      <c r="X13167" s="39" t="s">
        <v>419</v>
      </c>
      <c r="Y13167" s="23">
        <v>0</v>
      </c>
      <c r="Z13167" s="11">
        <v>0</v>
      </c>
      <c r="AA13167" s="11">
        <v>0</v>
      </c>
    </row>
    <row r="13168" spans="1:27" ht="12.95" customHeight="1" x14ac:dyDescent="0.25">
      <c r="A13168" s="1">
        <v>61</v>
      </c>
      <c r="B13168" s="1" t="s">
        <v>156</v>
      </c>
      <c r="C13168" s="1" t="s">
        <v>157</v>
      </c>
      <c r="D13168" s="1">
        <v>1945</v>
      </c>
      <c r="E13168" s="11">
        <v>0</v>
      </c>
      <c r="G13168" s="1">
        <v>0</v>
      </c>
      <c r="H13168" s="1" t="s">
        <v>5</v>
      </c>
      <c r="I13168" s="1">
        <v>40</v>
      </c>
      <c r="J13168" s="1">
        <v>1E-3</v>
      </c>
      <c r="M13168" s="1" t="s">
        <v>677</v>
      </c>
      <c r="N13168" s="1" t="s">
        <v>466</v>
      </c>
      <c r="P13168" s="1" t="s">
        <v>457</v>
      </c>
      <c r="Q13168" s="1">
        <v>0</v>
      </c>
      <c r="S13168" s="1">
        <v>0</v>
      </c>
      <c r="T13168" s="1">
        <v>0</v>
      </c>
      <c r="V13168" s="1">
        <f t="shared" si="256"/>
        <v>0</v>
      </c>
      <c r="W13168" s="1" t="s">
        <v>5</v>
      </c>
      <c r="X13168" s="59"/>
      <c r="Y13168" s="23">
        <v>1</v>
      </c>
      <c r="Z13168" s="11">
        <v>0</v>
      </c>
      <c r="AA13168" s="82">
        <v>1</v>
      </c>
    </row>
    <row r="13169" spans="1:27" ht="15" customHeight="1" x14ac:dyDescent="0.25">
      <c r="A13169" s="1">
        <v>61</v>
      </c>
      <c r="B13169" s="1" t="s">
        <v>156</v>
      </c>
      <c r="C13169" s="1" t="s">
        <v>157</v>
      </c>
      <c r="D13169" s="1">
        <v>1946</v>
      </c>
      <c r="E13169" s="11">
        <v>0</v>
      </c>
      <c r="G13169" s="1">
        <v>0</v>
      </c>
      <c r="H13169" s="1" t="s">
        <v>5</v>
      </c>
      <c r="I13169" s="1">
        <v>215</v>
      </c>
      <c r="J13169" s="1">
        <v>5.3749999999999996E-3</v>
      </c>
      <c r="M13169" s="1" t="s">
        <v>677</v>
      </c>
      <c r="N13169" s="1" t="s">
        <v>466</v>
      </c>
      <c r="P13169" s="1" t="s">
        <v>457</v>
      </c>
      <c r="Q13169" s="1">
        <v>0</v>
      </c>
      <c r="S13169" s="1">
        <v>0</v>
      </c>
      <c r="T13169" s="1">
        <v>0</v>
      </c>
      <c r="V13169" s="1">
        <f t="shared" si="256"/>
        <v>0</v>
      </c>
      <c r="W13169" s="1" t="s">
        <v>5</v>
      </c>
      <c r="X13169" s="59"/>
      <c r="Y13169" s="23">
        <v>1</v>
      </c>
      <c r="Z13169" s="49">
        <v>1</v>
      </c>
      <c r="AA13169" s="82">
        <v>1</v>
      </c>
    </row>
    <row r="13170" spans="1:27" ht="15" customHeight="1" x14ac:dyDescent="0.25">
      <c r="A13170" s="1">
        <v>61</v>
      </c>
      <c r="B13170" s="1" t="s">
        <v>156</v>
      </c>
      <c r="C13170" s="1" t="s">
        <v>157</v>
      </c>
      <c r="D13170" s="1">
        <v>1947</v>
      </c>
      <c r="E13170" s="11">
        <v>0</v>
      </c>
      <c r="G13170" s="1">
        <v>0</v>
      </c>
      <c r="H13170" s="1" t="s">
        <v>5</v>
      </c>
      <c r="I13170" s="1">
        <v>2000</v>
      </c>
      <c r="J13170" s="1">
        <v>0.05</v>
      </c>
      <c r="M13170" s="1" t="s">
        <v>677</v>
      </c>
      <c r="N13170" s="1" t="s">
        <v>466</v>
      </c>
      <c r="P13170" s="1" t="s">
        <v>457</v>
      </c>
      <c r="Q13170" s="1">
        <v>0</v>
      </c>
      <c r="S13170" s="1">
        <v>0</v>
      </c>
      <c r="T13170" s="1">
        <v>0</v>
      </c>
      <c r="V13170" s="1">
        <f t="shared" si="256"/>
        <v>0</v>
      </c>
      <c r="W13170" s="1" t="s">
        <v>5</v>
      </c>
      <c r="X13170" s="59"/>
      <c r="Y13170" s="23">
        <v>1</v>
      </c>
      <c r="Z13170" s="49">
        <v>1</v>
      </c>
      <c r="AA13170" s="82">
        <v>1</v>
      </c>
    </row>
    <row r="13171" spans="1:27" ht="15" customHeight="1" x14ac:dyDescent="0.25">
      <c r="A13171" s="1">
        <v>61</v>
      </c>
      <c r="B13171" s="1" t="s">
        <v>156</v>
      </c>
      <c r="C13171" s="1" t="s">
        <v>157</v>
      </c>
      <c r="D13171" s="1">
        <v>1948</v>
      </c>
      <c r="E13171" s="11">
        <v>0</v>
      </c>
      <c r="G13171" s="1">
        <v>0</v>
      </c>
      <c r="H13171" s="1" t="s">
        <v>5</v>
      </c>
      <c r="I13171" s="1">
        <v>27000</v>
      </c>
      <c r="J13171" s="1">
        <v>0.67500000000000004</v>
      </c>
      <c r="M13171" s="1" t="s">
        <v>677</v>
      </c>
      <c r="N13171" s="1" t="s">
        <v>466</v>
      </c>
      <c r="P13171" s="1" t="s">
        <v>457</v>
      </c>
      <c r="Q13171" s="1">
        <v>0</v>
      </c>
      <c r="S13171" s="1">
        <v>0</v>
      </c>
      <c r="T13171" s="1">
        <v>0</v>
      </c>
      <c r="V13171" s="1">
        <f t="shared" si="256"/>
        <v>0</v>
      </c>
      <c r="W13171" s="1" t="s">
        <v>5</v>
      </c>
      <c r="X13171" s="59"/>
      <c r="Y13171" s="23">
        <v>1</v>
      </c>
      <c r="Z13171" s="49">
        <v>1</v>
      </c>
      <c r="AA13171" s="82">
        <v>1</v>
      </c>
    </row>
    <row r="13172" spans="1:27" ht="15" customHeight="1" x14ac:dyDescent="0.25">
      <c r="A13172" s="1">
        <v>61</v>
      </c>
      <c r="B13172" s="1" t="s">
        <v>156</v>
      </c>
      <c r="C13172" s="1" t="s">
        <v>157</v>
      </c>
      <c r="D13172" s="1">
        <v>1949</v>
      </c>
      <c r="E13172" s="11">
        <v>0</v>
      </c>
      <c r="G13172" s="1">
        <v>0</v>
      </c>
      <c r="H13172" s="1" t="s">
        <v>5</v>
      </c>
      <c r="I13172" s="1">
        <v>5</v>
      </c>
      <c r="J13172" s="1">
        <v>5</v>
      </c>
      <c r="M13172" s="1" t="s">
        <v>677</v>
      </c>
      <c r="N13172" s="1" t="s">
        <v>466</v>
      </c>
      <c r="P13172" s="1" t="s">
        <v>457</v>
      </c>
      <c r="Q13172" s="1">
        <v>0</v>
      </c>
      <c r="S13172" s="1">
        <v>0</v>
      </c>
      <c r="T13172" s="1">
        <v>0</v>
      </c>
      <c r="V13172" s="1">
        <f t="shared" si="256"/>
        <v>0</v>
      </c>
      <c r="W13172" s="1" t="s">
        <v>5</v>
      </c>
      <c r="X13172" s="59"/>
      <c r="Y13172" s="23">
        <v>1</v>
      </c>
      <c r="Z13172" s="49">
        <v>2</v>
      </c>
      <c r="AA13172" s="82">
        <v>1</v>
      </c>
    </row>
    <row r="13173" spans="1:27" ht="15" customHeight="1" x14ac:dyDescent="0.25">
      <c r="A13173" s="1">
        <v>61</v>
      </c>
      <c r="B13173" s="1" t="s">
        <v>156</v>
      </c>
      <c r="C13173" s="1" t="s">
        <v>157</v>
      </c>
      <c r="D13173" s="1">
        <v>1950</v>
      </c>
      <c r="E13173" s="11">
        <v>0</v>
      </c>
      <c r="G13173" s="1">
        <v>0</v>
      </c>
      <c r="H13173" s="1" t="s">
        <v>5</v>
      </c>
      <c r="I13173" s="1">
        <v>10.75</v>
      </c>
      <c r="J13173" s="1">
        <v>10.75</v>
      </c>
      <c r="M13173" s="1" t="s">
        <v>677</v>
      </c>
      <c r="N13173" s="1" t="s">
        <v>466</v>
      </c>
      <c r="P13173" s="1" t="s">
        <v>457</v>
      </c>
      <c r="Q13173" s="1">
        <v>0</v>
      </c>
      <c r="S13173" s="1">
        <v>0</v>
      </c>
      <c r="T13173" s="1">
        <v>0</v>
      </c>
      <c r="V13173" s="1">
        <f t="shared" si="256"/>
        <v>0</v>
      </c>
      <c r="W13173" s="1" t="s">
        <v>5</v>
      </c>
      <c r="X13173" s="59"/>
      <c r="Y13173" s="23">
        <v>1</v>
      </c>
      <c r="Z13173" s="49">
        <v>1</v>
      </c>
      <c r="AA13173" s="82">
        <v>1</v>
      </c>
    </row>
    <row r="13174" spans="1:27" ht="15" customHeight="1" x14ac:dyDescent="0.2">
      <c r="A13174" s="1">
        <v>61</v>
      </c>
      <c r="B13174" s="1" t="s">
        <v>156</v>
      </c>
      <c r="C13174" s="1" t="s">
        <v>157</v>
      </c>
      <c r="D13174" s="1">
        <v>1951</v>
      </c>
      <c r="E13174" s="11">
        <v>0</v>
      </c>
      <c r="G13174" s="1">
        <v>0</v>
      </c>
      <c r="H13174" s="1" t="s">
        <v>5</v>
      </c>
      <c r="I13174" s="1">
        <v>26.75</v>
      </c>
      <c r="J13174" s="1">
        <v>26.75</v>
      </c>
      <c r="M13174" s="1" t="s">
        <v>677</v>
      </c>
      <c r="N13174" s="1" t="s">
        <v>466</v>
      </c>
      <c r="P13174" s="1" t="s">
        <v>457</v>
      </c>
      <c r="Q13174" s="1">
        <v>0</v>
      </c>
      <c r="S13174" s="1">
        <v>0</v>
      </c>
      <c r="T13174" s="1">
        <v>0</v>
      </c>
      <c r="V13174" s="1">
        <f t="shared" si="256"/>
        <v>0</v>
      </c>
      <c r="W13174" s="1" t="s">
        <v>5</v>
      </c>
      <c r="X13174" s="39" t="s">
        <v>419</v>
      </c>
      <c r="Y13174" s="23">
        <v>1</v>
      </c>
      <c r="Z13174" s="49">
        <v>1</v>
      </c>
      <c r="AA13174" s="11">
        <v>0</v>
      </c>
    </row>
    <row r="13175" spans="1:27" x14ac:dyDescent="0.2">
      <c r="A13175" s="1">
        <v>61</v>
      </c>
      <c r="B13175" s="1" t="s">
        <v>156</v>
      </c>
      <c r="C13175" s="1" t="s">
        <v>157</v>
      </c>
      <c r="D13175" s="1">
        <v>1952</v>
      </c>
      <c r="E13175" s="11">
        <v>0</v>
      </c>
      <c r="G13175" s="1">
        <v>0</v>
      </c>
      <c r="H13175" s="1" t="s">
        <v>5</v>
      </c>
      <c r="I13175" s="1">
        <v>20.25</v>
      </c>
      <c r="J13175" s="1">
        <v>20.25</v>
      </c>
      <c r="M13175" s="1" t="s">
        <v>677</v>
      </c>
      <c r="N13175" s="1" t="s">
        <v>466</v>
      </c>
      <c r="P13175" s="1" t="s">
        <v>457</v>
      </c>
      <c r="Q13175" s="1">
        <v>0</v>
      </c>
      <c r="S13175" s="1">
        <v>0</v>
      </c>
      <c r="T13175" s="1">
        <v>0</v>
      </c>
      <c r="V13175" s="1">
        <f t="shared" si="256"/>
        <v>0</v>
      </c>
      <c r="W13175" s="1" t="s">
        <v>5</v>
      </c>
      <c r="X13175" s="39">
        <v>16.614567371539479</v>
      </c>
      <c r="Y13175" s="23">
        <v>1</v>
      </c>
      <c r="Z13175" s="11">
        <v>0</v>
      </c>
      <c r="AA13175" s="11">
        <v>0</v>
      </c>
    </row>
    <row r="13176" spans="1:27" x14ac:dyDescent="0.2">
      <c r="A13176" s="1">
        <v>61</v>
      </c>
      <c r="B13176" s="1" t="s">
        <v>156</v>
      </c>
      <c r="C13176" s="1" t="s">
        <v>157</v>
      </c>
      <c r="D13176" s="1">
        <v>1953</v>
      </c>
      <c r="E13176" s="11">
        <v>0</v>
      </c>
      <c r="G13176" s="1">
        <v>0</v>
      </c>
      <c r="H13176" s="1" t="s">
        <v>5</v>
      </c>
      <c r="I13176" s="1">
        <v>19.850000000000001</v>
      </c>
      <c r="J13176" s="1">
        <v>19.850000000000001</v>
      </c>
      <c r="M13176" s="1" t="s">
        <v>677</v>
      </c>
      <c r="N13176" s="1" t="s">
        <v>466</v>
      </c>
      <c r="P13176" s="1" t="s">
        <v>457</v>
      </c>
      <c r="Q13176" s="1">
        <v>0</v>
      </c>
      <c r="S13176" s="1">
        <v>0</v>
      </c>
      <c r="T13176" s="1">
        <v>0</v>
      </c>
      <c r="V13176" s="1">
        <f t="shared" si="256"/>
        <v>0</v>
      </c>
      <c r="W13176" s="1" t="s">
        <v>5</v>
      </c>
      <c r="X13176" s="39">
        <v>12.991222383797329</v>
      </c>
      <c r="Y13176" s="23">
        <v>1</v>
      </c>
      <c r="Z13176" s="11">
        <v>0</v>
      </c>
      <c r="AA13176" s="11">
        <v>0</v>
      </c>
    </row>
    <row r="13177" spans="1:27" x14ac:dyDescent="0.2">
      <c r="A13177" s="1">
        <v>61</v>
      </c>
      <c r="B13177" s="1" t="s">
        <v>156</v>
      </c>
      <c r="C13177" s="1" t="s">
        <v>157</v>
      </c>
      <c r="D13177" s="1">
        <v>1954</v>
      </c>
      <c r="E13177" s="11">
        <v>0</v>
      </c>
      <c r="G13177" s="1">
        <v>0</v>
      </c>
      <c r="H13177" s="1" t="s">
        <v>5</v>
      </c>
      <c r="I13177" s="1">
        <v>27.5</v>
      </c>
      <c r="J13177" s="1">
        <v>27.5</v>
      </c>
      <c r="M13177" s="1" t="s">
        <v>677</v>
      </c>
      <c r="N13177" s="1" t="s">
        <v>466</v>
      </c>
      <c r="P13177" s="1" t="s">
        <v>457</v>
      </c>
      <c r="Q13177" s="1">
        <v>0</v>
      </c>
      <c r="S13177" s="1">
        <v>0</v>
      </c>
      <c r="T13177" s="1">
        <v>0</v>
      </c>
      <c r="V13177" s="1">
        <f t="shared" si="256"/>
        <v>0</v>
      </c>
      <c r="W13177" s="1" t="s">
        <v>5</v>
      </c>
      <c r="X13177" s="39">
        <v>-9.0166222167090471</v>
      </c>
      <c r="Y13177" s="23">
        <v>1</v>
      </c>
      <c r="Z13177" s="11">
        <v>0</v>
      </c>
      <c r="AA13177" s="11">
        <v>0</v>
      </c>
    </row>
    <row r="13178" spans="1:27" x14ac:dyDescent="0.2">
      <c r="A13178" s="1">
        <v>61</v>
      </c>
      <c r="B13178" s="1" t="s">
        <v>156</v>
      </c>
      <c r="C13178" s="1" t="s">
        <v>157</v>
      </c>
      <c r="D13178" s="1">
        <v>1955</v>
      </c>
      <c r="E13178" s="11">
        <v>0</v>
      </c>
      <c r="G13178" s="1">
        <v>0</v>
      </c>
      <c r="H13178" s="1" t="s">
        <v>5</v>
      </c>
      <c r="I13178" s="1">
        <v>42.5</v>
      </c>
      <c r="J13178" s="1">
        <v>42.5</v>
      </c>
      <c r="M13178" s="1" t="s">
        <v>677</v>
      </c>
      <c r="N13178" s="1" t="s">
        <v>466</v>
      </c>
      <c r="P13178" s="1" t="s">
        <v>457</v>
      </c>
      <c r="Q13178" s="1">
        <v>0</v>
      </c>
      <c r="S13178" s="1">
        <v>0</v>
      </c>
      <c r="T13178" s="1">
        <v>0</v>
      </c>
      <c r="V13178" s="1">
        <f t="shared" si="256"/>
        <v>0</v>
      </c>
      <c r="W13178" s="1" t="s">
        <v>5</v>
      </c>
      <c r="X13178" s="39">
        <v>12.792917156637195</v>
      </c>
      <c r="Y13178" s="23">
        <v>1</v>
      </c>
      <c r="Z13178" s="49">
        <v>1</v>
      </c>
      <c r="AA13178" s="11">
        <v>0</v>
      </c>
    </row>
    <row r="13179" spans="1:27" x14ac:dyDescent="0.2">
      <c r="A13179" s="1">
        <v>61</v>
      </c>
      <c r="B13179" s="1" t="s">
        <v>156</v>
      </c>
      <c r="C13179" s="1" t="s">
        <v>157</v>
      </c>
      <c r="D13179" s="1">
        <v>1956</v>
      </c>
      <c r="E13179" s="11">
        <v>0</v>
      </c>
      <c r="G13179" s="1">
        <v>0</v>
      </c>
      <c r="H13179" s="1" t="s">
        <v>5</v>
      </c>
      <c r="I13179" s="1">
        <v>37.700000000000003</v>
      </c>
      <c r="J13179" s="1">
        <v>37.700000000000003</v>
      </c>
      <c r="M13179" s="1" t="s">
        <v>677</v>
      </c>
      <c r="N13179" s="1" t="s">
        <v>466</v>
      </c>
      <c r="P13179" s="1" t="s">
        <v>457</v>
      </c>
      <c r="Q13179" s="1">
        <v>0</v>
      </c>
      <c r="S13179" s="1">
        <v>0</v>
      </c>
      <c r="T13179" s="1">
        <v>0</v>
      </c>
      <c r="V13179" s="1">
        <f t="shared" si="256"/>
        <v>0</v>
      </c>
      <c r="W13179" s="1" t="s">
        <v>5</v>
      </c>
      <c r="X13179" s="39">
        <v>12.930715359568467</v>
      </c>
      <c r="Y13179" s="23">
        <v>1</v>
      </c>
      <c r="Z13179" s="49">
        <v>1</v>
      </c>
      <c r="AA13179" s="11">
        <v>0</v>
      </c>
    </row>
    <row r="13180" spans="1:27" x14ac:dyDescent="0.2">
      <c r="A13180" s="1">
        <v>61</v>
      </c>
      <c r="B13180" s="1" t="s">
        <v>156</v>
      </c>
      <c r="C13180" s="1" t="s">
        <v>157</v>
      </c>
      <c r="D13180" s="1">
        <v>1957</v>
      </c>
      <c r="E13180" s="11">
        <v>0</v>
      </c>
      <c r="G13180" s="1">
        <v>0</v>
      </c>
      <c r="H13180" s="1" t="s">
        <v>5</v>
      </c>
      <c r="I13180" s="1">
        <v>41.85</v>
      </c>
      <c r="J13180" s="1">
        <v>41.85</v>
      </c>
      <c r="M13180" s="1" t="s">
        <v>677</v>
      </c>
      <c r="N13180" s="1" t="s">
        <v>466</v>
      </c>
      <c r="P13180" s="1" t="s">
        <v>457</v>
      </c>
      <c r="Q13180" s="1">
        <v>0</v>
      </c>
      <c r="S13180" s="1">
        <v>0</v>
      </c>
      <c r="T13180" s="1">
        <v>0</v>
      </c>
      <c r="V13180" s="1">
        <f t="shared" si="256"/>
        <v>0</v>
      </c>
      <c r="W13180" s="1" t="s">
        <v>5</v>
      </c>
      <c r="X13180" s="39">
        <v>1.5265949974244686</v>
      </c>
      <c r="Y13180" s="23">
        <v>1</v>
      </c>
      <c r="Z13180" s="11">
        <v>0</v>
      </c>
      <c r="AA13180" s="11">
        <v>0</v>
      </c>
    </row>
    <row r="13181" spans="1:27" x14ac:dyDescent="0.2">
      <c r="A13181" s="1">
        <v>61</v>
      </c>
      <c r="B13181" s="1" t="s">
        <v>156</v>
      </c>
      <c r="C13181" s="1" t="s">
        <v>157</v>
      </c>
      <c r="D13181" s="1">
        <v>1958</v>
      </c>
      <c r="E13181" s="11">
        <v>0</v>
      </c>
      <c r="G13181" s="1">
        <v>0</v>
      </c>
      <c r="H13181" s="1" t="s">
        <v>5</v>
      </c>
      <c r="I13181" s="1">
        <v>46.15</v>
      </c>
      <c r="J13181" s="1">
        <v>46.15</v>
      </c>
      <c r="M13181" s="1" t="s">
        <v>677</v>
      </c>
      <c r="N13181" s="1" t="s">
        <v>466</v>
      </c>
      <c r="P13181" s="1" t="s">
        <v>457</v>
      </c>
      <c r="Q13181" s="1">
        <v>0</v>
      </c>
      <c r="S13181" s="1">
        <v>0</v>
      </c>
      <c r="T13181" s="1">
        <v>0</v>
      </c>
      <c r="V13181" s="1">
        <f t="shared" si="256"/>
        <v>0</v>
      </c>
      <c r="W13181" s="1" t="s">
        <v>5</v>
      </c>
      <c r="X13181" s="39">
        <v>1.5036404968207462</v>
      </c>
      <c r="Y13181" s="23">
        <v>1</v>
      </c>
      <c r="Z13181" s="11">
        <v>0</v>
      </c>
      <c r="AA13181" s="11">
        <v>0</v>
      </c>
    </row>
    <row r="13182" spans="1:27" x14ac:dyDescent="0.2">
      <c r="A13182" s="1">
        <v>61</v>
      </c>
      <c r="B13182" s="1" t="s">
        <v>156</v>
      </c>
      <c r="C13182" s="1" t="s">
        <v>157</v>
      </c>
      <c r="D13182" s="1">
        <v>1959</v>
      </c>
      <c r="E13182" s="11">
        <v>0</v>
      </c>
      <c r="G13182" s="1">
        <v>0</v>
      </c>
      <c r="H13182" s="1" t="s">
        <v>5</v>
      </c>
      <c r="I13182" s="1">
        <v>44.5</v>
      </c>
      <c r="J13182" s="1">
        <v>44.5</v>
      </c>
      <c r="M13182" s="1" t="s">
        <v>677</v>
      </c>
      <c r="N13182" s="1" t="s">
        <v>466</v>
      </c>
      <c r="P13182" s="1" t="s">
        <v>457</v>
      </c>
      <c r="Q13182" s="1">
        <v>0</v>
      </c>
      <c r="S13182" s="1">
        <v>0</v>
      </c>
      <c r="T13182" s="1">
        <v>0</v>
      </c>
      <c r="V13182" s="1">
        <f t="shared" si="256"/>
        <v>0</v>
      </c>
      <c r="W13182" s="1" t="s">
        <v>5</v>
      </c>
      <c r="X13182" s="39">
        <v>10.194940505170514</v>
      </c>
      <c r="Y13182" s="23">
        <v>1</v>
      </c>
      <c r="Z13182" s="11">
        <v>0</v>
      </c>
      <c r="AA13182" s="11">
        <v>0</v>
      </c>
    </row>
    <row r="13183" spans="1:27" x14ac:dyDescent="0.2">
      <c r="A13183" s="1">
        <v>61</v>
      </c>
      <c r="B13183" s="1" t="s">
        <v>156</v>
      </c>
      <c r="C13183" s="1" t="s">
        <v>157</v>
      </c>
      <c r="D13183" s="1">
        <v>1960</v>
      </c>
      <c r="E13183" s="11">
        <v>0</v>
      </c>
      <c r="G13183" s="1">
        <v>0</v>
      </c>
      <c r="H13183" s="1" t="s">
        <v>5</v>
      </c>
      <c r="I13183" s="1">
        <v>44.6</v>
      </c>
      <c r="J13183" s="1">
        <v>44.6</v>
      </c>
      <c r="M13183" s="1" t="s">
        <v>677</v>
      </c>
      <c r="N13183" s="1" t="s">
        <v>466</v>
      </c>
      <c r="P13183" s="1" t="s">
        <v>457</v>
      </c>
      <c r="Q13183" s="1">
        <v>0</v>
      </c>
      <c r="S13183" s="1">
        <v>0</v>
      </c>
      <c r="T13183" s="1">
        <v>0</v>
      </c>
      <c r="V13183" s="1">
        <f t="shared" si="256"/>
        <v>0</v>
      </c>
      <c r="W13183" s="1" t="s">
        <v>5</v>
      </c>
      <c r="X13183" s="39">
        <v>19.083722135821656</v>
      </c>
      <c r="Y13183" s="23">
        <v>1</v>
      </c>
      <c r="Z13183" s="11">
        <v>0</v>
      </c>
      <c r="AA13183" s="11">
        <v>0</v>
      </c>
    </row>
    <row r="13184" spans="1:27" x14ac:dyDescent="0.2">
      <c r="A13184" s="1">
        <v>61</v>
      </c>
      <c r="B13184" s="1" t="s">
        <v>156</v>
      </c>
      <c r="C13184" s="1" t="s">
        <v>157</v>
      </c>
      <c r="D13184" s="1">
        <v>1961</v>
      </c>
      <c r="E13184" s="11">
        <v>0</v>
      </c>
      <c r="G13184" s="1">
        <v>0</v>
      </c>
      <c r="H13184" s="1" t="s">
        <v>5</v>
      </c>
      <c r="I13184" s="1">
        <v>44.6</v>
      </c>
      <c r="J13184" s="1">
        <v>44.6</v>
      </c>
      <c r="M13184" s="1" t="s">
        <v>677</v>
      </c>
      <c r="N13184" s="1" t="s">
        <v>466</v>
      </c>
      <c r="P13184" s="1" t="s">
        <v>457</v>
      </c>
      <c r="Q13184" s="1">
        <v>0</v>
      </c>
      <c r="S13184" s="1">
        <v>0</v>
      </c>
      <c r="T13184" s="1">
        <v>0</v>
      </c>
      <c r="V13184" s="1">
        <f t="shared" si="256"/>
        <v>0</v>
      </c>
      <c r="W13184" s="1" t="s">
        <v>5</v>
      </c>
      <c r="X13184" s="39">
        <v>3.8462109257124677</v>
      </c>
      <c r="Y13184" s="23">
        <v>1</v>
      </c>
      <c r="Z13184" s="11">
        <v>0</v>
      </c>
      <c r="AA13184" s="11">
        <v>0</v>
      </c>
    </row>
    <row r="13185" spans="1:27" x14ac:dyDescent="0.2">
      <c r="A13185" s="1">
        <v>61</v>
      </c>
      <c r="B13185" s="1" t="s">
        <v>156</v>
      </c>
      <c r="C13185" s="1" t="s">
        <v>157</v>
      </c>
      <c r="D13185" s="1">
        <v>1962</v>
      </c>
      <c r="E13185" s="11">
        <v>0</v>
      </c>
      <c r="G13185" s="1">
        <v>0</v>
      </c>
      <c r="H13185" s="1" t="s">
        <v>5</v>
      </c>
      <c r="I13185" s="1">
        <v>46.25</v>
      </c>
      <c r="J13185" s="1">
        <v>46.25</v>
      </c>
      <c r="M13185" s="1" t="s">
        <v>677</v>
      </c>
      <c r="N13185" s="1" t="s">
        <v>466</v>
      </c>
      <c r="P13185" s="1" t="s">
        <v>457</v>
      </c>
      <c r="Q13185" s="1">
        <v>0</v>
      </c>
      <c r="S13185" s="1">
        <v>0</v>
      </c>
      <c r="T13185" s="1">
        <v>0</v>
      </c>
      <c r="V13185" s="1">
        <f t="shared" si="256"/>
        <v>0</v>
      </c>
      <c r="W13185" s="1" t="s">
        <v>5</v>
      </c>
      <c r="X13185" s="39">
        <v>2.8167605110469562</v>
      </c>
      <c r="Y13185" s="23">
        <v>1</v>
      </c>
      <c r="Z13185" s="11">
        <v>0</v>
      </c>
      <c r="AA13185" s="11">
        <v>0</v>
      </c>
    </row>
    <row r="13186" spans="1:27" x14ac:dyDescent="0.2">
      <c r="A13186" s="1">
        <v>61</v>
      </c>
      <c r="B13186" s="1" t="s">
        <v>156</v>
      </c>
      <c r="C13186" s="1" t="s">
        <v>157</v>
      </c>
      <c r="D13186" s="1">
        <v>1963</v>
      </c>
      <c r="E13186" s="11">
        <v>0</v>
      </c>
      <c r="G13186" s="1">
        <v>0</v>
      </c>
      <c r="H13186" s="1" t="s">
        <v>5</v>
      </c>
      <c r="I13186" s="1">
        <v>42.75</v>
      </c>
      <c r="J13186" s="1">
        <v>42.75</v>
      </c>
      <c r="M13186" s="1" t="s">
        <v>677</v>
      </c>
      <c r="N13186" s="1" t="s">
        <v>466</v>
      </c>
      <c r="P13186" s="1" t="s">
        <v>457</v>
      </c>
      <c r="Q13186" s="1">
        <v>0</v>
      </c>
      <c r="S13186" s="1">
        <v>0</v>
      </c>
      <c r="T13186" s="1">
        <v>0</v>
      </c>
      <c r="V13186" s="1">
        <f t="shared" si="256"/>
        <v>0</v>
      </c>
      <c r="W13186" s="1" t="s">
        <v>5</v>
      </c>
      <c r="X13186" s="39">
        <v>0.68524567377858947</v>
      </c>
      <c r="Y13186" s="23">
        <v>1</v>
      </c>
      <c r="Z13186" s="11">
        <v>0</v>
      </c>
      <c r="AA13186" s="11">
        <v>0</v>
      </c>
    </row>
    <row r="13187" spans="1:27" x14ac:dyDescent="0.2">
      <c r="A13187" s="1">
        <v>61</v>
      </c>
      <c r="B13187" s="1" t="s">
        <v>156</v>
      </c>
      <c r="C13187" s="1" t="s">
        <v>157</v>
      </c>
      <c r="D13187" s="1">
        <v>1964</v>
      </c>
      <c r="E13187" s="11">
        <v>0</v>
      </c>
      <c r="G13187" s="1">
        <v>0</v>
      </c>
      <c r="H13187" s="1" t="s">
        <v>5</v>
      </c>
      <c r="I13187" s="1">
        <v>47</v>
      </c>
      <c r="J13187" s="1">
        <v>47</v>
      </c>
      <c r="M13187" s="1" t="s">
        <v>677</v>
      </c>
      <c r="N13187" s="1" t="s">
        <v>466</v>
      </c>
      <c r="P13187" s="1" t="s">
        <v>457</v>
      </c>
      <c r="Q13187" s="1">
        <v>0</v>
      </c>
      <c r="S13187" s="1">
        <v>0</v>
      </c>
      <c r="T13187" s="1">
        <v>0</v>
      </c>
      <c r="V13187" s="1">
        <f t="shared" si="256"/>
        <v>0</v>
      </c>
      <c r="W13187" s="1" t="s">
        <v>5</v>
      </c>
      <c r="X13187" s="39">
        <v>0.68012235133032894</v>
      </c>
      <c r="Y13187" s="23">
        <v>1</v>
      </c>
      <c r="Z13187" s="11">
        <v>0</v>
      </c>
      <c r="AA13187" s="11">
        <v>0</v>
      </c>
    </row>
    <row r="13188" spans="1:27" x14ac:dyDescent="0.2">
      <c r="A13188" s="1">
        <v>61</v>
      </c>
      <c r="B13188" s="1" t="s">
        <v>156</v>
      </c>
      <c r="C13188" s="1" t="s">
        <v>157</v>
      </c>
      <c r="D13188" s="1">
        <v>1965</v>
      </c>
      <c r="E13188" s="11">
        <v>0</v>
      </c>
      <c r="G13188" s="1">
        <v>0</v>
      </c>
      <c r="H13188" s="1" t="s">
        <v>5</v>
      </c>
      <c r="I13188" s="1">
        <v>42.65</v>
      </c>
      <c r="J13188" s="1">
        <v>42.65</v>
      </c>
      <c r="M13188" s="1" t="s">
        <v>677</v>
      </c>
      <c r="N13188" s="1" t="s">
        <v>466</v>
      </c>
      <c r="P13188" s="1" t="s">
        <v>457</v>
      </c>
      <c r="Q13188" s="1">
        <v>0</v>
      </c>
      <c r="S13188" s="1">
        <v>0</v>
      </c>
      <c r="T13188" s="1">
        <v>0</v>
      </c>
      <c r="V13188" s="1">
        <f t="shared" si="256"/>
        <v>0</v>
      </c>
      <c r="W13188" s="1" t="s">
        <v>5</v>
      </c>
      <c r="X13188" s="39">
        <v>0.67552744158836386</v>
      </c>
      <c r="Y13188" s="23">
        <v>1</v>
      </c>
      <c r="Z13188" s="11">
        <v>0</v>
      </c>
      <c r="AA13188" s="11">
        <v>0</v>
      </c>
    </row>
    <row r="13189" spans="1:27" x14ac:dyDescent="0.2">
      <c r="A13189" s="1">
        <v>61</v>
      </c>
      <c r="B13189" s="1" t="s">
        <v>156</v>
      </c>
      <c r="C13189" s="1" t="s">
        <v>157</v>
      </c>
      <c r="D13189" s="1">
        <v>1966</v>
      </c>
      <c r="E13189" s="11">
        <v>0</v>
      </c>
      <c r="G13189" s="1">
        <v>0</v>
      </c>
      <c r="H13189" s="1" t="s">
        <v>5</v>
      </c>
      <c r="I13189" s="1">
        <v>41.9</v>
      </c>
      <c r="J13189" s="1">
        <v>40.1</v>
      </c>
      <c r="M13189" s="1" t="s">
        <v>677</v>
      </c>
      <c r="N13189" s="1" t="s">
        <v>466</v>
      </c>
      <c r="P13189" s="1" t="s">
        <v>457</v>
      </c>
      <c r="Q13189" s="1">
        <v>0</v>
      </c>
      <c r="S13189" s="1">
        <v>0</v>
      </c>
      <c r="T13189" s="1">
        <v>0</v>
      </c>
      <c r="V13189" s="1">
        <f t="shared" si="256"/>
        <v>0</v>
      </c>
      <c r="W13189" s="1" t="s">
        <v>5</v>
      </c>
      <c r="X13189" s="39">
        <v>2.0134380532982332</v>
      </c>
      <c r="Y13189" s="23">
        <v>1</v>
      </c>
      <c r="Z13189" s="11">
        <v>0</v>
      </c>
      <c r="AA13189" s="11">
        <v>0</v>
      </c>
    </row>
    <row r="13190" spans="1:27" x14ac:dyDescent="0.2">
      <c r="A13190" s="1">
        <v>61</v>
      </c>
      <c r="B13190" s="1" t="s">
        <v>156</v>
      </c>
      <c r="C13190" s="1" t="s">
        <v>157</v>
      </c>
      <c r="D13190" s="1">
        <v>1967</v>
      </c>
      <c r="E13190" s="11">
        <v>0</v>
      </c>
      <c r="G13190" s="1">
        <v>0</v>
      </c>
      <c r="H13190" s="1" t="s">
        <v>5</v>
      </c>
      <c r="I13190" s="1">
        <v>41</v>
      </c>
      <c r="J13190" s="1">
        <v>40.1</v>
      </c>
      <c r="M13190" s="1" t="s">
        <v>677</v>
      </c>
      <c r="N13190" s="1" t="s">
        <v>466</v>
      </c>
      <c r="P13190" s="1" t="s">
        <v>457</v>
      </c>
      <c r="Q13190" s="1">
        <v>0</v>
      </c>
      <c r="S13190" s="1">
        <v>0</v>
      </c>
      <c r="T13190" s="1">
        <v>0</v>
      </c>
      <c r="V13190" s="1">
        <f t="shared" si="256"/>
        <v>0</v>
      </c>
      <c r="W13190" s="1">
        <v>0</v>
      </c>
      <c r="X13190" s="39">
        <v>3.5437573707750136</v>
      </c>
      <c r="Y13190" s="23">
        <v>1</v>
      </c>
      <c r="Z13190" s="11">
        <v>0</v>
      </c>
      <c r="AA13190" s="11">
        <v>0</v>
      </c>
    </row>
    <row r="13191" spans="1:27" x14ac:dyDescent="0.2">
      <c r="A13191" s="1">
        <v>61</v>
      </c>
      <c r="B13191" s="1" t="s">
        <v>156</v>
      </c>
      <c r="C13191" s="1" t="s">
        <v>157</v>
      </c>
      <c r="D13191" s="1">
        <v>1968</v>
      </c>
      <c r="E13191" s="11">
        <v>0</v>
      </c>
      <c r="G13191" s="1">
        <v>0</v>
      </c>
      <c r="H13191" s="1" t="s">
        <v>5</v>
      </c>
      <c r="I13191" s="1">
        <v>41.7</v>
      </c>
      <c r="J13191" s="1">
        <v>40.1</v>
      </c>
      <c r="M13191" s="1" t="s">
        <v>677</v>
      </c>
      <c r="N13191" s="1" t="s">
        <v>466</v>
      </c>
      <c r="P13191" s="1" t="s">
        <v>457</v>
      </c>
      <c r="Q13191" s="1">
        <v>0</v>
      </c>
      <c r="S13191" s="1">
        <v>0</v>
      </c>
      <c r="T13191" s="1">
        <v>0</v>
      </c>
      <c r="V13191" s="1">
        <f t="shared" si="256"/>
        <v>0</v>
      </c>
      <c r="W13191" s="1">
        <v>0</v>
      </c>
      <c r="X13191" s="39">
        <v>6.1740333866281416</v>
      </c>
      <c r="Y13191" s="23">
        <v>1</v>
      </c>
      <c r="Z13191" s="11">
        <v>0</v>
      </c>
      <c r="AA13191" s="11">
        <v>0</v>
      </c>
    </row>
    <row r="13192" spans="1:27" x14ac:dyDescent="0.2">
      <c r="A13192" s="1">
        <v>61</v>
      </c>
      <c r="B13192" s="1" t="s">
        <v>156</v>
      </c>
      <c r="C13192" s="1" t="s">
        <v>157</v>
      </c>
      <c r="D13192" s="1">
        <v>1969</v>
      </c>
      <c r="E13192" s="11">
        <v>0</v>
      </c>
      <c r="G13192" s="1">
        <v>0</v>
      </c>
      <c r="H13192" s="1" t="s">
        <v>5</v>
      </c>
      <c r="I13192" s="1">
        <v>41.35</v>
      </c>
      <c r="J13192" s="1">
        <v>40.1</v>
      </c>
      <c r="M13192" s="1" t="s">
        <v>677</v>
      </c>
      <c r="N13192" s="1" t="s">
        <v>466</v>
      </c>
      <c r="P13192" s="1" t="s">
        <v>457</v>
      </c>
      <c r="Q13192" s="1">
        <v>0</v>
      </c>
      <c r="S13192" s="1">
        <v>0</v>
      </c>
      <c r="T13192" s="1">
        <v>0</v>
      </c>
      <c r="V13192" s="1">
        <f t="shared" si="256"/>
        <v>0</v>
      </c>
      <c r="W13192" s="1">
        <v>0</v>
      </c>
      <c r="X13192" s="39">
        <v>5.9028550841385696</v>
      </c>
      <c r="Y13192" s="23">
        <v>1</v>
      </c>
      <c r="Z13192" s="11">
        <v>0</v>
      </c>
      <c r="AA13192" s="11">
        <v>0</v>
      </c>
    </row>
    <row r="13193" spans="1:27" x14ac:dyDescent="0.2">
      <c r="A13193" s="1">
        <v>61</v>
      </c>
      <c r="B13193" s="1" t="s">
        <v>156</v>
      </c>
      <c r="C13193" s="1" t="s">
        <v>157</v>
      </c>
      <c r="D13193" s="1">
        <v>1970</v>
      </c>
      <c r="E13193" s="11">
        <v>0</v>
      </c>
      <c r="G13193" s="1">
        <v>0</v>
      </c>
      <c r="H13193" s="1" t="s">
        <v>5</v>
      </c>
      <c r="I13193" s="1">
        <v>41.2</v>
      </c>
      <c r="J13193" s="1">
        <v>40.1</v>
      </c>
      <c r="M13193" s="1" t="s">
        <v>677</v>
      </c>
      <c r="N13193" s="1" t="s">
        <v>466</v>
      </c>
      <c r="P13193" s="1" t="s">
        <v>457</v>
      </c>
      <c r="Q13193" s="1">
        <v>0</v>
      </c>
      <c r="S13193" s="1">
        <v>0</v>
      </c>
      <c r="T13193" s="1">
        <v>0</v>
      </c>
      <c r="V13193" s="1">
        <f t="shared" si="256"/>
        <v>0</v>
      </c>
      <c r="W13193" s="1">
        <v>0</v>
      </c>
      <c r="X13193" s="39">
        <v>2.7456376736807897</v>
      </c>
      <c r="Y13193" s="23">
        <v>1</v>
      </c>
      <c r="Z13193" s="11">
        <v>0</v>
      </c>
      <c r="AA13193" s="11">
        <v>0</v>
      </c>
    </row>
    <row r="13194" spans="1:27" ht="12.95" customHeight="1" x14ac:dyDescent="0.2">
      <c r="A13194" s="1">
        <v>61</v>
      </c>
      <c r="B13194" s="1" t="s">
        <v>156</v>
      </c>
      <c r="C13194" s="1" t="s">
        <v>157</v>
      </c>
      <c r="D13194" s="1">
        <v>1971</v>
      </c>
      <c r="E13194" s="11">
        <v>0</v>
      </c>
      <c r="G13194" s="1">
        <v>0</v>
      </c>
      <c r="H13194" s="1" t="s">
        <v>5</v>
      </c>
      <c r="I13194" s="1">
        <v>50.8</v>
      </c>
      <c r="J13194" s="1">
        <v>40.1</v>
      </c>
      <c r="M13194" s="1" t="s">
        <v>677</v>
      </c>
      <c r="N13194" s="1" t="s">
        <v>466</v>
      </c>
      <c r="P13194" s="1" t="s">
        <v>457</v>
      </c>
      <c r="Q13194" s="1">
        <v>0</v>
      </c>
      <c r="S13194" s="1">
        <v>0</v>
      </c>
      <c r="T13194" s="1">
        <v>0</v>
      </c>
      <c r="V13194" s="1">
        <f t="shared" si="256"/>
        <v>0</v>
      </c>
      <c r="W13194" s="1">
        <v>0</v>
      </c>
      <c r="X13194" s="39">
        <v>2.3482317576767775</v>
      </c>
      <c r="Y13194" s="23">
        <v>1</v>
      </c>
      <c r="Z13194" s="49">
        <v>1</v>
      </c>
      <c r="AA13194" s="11">
        <v>0</v>
      </c>
    </row>
    <row r="13195" spans="1:27" ht="12.95" customHeight="1" x14ac:dyDescent="0.2">
      <c r="A13195" s="1">
        <v>61</v>
      </c>
      <c r="B13195" s="1" t="s">
        <v>156</v>
      </c>
      <c r="C13195" s="1" t="s">
        <v>157</v>
      </c>
      <c r="D13195" s="1">
        <v>1972</v>
      </c>
      <c r="E13195" s="11">
        <v>0</v>
      </c>
      <c r="G13195" s="1">
        <v>0</v>
      </c>
      <c r="H13195" s="1" t="s">
        <v>5</v>
      </c>
      <c r="I13195" s="1">
        <v>40.5</v>
      </c>
      <c r="J13195" s="1">
        <v>40.1</v>
      </c>
      <c r="M13195" s="1" t="s">
        <v>677</v>
      </c>
      <c r="N13195" s="1" t="s">
        <v>466</v>
      </c>
      <c r="P13195" s="1" t="s">
        <v>457</v>
      </c>
      <c r="Q13195" s="1">
        <v>0</v>
      </c>
      <c r="S13195" s="1">
        <v>0</v>
      </c>
      <c r="T13195" s="1">
        <v>0</v>
      </c>
      <c r="V13195" s="1">
        <f t="shared" si="256"/>
        <v>0</v>
      </c>
      <c r="W13195" s="1">
        <v>0</v>
      </c>
      <c r="X13195" s="39">
        <v>6.2469557631492867</v>
      </c>
      <c r="Y13195" s="23">
        <v>1</v>
      </c>
      <c r="Z13195" s="11">
        <v>0</v>
      </c>
      <c r="AA13195" s="11">
        <v>0</v>
      </c>
    </row>
    <row r="13196" spans="1:27" x14ac:dyDescent="0.2">
      <c r="A13196" s="1">
        <v>61</v>
      </c>
      <c r="B13196" s="1" t="s">
        <v>156</v>
      </c>
      <c r="C13196" s="1" t="s">
        <v>157</v>
      </c>
      <c r="D13196" s="1">
        <v>1973</v>
      </c>
      <c r="E13196" s="11">
        <v>0</v>
      </c>
      <c r="G13196" s="1">
        <v>0</v>
      </c>
      <c r="H13196" s="1" t="s">
        <v>5</v>
      </c>
      <c r="I13196" s="1">
        <v>40.35</v>
      </c>
      <c r="J13196" s="1">
        <v>38.1</v>
      </c>
      <c r="M13196" s="1" t="s">
        <v>677</v>
      </c>
      <c r="N13196" s="1" t="s">
        <v>466</v>
      </c>
      <c r="P13196" s="1" t="s">
        <v>457</v>
      </c>
      <c r="Q13196" s="1">
        <v>0</v>
      </c>
      <c r="S13196" s="1">
        <v>0</v>
      </c>
      <c r="T13196" s="1">
        <v>0</v>
      </c>
      <c r="V13196" s="1">
        <f t="shared" si="256"/>
        <v>0</v>
      </c>
      <c r="W13196" s="1">
        <v>0</v>
      </c>
      <c r="X13196" s="39">
        <v>29.62031639160303</v>
      </c>
      <c r="Y13196" s="23">
        <v>1</v>
      </c>
      <c r="Z13196" s="11">
        <v>0</v>
      </c>
      <c r="AA13196" s="40">
        <v>1</v>
      </c>
    </row>
    <row r="13197" spans="1:27" x14ac:dyDescent="0.2">
      <c r="A13197" s="1">
        <v>61</v>
      </c>
      <c r="B13197" s="1" t="s">
        <v>156</v>
      </c>
      <c r="C13197" s="1" t="s">
        <v>157</v>
      </c>
      <c r="D13197" s="1">
        <v>1974</v>
      </c>
      <c r="E13197" s="11">
        <v>0</v>
      </c>
      <c r="G13197" s="1">
        <v>0</v>
      </c>
      <c r="H13197" s="1" t="s">
        <v>5</v>
      </c>
      <c r="I13197" s="1">
        <v>36.25</v>
      </c>
      <c r="J13197" s="1">
        <v>38.049999999999997</v>
      </c>
      <c r="M13197" s="1" t="s">
        <v>677</v>
      </c>
      <c r="N13197" s="1" t="s">
        <v>466</v>
      </c>
      <c r="P13197" s="1" t="s">
        <v>457</v>
      </c>
      <c r="Q13197" s="1">
        <v>0</v>
      </c>
      <c r="S13197" s="1">
        <v>0</v>
      </c>
      <c r="T13197" s="1">
        <v>0</v>
      </c>
      <c r="V13197" s="1">
        <f t="shared" si="256"/>
        <v>0</v>
      </c>
      <c r="W13197" s="1">
        <v>1</v>
      </c>
      <c r="X13197" s="39">
        <v>4.4695480039590896</v>
      </c>
      <c r="Y13197" s="23">
        <v>1</v>
      </c>
      <c r="Z13197" s="11">
        <v>0</v>
      </c>
      <c r="AA13197" s="11">
        <v>0</v>
      </c>
    </row>
    <row r="13198" spans="1:27" x14ac:dyDescent="0.2">
      <c r="A13198" s="1">
        <v>61</v>
      </c>
      <c r="B13198" s="1" t="s">
        <v>156</v>
      </c>
      <c r="C13198" s="1" t="s">
        <v>157</v>
      </c>
      <c r="D13198" s="1">
        <v>1975</v>
      </c>
      <c r="E13198" s="11">
        <v>0</v>
      </c>
      <c r="G13198" s="1">
        <v>0</v>
      </c>
      <c r="H13198" s="1" t="s">
        <v>5</v>
      </c>
      <c r="I13198" s="1">
        <v>39.700000000000003</v>
      </c>
      <c r="J13198" s="1">
        <v>38.049999999999997</v>
      </c>
      <c r="M13198" s="1" t="s">
        <v>677</v>
      </c>
      <c r="N13198" s="1" t="s">
        <v>466</v>
      </c>
      <c r="P13198" s="1" t="s">
        <v>457</v>
      </c>
      <c r="Q13198" s="1">
        <v>0</v>
      </c>
      <c r="S13198" s="1">
        <v>0</v>
      </c>
      <c r="T13198" s="1">
        <v>0</v>
      </c>
      <c r="V13198" s="1">
        <f t="shared" si="256"/>
        <v>0</v>
      </c>
      <c r="W13198" s="1">
        <v>0</v>
      </c>
      <c r="X13198" s="39">
        <v>0.25012063899507719</v>
      </c>
      <c r="Y13198" s="23">
        <v>1</v>
      </c>
      <c r="Z13198" s="11">
        <v>0</v>
      </c>
      <c r="AA13198" s="11">
        <v>0</v>
      </c>
    </row>
    <row r="13199" spans="1:27" x14ac:dyDescent="0.2">
      <c r="A13199" s="1">
        <v>61</v>
      </c>
      <c r="B13199" s="1" t="s">
        <v>156</v>
      </c>
      <c r="C13199" s="1" t="s">
        <v>157</v>
      </c>
      <c r="D13199" s="1">
        <v>1976</v>
      </c>
      <c r="E13199" s="11">
        <v>0</v>
      </c>
      <c r="G13199" s="1">
        <v>0</v>
      </c>
      <c r="H13199" s="1" t="s">
        <v>5</v>
      </c>
      <c r="I13199" s="1">
        <v>38.700000000000003</v>
      </c>
      <c r="J13199" s="1">
        <v>38.049999999999997</v>
      </c>
      <c r="M13199" s="1" t="s">
        <v>677</v>
      </c>
      <c r="N13199" s="1" t="s">
        <v>466</v>
      </c>
      <c r="P13199" s="1" t="s">
        <v>457</v>
      </c>
      <c r="Q13199" s="1">
        <v>0</v>
      </c>
      <c r="S13199" s="1">
        <v>0</v>
      </c>
      <c r="T13199" s="1">
        <v>0</v>
      </c>
      <c r="V13199" s="1">
        <f t="shared" si="256"/>
        <v>0</v>
      </c>
      <c r="W13199" s="1">
        <v>0</v>
      </c>
      <c r="X13199" s="39">
        <v>3.1310562778635864</v>
      </c>
      <c r="Y13199" s="23">
        <v>1</v>
      </c>
      <c r="Z13199" s="11">
        <v>0</v>
      </c>
      <c r="AA13199" s="11">
        <v>0</v>
      </c>
    </row>
    <row r="13200" spans="1:27" x14ac:dyDescent="0.2">
      <c r="A13200" s="1">
        <v>61</v>
      </c>
      <c r="B13200" s="1" t="s">
        <v>156</v>
      </c>
      <c r="C13200" s="1" t="s">
        <v>157</v>
      </c>
      <c r="D13200" s="1">
        <v>1977</v>
      </c>
      <c r="E13200" s="11">
        <v>0</v>
      </c>
      <c r="G13200" s="1">
        <v>0</v>
      </c>
      <c r="H13200" s="1" t="s">
        <v>5</v>
      </c>
      <c r="I13200" s="1">
        <v>38.65</v>
      </c>
      <c r="J13200" s="1">
        <v>38.049999999999997</v>
      </c>
      <c r="M13200" s="1" t="s">
        <v>677</v>
      </c>
      <c r="N13200" s="1" t="s">
        <v>466</v>
      </c>
      <c r="P13200" s="1" t="s">
        <v>457</v>
      </c>
      <c r="Q13200" s="1">
        <v>0</v>
      </c>
      <c r="S13200" s="1">
        <v>0</v>
      </c>
      <c r="T13200" s="1">
        <v>0</v>
      </c>
      <c r="V13200" s="1">
        <f t="shared" si="256"/>
        <v>0</v>
      </c>
      <c r="W13200" s="1">
        <v>0</v>
      </c>
      <c r="X13200" s="39">
        <v>5.7846210990095681</v>
      </c>
      <c r="Y13200" s="23">
        <v>1</v>
      </c>
      <c r="Z13200" s="11">
        <v>0</v>
      </c>
      <c r="AA13200" s="11">
        <v>0</v>
      </c>
    </row>
    <row r="13201" spans="1:27" x14ac:dyDescent="0.2">
      <c r="A13201" s="1">
        <v>61</v>
      </c>
      <c r="B13201" s="1" t="s">
        <v>156</v>
      </c>
      <c r="C13201" s="1" t="s">
        <v>157</v>
      </c>
      <c r="D13201" s="1">
        <v>1978</v>
      </c>
      <c r="E13201" s="11">
        <v>0</v>
      </c>
      <c r="G13201" s="1">
        <v>0</v>
      </c>
      <c r="H13201" s="1" t="s">
        <v>5</v>
      </c>
      <c r="I13201" s="1">
        <v>40.5</v>
      </c>
      <c r="J13201" s="1">
        <v>36.049999999999997</v>
      </c>
      <c r="M13201" s="1" t="s">
        <v>677</v>
      </c>
      <c r="N13201" s="1" t="s">
        <v>466</v>
      </c>
      <c r="P13201" s="1" t="s">
        <v>457</v>
      </c>
      <c r="Q13201" s="1">
        <v>0</v>
      </c>
      <c r="S13201" s="1">
        <v>0</v>
      </c>
      <c r="T13201" s="1">
        <v>0</v>
      </c>
      <c r="V13201" s="1">
        <f t="shared" si="256"/>
        <v>0</v>
      </c>
      <c r="W13201" s="1">
        <v>0</v>
      </c>
      <c r="X13201" s="39">
        <v>7.6531260467318951</v>
      </c>
      <c r="Y13201" s="23">
        <v>1</v>
      </c>
      <c r="Z13201" s="11">
        <v>0</v>
      </c>
      <c r="AA13201" s="11">
        <v>0</v>
      </c>
    </row>
    <row r="13202" spans="1:27" x14ac:dyDescent="0.2">
      <c r="A13202" s="1">
        <v>61</v>
      </c>
      <c r="B13202" s="1" t="s">
        <v>156</v>
      </c>
      <c r="C13202" s="1" t="s">
        <v>157</v>
      </c>
      <c r="D13202" s="1">
        <v>1979</v>
      </c>
      <c r="E13202" s="11">
        <v>0</v>
      </c>
      <c r="G13202" s="1">
        <v>0</v>
      </c>
      <c r="H13202" s="1" t="s">
        <v>5</v>
      </c>
      <c r="I13202" s="1">
        <v>37</v>
      </c>
      <c r="J13202" s="1">
        <v>36.08</v>
      </c>
      <c r="M13202" s="1" t="s">
        <v>677</v>
      </c>
      <c r="N13202" s="1" t="s">
        <v>466</v>
      </c>
      <c r="P13202" s="1" t="s">
        <v>457</v>
      </c>
      <c r="Q13202" s="1">
        <v>0</v>
      </c>
      <c r="S13202" s="1">
        <v>0</v>
      </c>
      <c r="T13202" s="1">
        <v>0</v>
      </c>
      <c r="V13202" s="1">
        <f t="shared" si="256"/>
        <v>0</v>
      </c>
      <c r="W13202" s="1">
        <v>0</v>
      </c>
      <c r="X13202" s="39">
        <v>12.492462850705444</v>
      </c>
      <c r="Y13202" s="23">
        <v>1</v>
      </c>
      <c r="Z13202" s="11">
        <v>0</v>
      </c>
      <c r="AA13202" s="11">
        <v>0</v>
      </c>
    </row>
    <row r="13203" spans="1:27" x14ac:dyDescent="0.2">
      <c r="A13203" s="1">
        <v>61</v>
      </c>
      <c r="B13203" s="1" t="s">
        <v>156</v>
      </c>
      <c r="C13203" s="1" t="s">
        <v>157</v>
      </c>
      <c r="D13203" s="1">
        <v>1980</v>
      </c>
      <c r="E13203" s="11">
        <v>0</v>
      </c>
      <c r="G13203" s="1">
        <v>0</v>
      </c>
      <c r="H13203" s="1" t="s">
        <v>5</v>
      </c>
      <c r="I13203" s="1">
        <v>36.4</v>
      </c>
      <c r="J13203" s="1">
        <v>36.049999999999997</v>
      </c>
      <c r="M13203" s="1" t="s">
        <v>677</v>
      </c>
      <c r="N13203" s="1" t="s">
        <v>466</v>
      </c>
      <c r="P13203" s="1" t="s">
        <v>457</v>
      </c>
      <c r="Q13203" s="1">
        <v>0</v>
      </c>
      <c r="S13203" s="1">
        <v>0</v>
      </c>
      <c r="T13203" s="1">
        <v>0</v>
      </c>
      <c r="V13203" s="1">
        <f t="shared" si="256"/>
        <v>0</v>
      </c>
      <c r="W13203" s="1">
        <v>0</v>
      </c>
      <c r="X13203" s="80">
        <v>19.018000000000001</v>
      </c>
      <c r="Y13203" s="23">
        <v>1</v>
      </c>
      <c r="Z13203" s="11">
        <v>0</v>
      </c>
      <c r="AA13203" s="11">
        <v>0</v>
      </c>
    </row>
    <row r="13204" spans="1:27" x14ac:dyDescent="0.2">
      <c r="A13204" s="1">
        <v>61</v>
      </c>
      <c r="B13204" s="1" t="s">
        <v>156</v>
      </c>
      <c r="C13204" s="1" t="s">
        <v>157</v>
      </c>
      <c r="D13204" s="1">
        <v>1981</v>
      </c>
      <c r="E13204" s="11">
        <v>0</v>
      </c>
      <c r="G13204" s="1">
        <v>0</v>
      </c>
      <c r="H13204" s="1" t="s">
        <v>5</v>
      </c>
      <c r="I13204" s="1">
        <v>40</v>
      </c>
      <c r="J13204" s="1">
        <v>39.241</v>
      </c>
      <c r="M13204" s="1" t="s">
        <v>677</v>
      </c>
      <c r="N13204" s="1" t="s">
        <v>466</v>
      </c>
      <c r="P13204" s="1" t="s">
        <v>457</v>
      </c>
      <c r="Q13204" s="1">
        <v>0</v>
      </c>
      <c r="S13204" s="1">
        <v>0</v>
      </c>
      <c r="T13204" s="1">
        <v>0</v>
      </c>
      <c r="V13204" s="1">
        <f t="shared" si="256"/>
        <v>0</v>
      </c>
      <c r="W13204" s="1">
        <v>0</v>
      </c>
      <c r="X13204" s="80">
        <v>16.32</v>
      </c>
      <c r="Y13204" s="23">
        <v>1</v>
      </c>
      <c r="Z13204" s="11">
        <v>0</v>
      </c>
      <c r="AA13204" s="11">
        <v>0</v>
      </c>
    </row>
    <row r="13205" spans="1:27" x14ac:dyDescent="0.2">
      <c r="A13205" s="1">
        <v>61</v>
      </c>
      <c r="B13205" s="1" t="s">
        <v>156</v>
      </c>
      <c r="C13205" s="1" t="s">
        <v>157</v>
      </c>
      <c r="D13205" s="1">
        <v>1982</v>
      </c>
      <c r="E13205" s="11">
        <v>0</v>
      </c>
      <c r="G13205" s="1">
        <v>0</v>
      </c>
      <c r="H13205" s="1" t="s">
        <v>5</v>
      </c>
      <c r="I13205" s="1">
        <v>41.3</v>
      </c>
      <c r="J13205" s="1">
        <v>41.497</v>
      </c>
      <c r="M13205" s="1" t="s">
        <v>677</v>
      </c>
      <c r="N13205" s="1" t="s">
        <v>466</v>
      </c>
      <c r="P13205" s="1" t="s">
        <v>457</v>
      </c>
      <c r="Q13205" s="1">
        <v>0</v>
      </c>
      <c r="S13205" s="1">
        <v>0</v>
      </c>
      <c r="T13205" s="1">
        <v>0</v>
      </c>
      <c r="V13205" s="1">
        <f t="shared" si="256"/>
        <v>0</v>
      </c>
      <c r="W13205" s="1">
        <v>1</v>
      </c>
      <c r="X13205" s="80">
        <v>2.9540000000000002</v>
      </c>
      <c r="Y13205" s="23">
        <v>1</v>
      </c>
      <c r="Z13205" s="11">
        <v>0</v>
      </c>
      <c r="AA13205" s="11">
        <v>0</v>
      </c>
    </row>
    <row r="13206" spans="1:27" x14ac:dyDescent="0.2">
      <c r="A13206" s="1">
        <v>61</v>
      </c>
      <c r="B13206" s="1" t="s">
        <v>156</v>
      </c>
      <c r="C13206" s="1" t="s">
        <v>157</v>
      </c>
      <c r="D13206" s="1">
        <v>1983</v>
      </c>
      <c r="E13206" s="5">
        <v>1</v>
      </c>
      <c r="F13206" s="1" t="s">
        <v>330</v>
      </c>
      <c r="G13206" s="1">
        <v>0</v>
      </c>
      <c r="H13206" s="1" t="s">
        <v>5</v>
      </c>
      <c r="I13206" s="1">
        <v>42.5</v>
      </c>
      <c r="J13206" s="1">
        <v>41.436</v>
      </c>
      <c r="M13206" s="1" t="s">
        <v>677</v>
      </c>
      <c r="N13206" s="1" t="s">
        <v>466</v>
      </c>
      <c r="P13206" s="1" t="s">
        <v>457</v>
      </c>
      <c r="Q13206" s="1">
        <v>0</v>
      </c>
      <c r="S13206" s="1">
        <v>0</v>
      </c>
      <c r="T13206" s="1">
        <v>0</v>
      </c>
      <c r="V13206" s="1">
        <f t="shared" si="256"/>
        <v>0</v>
      </c>
      <c r="W13206" s="1">
        <v>0</v>
      </c>
      <c r="X13206" s="80">
        <v>1.367</v>
      </c>
      <c r="Y13206" s="23">
        <v>1</v>
      </c>
      <c r="Z13206" s="11">
        <v>0</v>
      </c>
      <c r="AA13206" s="11">
        <v>0</v>
      </c>
    </row>
    <row r="13207" spans="1:27" x14ac:dyDescent="0.2">
      <c r="A13207" s="1">
        <v>61</v>
      </c>
      <c r="B13207" s="1" t="s">
        <v>156</v>
      </c>
      <c r="C13207" s="1" t="s">
        <v>157</v>
      </c>
      <c r="D13207" s="1">
        <v>1984</v>
      </c>
      <c r="E13207" s="5">
        <v>1</v>
      </c>
      <c r="F13207" s="1" t="s">
        <v>330</v>
      </c>
      <c r="G13207" s="1">
        <v>0</v>
      </c>
      <c r="H13207" s="1" t="s">
        <v>5</v>
      </c>
      <c r="I13207" s="1">
        <v>41</v>
      </c>
      <c r="J13207" s="1">
        <v>39.520000000000003</v>
      </c>
      <c r="M13207" s="1" t="s">
        <v>677</v>
      </c>
      <c r="N13207" s="1" t="s">
        <v>466</v>
      </c>
      <c r="P13207" s="1" t="s">
        <v>457</v>
      </c>
      <c r="Q13207" s="1">
        <v>0</v>
      </c>
      <c r="S13207" s="1">
        <v>0</v>
      </c>
      <c r="T13207" s="1">
        <v>0</v>
      </c>
      <c r="V13207" s="1">
        <f t="shared" si="256"/>
        <v>0</v>
      </c>
      <c r="W13207" s="1">
        <v>0</v>
      </c>
      <c r="X13207" s="80">
        <v>-2.9000000000000001E-2</v>
      </c>
      <c r="Y13207" s="23">
        <v>1</v>
      </c>
      <c r="Z13207" s="11">
        <v>0</v>
      </c>
      <c r="AA13207" s="11">
        <v>0</v>
      </c>
    </row>
    <row r="13208" spans="1:27" x14ac:dyDescent="0.2">
      <c r="A13208" s="1">
        <v>61</v>
      </c>
      <c r="B13208" s="1" t="s">
        <v>156</v>
      </c>
      <c r="C13208" s="1" t="s">
        <v>157</v>
      </c>
      <c r="D13208" s="1">
        <v>1985</v>
      </c>
      <c r="E13208" s="11">
        <v>0</v>
      </c>
      <c r="G13208" s="1">
        <v>0</v>
      </c>
      <c r="H13208" s="1" t="s">
        <v>5</v>
      </c>
      <c r="I13208" s="1">
        <v>39.5</v>
      </c>
      <c r="J13208" s="1">
        <v>39.9</v>
      </c>
      <c r="M13208" s="1" t="s">
        <v>677</v>
      </c>
      <c r="N13208" s="1" t="s">
        <v>466</v>
      </c>
      <c r="P13208" s="1" t="s">
        <v>457</v>
      </c>
      <c r="Q13208" s="1">
        <v>0</v>
      </c>
      <c r="S13208" s="1">
        <v>0</v>
      </c>
      <c r="T13208" s="1">
        <v>0</v>
      </c>
      <c r="V13208" s="1">
        <f t="shared" si="256"/>
        <v>0</v>
      </c>
      <c r="W13208" s="1">
        <v>0</v>
      </c>
      <c r="X13208" s="80">
        <v>-0.16</v>
      </c>
      <c r="Y13208" s="23">
        <v>1</v>
      </c>
      <c r="Z13208" s="11">
        <v>0</v>
      </c>
      <c r="AA13208" s="11">
        <v>0</v>
      </c>
    </row>
    <row r="13209" spans="1:27" x14ac:dyDescent="0.2">
      <c r="A13209" s="1">
        <v>61</v>
      </c>
      <c r="B13209" s="1" t="s">
        <v>156</v>
      </c>
      <c r="C13209" s="1" t="s">
        <v>157</v>
      </c>
      <c r="D13209" s="1">
        <v>1986</v>
      </c>
      <c r="E13209" s="11">
        <v>0</v>
      </c>
      <c r="G13209" s="1">
        <v>0</v>
      </c>
      <c r="H13209" s="1" t="s">
        <v>5</v>
      </c>
      <c r="I13209" s="1">
        <v>38.5</v>
      </c>
      <c r="J13209" s="1">
        <v>35.549999999999997</v>
      </c>
      <c r="M13209" s="1" t="s">
        <v>677</v>
      </c>
      <c r="N13209" s="1" t="s">
        <v>466</v>
      </c>
      <c r="P13209" s="1" t="s">
        <v>457</v>
      </c>
      <c r="Q13209" s="1">
        <v>0</v>
      </c>
      <c r="S13209" s="1">
        <v>0</v>
      </c>
      <c r="T13209" s="1">
        <v>0</v>
      </c>
      <c r="V13209" s="1">
        <f t="shared" si="256"/>
        <v>0</v>
      </c>
      <c r="W13209" s="1">
        <v>0</v>
      </c>
      <c r="X13209" s="80">
        <v>0.69599999999999995</v>
      </c>
      <c r="Y13209" s="23">
        <v>1</v>
      </c>
      <c r="Z13209" s="11">
        <v>0</v>
      </c>
      <c r="AA13209" s="11">
        <v>0</v>
      </c>
    </row>
    <row r="13210" spans="1:27" x14ac:dyDescent="0.2">
      <c r="A13210" s="1">
        <v>61</v>
      </c>
      <c r="B13210" s="1" t="s">
        <v>156</v>
      </c>
      <c r="C13210" s="1" t="s">
        <v>157</v>
      </c>
      <c r="D13210" s="1">
        <v>1987</v>
      </c>
      <c r="E13210" s="11">
        <v>0</v>
      </c>
      <c r="G13210" s="1">
        <v>0</v>
      </c>
      <c r="H13210" s="1" t="s">
        <v>5</v>
      </c>
      <c r="I13210" s="1">
        <v>29.55</v>
      </c>
      <c r="J13210" s="1">
        <v>28.6</v>
      </c>
      <c r="M13210" s="1" t="s">
        <v>677</v>
      </c>
      <c r="N13210" s="1" t="s">
        <v>466</v>
      </c>
      <c r="P13210" s="1" t="s">
        <v>457</v>
      </c>
      <c r="Q13210" s="1">
        <v>0</v>
      </c>
      <c r="S13210" s="1">
        <v>0</v>
      </c>
      <c r="T13210" s="1">
        <v>0</v>
      </c>
      <c r="V13210" s="1">
        <f t="shared" si="256"/>
        <v>0</v>
      </c>
      <c r="W13210" s="1">
        <v>0</v>
      </c>
      <c r="X13210" s="80">
        <v>0.51400000000000001</v>
      </c>
      <c r="Y13210" s="23">
        <v>1</v>
      </c>
      <c r="Z13210" s="11">
        <v>0</v>
      </c>
      <c r="AA13210" s="11">
        <v>0</v>
      </c>
    </row>
    <row r="13211" spans="1:27" x14ac:dyDescent="0.2">
      <c r="A13211" s="1">
        <v>61</v>
      </c>
      <c r="B13211" s="1" t="s">
        <v>156</v>
      </c>
      <c r="C13211" s="1" t="s">
        <v>157</v>
      </c>
      <c r="D13211" s="1">
        <v>1988</v>
      </c>
      <c r="E13211" s="11">
        <v>0</v>
      </c>
      <c r="G13211" s="1">
        <v>0</v>
      </c>
      <c r="H13211" s="1" t="s">
        <v>5</v>
      </c>
      <c r="I13211" s="1">
        <v>29.5</v>
      </c>
      <c r="J13211" s="1">
        <v>28.13</v>
      </c>
      <c r="M13211" s="1" t="s">
        <v>677</v>
      </c>
      <c r="N13211" s="1" t="s">
        <v>466</v>
      </c>
      <c r="P13211" s="1" t="s">
        <v>457</v>
      </c>
      <c r="Q13211" s="1">
        <v>0</v>
      </c>
      <c r="S13211" s="1">
        <v>0</v>
      </c>
      <c r="T13211" s="1">
        <v>0</v>
      </c>
      <c r="V13211" s="1">
        <f t="shared" si="256"/>
        <v>0</v>
      </c>
      <c r="W13211" s="1">
        <v>0</v>
      </c>
      <c r="X13211" s="80">
        <v>1.288</v>
      </c>
      <c r="Y13211" s="23">
        <v>1</v>
      </c>
      <c r="Z13211" s="11">
        <v>0</v>
      </c>
      <c r="AA13211" s="11">
        <v>0</v>
      </c>
    </row>
    <row r="13212" spans="1:27" x14ac:dyDescent="0.2">
      <c r="A13212" s="1">
        <v>61</v>
      </c>
      <c r="B13212" s="1" t="s">
        <v>156</v>
      </c>
      <c r="C13212" s="1" t="s">
        <v>157</v>
      </c>
      <c r="D13212" s="1">
        <v>1989</v>
      </c>
      <c r="E13212" s="11">
        <v>0</v>
      </c>
      <c r="G13212" s="1">
        <v>0</v>
      </c>
      <c r="H13212" s="1" t="s">
        <v>5</v>
      </c>
      <c r="I13212" s="1">
        <v>26.138000000000002</v>
      </c>
      <c r="J13212" s="1">
        <v>26.164999999999999</v>
      </c>
      <c r="M13212" s="1" t="s">
        <v>677</v>
      </c>
      <c r="N13212" s="1" t="s">
        <v>466</v>
      </c>
      <c r="P13212" s="1" t="s">
        <v>457</v>
      </c>
      <c r="Q13212" s="1">
        <v>0</v>
      </c>
      <c r="S13212" s="1">
        <v>0</v>
      </c>
      <c r="T13212" s="1">
        <v>0</v>
      </c>
      <c r="V13212" s="1">
        <f t="shared" si="256"/>
        <v>0</v>
      </c>
      <c r="W13212" s="1">
        <v>0</v>
      </c>
      <c r="X13212" s="80">
        <v>4.4139999999999997</v>
      </c>
      <c r="Y13212" s="23">
        <v>1</v>
      </c>
      <c r="Z13212" s="11">
        <v>0</v>
      </c>
      <c r="AA13212" s="11">
        <v>0</v>
      </c>
    </row>
    <row r="13213" spans="1:27" x14ac:dyDescent="0.2">
      <c r="A13213" s="1">
        <v>61</v>
      </c>
      <c r="B13213" s="1" t="s">
        <v>156</v>
      </c>
      <c r="C13213" s="1" t="s">
        <v>157</v>
      </c>
      <c r="D13213" s="1">
        <v>1990</v>
      </c>
      <c r="E13213" s="11">
        <v>0</v>
      </c>
      <c r="G13213" s="1">
        <v>0</v>
      </c>
      <c r="H13213" s="1" t="s">
        <v>5</v>
      </c>
      <c r="I13213" s="1">
        <v>27.1</v>
      </c>
      <c r="J13213" s="1">
        <v>27.1</v>
      </c>
      <c r="M13213" s="1" t="s">
        <v>677</v>
      </c>
      <c r="N13213" s="1" t="s">
        <v>466</v>
      </c>
      <c r="P13213" s="1" t="s">
        <v>457</v>
      </c>
      <c r="Q13213" s="1">
        <v>0</v>
      </c>
      <c r="S13213" s="1">
        <v>0</v>
      </c>
      <c r="T13213" s="1">
        <v>0</v>
      </c>
      <c r="V13213" s="1">
        <f t="shared" si="256"/>
        <v>0</v>
      </c>
      <c r="W13213" s="1">
        <v>1</v>
      </c>
      <c r="X13213" s="80">
        <v>4.1280000000000001</v>
      </c>
      <c r="Y13213" s="23">
        <v>1</v>
      </c>
      <c r="Z13213" s="11">
        <v>0</v>
      </c>
      <c r="AA13213" s="11">
        <v>0</v>
      </c>
    </row>
    <row r="13214" spans="1:27" x14ac:dyDescent="0.2">
      <c r="A13214" s="1">
        <v>61</v>
      </c>
      <c r="B13214" s="1" t="s">
        <v>156</v>
      </c>
      <c r="C13214" s="1" t="s">
        <v>157</v>
      </c>
      <c r="D13214" s="1">
        <v>1991</v>
      </c>
      <c r="E13214" s="11">
        <v>0</v>
      </c>
      <c r="G13214" s="1">
        <v>0</v>
      </c>
      <c r="H13214" s="1" t="s">
        <v>5</v>
      </c>
      <c r="I13214" s="1">
        <v>25.747499999999999</v>
      </c>
      <c r="J13214" s="1">
        <v>25.747499999999999</v>
      </c>
      <c r="M13214" s="1" t="s">
        <v>677</v>
      </c>
      <c r="N13214" s="1" t="s">
        <v>466</v>
      </c>
      <c r="P13214" s="1" t="s">
        <v>457</v>
      </c>
      <c r="Q13214" s="1">
        <v>0</v>
      </c>
      <c r="S13214" s="1">
        <v>0</v>
      </c>
      <c r="T13214" s="1">
        <v>0</v>
      </c>
      <c r="V13214" s="1">
        <f t="shared" si="256"/>
        <v>0</v>
      </c>
      <c r="W13214" s="1">
        <v>0</v>
      </c>
      <c r="X13214" s="80">
        <v>3.6219999999999999</v>
      </c>
      <c r="Y13214" s="23">
        <v>1</v>
      </c>
      <c r="Z13214" s="11">
        <v>0</v>
      </c>
      <c r="AA13214" s="11">
        <v>0</v>
      </c>
    </row>
    <row r="13215" spans="1:27" x14ac:dyDescent="0.2">
      <c r="A13215" s="1">
        <v>61</v>
      </c>
      <c r="B13215" s="1" t="s">
        <v>156</v>
      </c>
      <c r="C13215" s="1" t="s">
        <v>157</v>
      </c>
      <c r="D13215" s="1">
        <v>1992</v>
      </c>
      <c r="E13215" s="11">
        <v>0</v>
      </c>
      <c r="G13215" s="1">
        <v>0</v>
      </c>
      <c r="H13215" s="1" t="s">
        <v>5</v>
      </c>
      <c r="I13215" s="1">
        <v>25.4025</v>
      </c>
      <c r="J13215" s="1">
        <v>25.4025</v>
      </c>
      <c r="M13215" s="1" t="s">
        <v>677</v>
      </c>
      <c r="N13215" s="1" t="s">
        <v>466</v>
      </c>
      <c r="P13215" s="1" t="s">
        <v>457</v>
      </c>
      <c r="Q13215" s="1">
        <v>0</v>
      </c>
      <c r="S13215" s="1">
        <v>0</v>
      </c>
      <c r="T13215" s="1">
        <v>0</v>
      </c>
      <c r="V13215" s="1">
        <f t="shared" ref="V13215:V13239" si="257">0.09*S13215</f>
        <v>0</v>
      </c>
      <c r="W13215" s="1">
        <v>1</v>
      </c>
      <c r="X13215" s="80">
        <v>4.4649999999999999</v>
      </c>
      <c r="Y13215" s="23">
        <v>1</v>
      </c>
      <c r="Z13215" s="11">
        <v>0</v>
      </c>
      <c r="AA13215" s="11">
        <v>0</v>
      </c>
    </row>
    <row r="13216" spans="1:27" x14ac:dyDescent="0.2">
      <c r="A13216" s="1">
        <v>61</v>
      </c>
      <c r="B13216" s="1" t="s">
        <v>156</v>
      </c>
      <c r="C13216" s="1" t="s">
        <v>157</v>
      </c>
      <c r="D13216" s="1">
        <v>1993</v>
      </c>
      <c r="E13216" s="11">
        <v>0</v>
      </c>
      <c r="G13216" s="1">
        <v>0</v>
      </c>
      <c r="H13216" s="1" t="s">
        <v>5</v>
      </c>
      <c r="I13216" s="1">
        <v>26.626000000000001</v>
      </c>
      <c r="J13216" s="1">
        <v>26.626000000000001</v>
      </c>
      <c r="M13216" s="1" t="s">
        <v>677</v>
      </c>
      <c r="N13216" s="1" t="s">
        <v>466</v>
      </c>
      <c r="P13216" s="1" t="s">
        <v>457</v>
      </c>
      <c r="Q13216" s="1">
        <v>0</v>
      </c>
      <c r="S13216" s="1">
        <v>0</v>
      </c>
      <c r="T13216" s="1">
        <v>0</v>
      </c>
      <c r="V13216" s="1">
        <f t="shared" si="257"/>
        <v>0</v>
      </c>
      <c r="W13216" s="1">
        <v>0</v>
      </c>
      <c r="X13216" s="80">
        <v>2.9420000000000002</v>
      </c>
      <c r="Y13216" s="23">
        <v>1</v>
      </c>
      <c r="Z13216" s="11">
        <v>0</v>
      </c>
      <c r="AA13216" s="11">
        <v>0</v>
      </c>
    </row>
    <row r="13217" spans="1:27" x14ac:dyDescent="0.2">
      <c r="A13217" s="1">
        <v>61</v>
      </c>
      <c r="B13217" s="1" t="s">
        <v>156</v>
      </c>
      <c r="C13217" s="1" t="s">
        <v>157</v>
      </c>
      <c r="D13217" s="1">
        <v>1994</v>
      </c>
      <c r="E13217" s="11">
        <v>0</v>
      </c>
      <c r="G13217" s="1">
        <v>0</v>
      </c>
      <c r="H13217" s="1" t="s">
        <v>5</v>
      </c>
      <c r="I13217" s="1">
        <v>26.29</v>
      </c>
      <c r="J13217" s="1">
        <v>26.29</v>
      </c>
      <c r="M13217" s="1" t="s">
        <v>677</v>
      </c>
      <c r="N13217" s="1" t="s">
        <v>466</v>
      </c>
      <c r="P13217" s="1" t="s">
        <v>457</v>
      </c>
      <c r="Q13217" s="1">
        <v>0</v>
      </c>
      <c r="S13217" s="1">
        <v>0</v>
      </c>
      <c r="T13217" s="1">
        <v>0</v>
      </c>
      <c r="V13217" s="1">
        <f t="shared" si="257"/>
        <v>0</v>
      </c>
      <c r="W13217" s="1">
        <v>0</v>
      </c>
      <c r="X13217" s="80">
        <v>4.1029999999999998</v>
      </c>
      <c r="Y13217" s="23">
        <v>1</v>
      </c>
      <c r="Z13217" s="11">
        <v>0</v>
      </c>
      <c r="AA13217" s="11">
        <v>0</v>
      </c>
    </row>
    <row r="13218" spans="1:27" x14ac:dyDescent="0.2">
      <c r="A13218" s="1">
        <v>61</v>
      </c>
      <c r="B13218" s="1" t="s">
        <v>156</v>
      </c>
      <c r="C13218" s="1" t="s">
        <v>157</v>
      </c>
      <c r="D13218" s="1">
        <v>1995</v>
      </c>
      <c r="E13218" s="5">
        <v>1</v>
      </c>
      <c r="F13218" s="1" t="s">
        <v>331</v>
      </c>
      <c r="G13218" s="1">
        <v>0</v>
      </c>
      <c r="H13218" s="1" t="s">
        <v>5</v>
      </c>
      <c r="I13218" s="1">
        <v>27.29</v>
      </c>
      <c r="J13218" s="1">
        <v>27.29</v>
      </c>
      <c r="M13218" s="1" t="s">
        <v>677</v>
      </c>
      <c r="N13218" s="1" t="s">
        <v>466</v>
      </c>
      <c r="P13218" s="1" t="s">
        <v>457</v>
      </c>
      <c r="Q13218" s="1">
        <v>0</v>
      </c>
      <c r="S13218" s="1">
        <v>0</v>
      </c>
      <c r="T13218" s="1">
        <v>0</v>
      </c>
      <c r="V13218" s="1">
        <f t="shared" si="257"/>
        <v>0</v>
      </c>
      <c r="W13218" s="1">
        <v>1</v>
      </c>
      <c r="X13218" s="80">
        <v>3.6669999999999998</v>
      </c>
      <c r="Y13218" s="23">
        <v>1</v>
      </c>
      <c r="Z13218" s="11">
        <v>0</v>
      </c>
      <c r="AA13218" s="11">
        <v>0</v>
      </c>
    </row>
    <row r="13219" spans="1:27" x14ac:dyDescent="0.2">
      <c r="A13219" s="1">
        <v>61</v>
      </c>
      <c r="B13219" s="1" t="s">
        <v>156</v>
      </c>
      <c r="C13219" s="1" t="s">
        <v>157</v>
      </c>
      <c r="D13219" s="1">
        <v>1996</v>
      </c>
      <c r="E13219" s="11">
        <v>0</v>
      </c>
      <c r="G13219" s="1">
        <v>0</v>
      </c>
      <c r="H13219" s="1" t="s">
        <v>5</v>
      </c>
      <c r="I13219" s="1">
        <v>27.52</v>
      </c>
      <c r="J13219" s="1">
        <v>27.52</v>
      </c>
      <c r="M13219" s="1" t="s">
        <v>677</v>
      </c>
      <c r="N13219" s="1" t="s">
        <v>466</v>
      </c>
      <c r="P13219" s="1" t="s">
        <v>457</v>
      </c>
      <c r="Q13219" s="1">
        <v>0</v>
      </c>
      <c r="S13219" s="1">
        <v>0</v>
      </c>
      <c r="T13219" s="1">
        <v>0</v>
      </c>
      <c r="V13219" s="1">
        <f t="shared" si="257"/>
        <v>0</v>
      </c>
      <c r="W13219" s="1">
        <v>0</v>
      </c>
      <c r="X13219" s="80">
        <v>3.0739999999999998</v>
      </c>
      <c r="Y13219" s="23">
        <v>1</v>
      </c>
      <c r="Z13219" s="11">
        <v>0</v>
      </c>
      <c r="AA13219" s="11">
        <v>0</v>
      </c>
    </row>
    <row r="13220" spans="1:27" x14ac:dyDescent="0.2">
      <c r="A13220" s="1">
        <v>61</v>
      </c>
      <c r="B13220" s="1" t="s">
        <v>156</v>
      </c>
      <c r="C13220" s="1" t="s">
        <v>157</v>
      </c>
      <c r="D13220" s="1">
        <v>1997</v>
      </c>
      <c r="E13220" s="5">
        <v>1</v>
      </c>
      <c r="F13220" s="1" t="s">
        <v>332</v>
      </c>
      <c r="G13220" s="1">
        <v>1</v>
      </c>
      <c r="H13220" s="1" t="s">
        <v>5</v>
      </c>
      <c r="I13220" s="1">
        <v>32.450000000000003</v>
      </c>
      <c r="J13220" s="1">
        <v>32.450000000000003</v>
      </c>
      <c r="M13220" s="1" t="s">
        <v>677</v>
      </c>
      <c r="N13220" s="1" t="s">
        <v>466</v>
      </c>
      <c r="P13220" s="1" t="s">
        <v>457</v>
      </c>
      <c r="Q13220" s="1">
        <v>0</v>
      </c>
      <c r="S13220" s="1">
        <v>0</v>
      </c>
      <c r="T13220" s="1">
        <v>0</v>
      </c>
      <c r="V13220" s="1">
        <f t="shared" si="257"/>
        <v>0</v>
      </c>
      <c r="W13220" s="1">
        <v>0</v>
      </c>
      <c r="X13220" s="80">
        <v>0.90400000000000003</v>
      </c>
      <c r="Y13220" s="23">
        <v>1</v>
      </c>
      <c r="Z13220" s="49">
        <v>1</v>
      </c>
      <c r="AA13220" s="11">
        <v>0</v>
      </c>
    </row>
    <row r="13221" spans="1:27" x14ac:dyDescent="0.2">
      <c r="A13221" s="1">
        <v>61</v>
      </c>
      <c r="B13221" s="1" t="s">
        <v>156</v>
      </c>
      <c r="C13221" s="1" t="s">
        <v>157</v>
      </c>
      <c r="D13221" s="1">
        <v>1998</v>
      </c>
      <c r="E13221" s="5">
        <v>1</v>
      </c>
      <c r="F13221" s="1" t="s">
        <v>332</v>
      </c>
      <c r="G13221" s="1">
        <v>1</v>
      </c>
      <c r="H13221" s="1" t="s">
        <v>5</v>
      </c>
      <c r="I13221" s="1">
        <v>32.17</v>
      </c>
      <c r="J13221" s="1">
        <v>32.17</v>
      </c>
      <c r="M13221" s="1" t="s">
        <v>677</v>
      </c>
      <c r="N13221" s="1" t="s">
        <v>466</v>
      </c>
      <c r="P13221" s="1" t="s">
        <v>457</v>
      </c>
      <c r="Q13221" s="1">
        <v>0</v>
      </c>
      <c r="S13221" s="1">
        <v>0</v>
      </c>
      <c r="T13221" s="1">
        <v>0</v>
      </c>
      <c r="V13221" s="1">
        <f t="shared" si="257"/>
        <v>0</v>
      </c>
      <c r="W13221" s="1">
        <v>1</v>
      </c>
      <c r="X13221" s="80">
        <v>1.6859999999999999</v>
      </c>
      <c r="Y13221" s="23">
        <v>1</v>
      </c>
      <c r="Z13221" s="11">
        <v>0</v>
      </c>
      <c r="AA13221" s="11">
        <v>0</v>
      </c>
    </row>
    <row r="13222" spans="1:27" ht="12.95" customHeight="1" x14ac:dyDescent="0.2">
      <c r="A13222" s="1">
        <v>61</v>
      </c>
      <c r="B13222" s="1" t="s">
        <v>156</v>
      </c>
      <c r="C13222" s="1" t="s">
        <v>157</v>
      </c>
      <c r="D13222" s="1">
        <v>1999</v>
      </c>
      <c r="E13222" s="11">
        <v>0</v>
      </c>
      <c r="G13222" s="1">
        <v>0</v>
      </c>
      <c r="H13222" s="1" t="s">
        <v>5</v>
      </c>
      <c r="I13222" s="1">
        <v>31.38</v>
      </c>
      <c r="J13222" s="1">
        <v>31.38</v>
      </c>
      <c r="M13222" s="1" t="s">
        <v>677</v>
      </c>
      <c r="N13222" s="1" t="s">
        <v>466</v>
      </c>
      <c r="P13222" s="1" t="s">
        <v>457</v>
      </c>
      <c r="Q13222" s="1">
        <v>0</v>
      </c>
      <c r="S13222" s="1">
        <v>0</v>
      </c>
      <c r="T13222" s="1">
        <v>0</v>
      </c>
      <c r="V13222" s="1">
        <f t="shared" si="257"/>
        <v>0</v>
      </c>
      <c r="W13222" s="1">
        <v>0</v>
      </c>
      <c r="X13222" s="80">
        <v>0.17299999999999999</v>
      </c>
      <c r="Y13222" s="23">
        <v>1</v>
      </c>
      <c r="Z13222" s="11">
        <v>0</v>
      </c>
      <c r="AA13222" s="11">
        <v>0</v>
      </c>
    </row>
    <row r="13223" spans="1:27" ht="12.95" customHeight="1" x14ac:dyDescent="0.2">
      <c r="A13223" s="1">
        <v>61</v>
      </c>
      <c r="B13223" s="1" t="s">
        <v>156</v>
      </c>
      <c r="C13223" s="1" t="s">
        <v>157</v>
      </c>
      <c r="D13223" s="1">
        <v>2000</v>
      </c>
      <c r="E13223" s="11">
        <v>0</v>
      </c>
      <c r="G13223" s="1">
        <v>0</v>
      </c>
      <c r="H13223" s="1" t="s">
        <v>5</v>
      </c>
      <c r="I13223" s="1">
        <v>33.07</v>
      </c>
      <c r="J13223" s="1">
        <v>33.07</v>
      </c>
      <c r="M13223" s="1" t="s">
        <v>677</v>
      </c>
      <c r="N13223" s="1" t="s">
        <v>466</v>
      </c>
      <c r="P13223" s="1" t="s">
        <v>457</v>
      </c>
      <c r="Q13223" s="1">
        <v>0</v>
      </c>
      <c r="S13223" s="1">
        <v>0</v>
      </c>
      <c r="T13223" s="1">
        <v>0</v>
      </c>
      <c r="V13223" s="1">
        <f t="shared" si="257"/>
        <v>0</v>
      </c>
      <c r="W13223" s="1">
        <v>1</v>
      </c>
      <c r="X13223" s="80">
        <v>1.2529999999999999</v>
      </c>
      <c r="Y13223" s="23">
        <v>1</v>
      </c>
      <c r="Z13223" s="11">
        <v>0</v>
      </c>
      <c r="AA13223" s="11">
        <v>0</v>
      </c>
    </row>
    <row r="13224" spans="1:27" x14ac:dyDescent="0.2">
      <c r="A13224" s="1">
        <v>61</v>
      </c>
      <c r="B13224" s="1" t="s">
        <v>156</v>
      </c>
      <c r="C13224" s="1" t="s">
        <v>157</v>
      </c>
      <c r="D13224" s="1">
        <v>2001</v>
      </c>
      <c r="E13224" s="11">
        <v>0</v>
      </c>
      <c r="G13224" s="1">
        <v>0</v>
      </c>
      <c r="H13224" s="1" t="s">
        <v>5</v>
      </c>
      <c r="I13224" s="1">
        <v>34.950000000000003</v>
      </c>
      <c r="J13224" s="1">
        <v>34.950000000000003</v>
      </c>
      <c r="M13224" s="1" t="s">
        <v>677</v>
      </c>
      <c r="N13224" s="1" t="s">
        <v>466</v>
      </c>
      <c r="P13224" s="1" t="s">
        <v>457</v>
      </c>
      <c r="Q13224" s="1">
        <v>0</v>
      </c>
      <c r="S13224" s="1">
        <v>0</v>
      </c>
      <c r="T13224" s="1">
        <v>0</v>
      </c>
      <c r="V13224" s="1">
        <f t="shared" si="257"/>
        <v>0</v>
      </c>
      <c r="W13224" s="1">
        <v>0</v>
      </c>
      <c r="X13224" s="80">
        <v>-7.0000000000000001E-3</v>
      </c>
      <c r="Y13224" s="23">
        <v>1</v>
      </c>
      <c r="Z13224" s="11">
        <v>0</v>
      </c>
      <c r="AA13224" s="11">
        <v>0</v>
      </c>
    </row>
    <row r="13225" spans="1:27" x14ac:dyDescent="0.2">
      <c r="A13225" s="1">
        <v>61</v>
      </c>
      <c r="B13225" s="1" t="s">
        <v>156</v>
      </c>
      <c r="C13225" s="1" t="s">
        <v>157</v>
      </c>
      <c r="D13225" s="1">
        <v>2002</v>
      </c>
      <c r="E13225" s="11">
        <v>0</v>
      </c>
      <c r="G13225" s="1">
        <v>0</v>
      </c>
      <c r="H13225" s="1" t="s">
        <v>5</v>
      </c>
      <c r="I13225" s="1">
        <v>34.6</v>
      </c>
      <c r="J13225" s="1">
        <v>34.6</v>
      </c>
      <c r="M13225" s="1" t="s">
        <v>677</v>
      </c>
      <c r="N13225" s="1" t="s">
        <v>466</v>
      </c>
      <c r="P13225" s="1" t="s">
        <v>457</v>
      </c>
      <c r="Q13225" s="1">
        <v>0</v>
      </c>
      <c r="S13225" s="1">
        <v>0</v>
      </c>
      <c r="T13225" s="1">
        <v>0</v>
      </c>
      <c r="V13225" s="1">
        <f t="shared" si="257"/>
        <v>0</v>
      </c>
      <c r="W13225" s="1">
        <v>0</v>
      </c>
      <c r="X13225" s="80">
        <v>-0.2</v>
      </c>
      <c r="Y13225" s="23">
        <v>1</v>
      </c>
      <c r="Z13225" s="11">
        <v>0</v>
      </c>
      <c r="AA13225" s="11">
        <v>0</v>
      </c>
    </row>
    <row r="13226" spans="1:27" x14ac:dyDescent="0.2">
      <c r="A13226" s="1">
        <v>61</v>
      </c>
      <c r="B13226" s="1" t="s">
        <v>156</v>
      </c>
      <c r="C13226" s="1" t="s">
        <v>157</v>
      </c>
      <c r="D13226" s="1">
        <v>2003</v>
      </c>
      <c r="E13226" s="11">
        <v>0</v>
      </c>
      <c r="G13226" s="1">
        <v>0</v>
      </c>
      <c r="H13226" s="1" t="s">
        <v>5</v>
      </c>
      <c r="I13226" s="1">
        <v>33.93</v>
      </c>
      <c r="J13226" s="1">
        <v>33.93</v>
      </c>
      <c r="M13226" s="1" t="s">
        <v>677</v>
      </c>
      <c r="N13226" s="1" t="s">
        <v>466</v>
      </c>
      <c r="P13226" s="1" t="s">
        <v>457</v>
      </c>
      <c r="Q13226" s="1">
        <v>0</v>
      </c>
      <c r="S13226" s="1">
        <v>0</v>
      </c>
      <c r="T13226" s="1">
        <v>0</v>
      </c>
      <c r="V13226" s="1">
        <f t="shared" si="257"/>
        <v>0</v>
      </c>
      <c r="W13226" s="1">
        <v>0</v>
      </c>
      <c r="X13226" s="80">
        <v>-0.27700000000000002</v>
      </c>
      <c r="Y13226" s="23">
        <v>1</v>
      </c>
      <c r="Z13226" s="11">
        <v>0</v>
      </c>
      <c r="AA13226" s="11">
        <v>0</v>
      </c>
    </row>
    <row r="13227" spans="1:27" x14ac:dyDescent="0.2">
      <c r="A13227" s="1">
        <v>61</v>
      </c>
      <c r="B13227" s="1" t="s">
        <v>156</v>
      </c>
      <c r="C13227" s="1" t="s">
        <v>157</v>
      </c>
      <c r="D13227" s="1">
        <v>2004</v>
      </c>
      <c r="E13227" s="11">
        <v>0</v>
      </c>
      <c r="G13227" s="1">
        <v>0</v>
      </c>
      <c r="H13227" s="1" t="s">
        <v>5</v>
      </c>
      <c r="I13227" s="1">
        <v>31.74</v>
      </c>
      <c r="J13227" s="1">
        <v>31.74</v>
      </c>
      <c r="M13227" s="1" t="s">
        <v>677</v>
      </c>
      <c r="N13227" s="1" t="s">
        <v>466</v>
      </c>
      <c r="P13227" s="1" t="s">
        <v>457</v>
      </c>
      <c r="Q13227" s="1">
        <v>0</v>
      </c>
      <c r="S13227" s="1">
        <v>0</v>
      </c>
      <c r="T13227" s="1">
        <v>0</v>
      </c>
      <c r="V13227" s="1">
        <f t="shared" si="257"/>
        <v>0</v>
      </c>
      <c r="W13227" s="1">
        <v>0</v>
      </c>
      <c r="X13227" s="80">
        <v>1.611</v>
      </c>
      <c r="Y13227" s="23">
        <v>1</v>
      </c>
      <c r="Z13227" s="11">
        <v>0</v>
      </c>
      <c r="AA13227" s="11">
        <v>0</v>
      </c>
    </row>
    <row r="13228" spans="1:27" x14ac:dyDescent="0.2">
      <c r="A13228" s="1">
        <v>61</v>
      </c>
      <c r="B13228" s="1" t="s">
        <v>156</v>
      </c>
      <c r="C13228" s="1" t="s">
        <v>157</v>
      </c>
      <c r="D13228" s="1">
        <v>2005</v>
      </c>
      <c r="E13228" s="11">
        <v>0</v>
      </c>
      <c r="G13228" s="1">
        <v>0</v>
      </c>
      <c r="H13228" s="1" t="s">
        <v>5</v>
      </c>
      <c r="I13228" s="1">
        <v>32.76</v>
      </c>
      <c r="J13228" s="1">
        <v>32.76</v>
      </c>
      <c r="M13228" s="1" t="s">
        <v>677</v>
      </c>
      <c r="N13228" s="1" t="s">
        <v>466</v>
      </c>
      <c r="P13228" s="1" t="s">
        <v>457</v>
      </c>
      <c r="Q13228" s="1">
        <v>0</v>
      </c>
      <c r="S13228" s="1">
        <v>0</v>
      </c>
      <c r="T13228" s="1">
        <v>0</v>
      </c>
      <c r="V13228" s="1">
        <f t="shared" si="257"/>
        <v>0</v>
      </c>
      <c r="W13228" s="1">
        <v>0</v>
      </c>
      <c r="X13228" s="80">
        <v>2.3079999999999998</v>
      </c>
      <c r="Y13228" s="23">
        <v>1</v>
      </c>
      <c r="Z13228" s="11">
        <v>0</v>
      </c>
      <c r="AA13228" s="11">
        <v>0</v>
      </c>
    </row>
    <row r="13229" spans="1:27" x14ac:dyDescent="0.2">
      <c r="A13229" s="1">
        <v>61</v>
      </c>
      <c r="B13229" s="1" t="s">
        <v>156</v>
      </c>
      <c r="C13229" s="1" t="s">
        <v>157</v>
      </c>
      <c r="D13229" s="1">
        <v>2006</v>
      </c>
      <c r="E13229" s="11">
        <v>0</v>
      </c>
      <c r="G13229" s="1">
        <v>0</v>
      </c>
      <c r="H13229" s="1" t="s">
        <v>5</v>
      </c>
      <c r="I13229" s="1">
        <v>32.58</v>
      </c>
      <c r="J13229" s="1">
        <v>32.58</v>
      </c>
      <c r="M13229" s="1" t="s">
        <v>677</v>
      </c>
      <c r="N13229" s="1" t="s">
        <v>466</v>
      </c>
      <c r="P13229" s="1" t="s">
        <v>457</v>
      </c>
      <c r="Q13229" s="1">
        <v>0</v>
      </c>
      <c r="S13229" s="1">
        <v>0</v>
      </c>
      <c r="T13229" s="1">
        <v>0</v>
      </c>
      <c r="V13229" s="1">
        <f t="shared" si="257"/>
        <v>0</v>
      </c>
      <c r="W13229" s="1">
        <v>0</v>
      </c>
      <c r="X13229" s="29">
        <v>0.59799999999999998</v>
      </c>
      <c r="Y13229" s="23">
        <v>1</v>
      </c>
      <c r="Z13229" s="11">
        <v>0</v>
      </c>
      <c r="AA13229" s="11">
        <v>0</v>
      </c>
    </row>
    <row r="13230" spans="1:27" x14ac:dyDescent="0.2">
      <c r="A13230" s="1">
        <v>61</v>
      </c>
      <c r="B13230" s="1" t="s">
        <v>156</v>
      </c>
      <c r="C13230" s="1" t="s">
        <v>157</v>
      </c>
      <c r="D13230" s="1">
        <v>2007</v>
      </c>
      <c r="E13230" s="11">
        <v>0</v>
      </c>
      <c r="G13230" s="1">
        <v>0</v>
      </c>
      <c r="H13230" s="1" t="s">
        <v>5</v>
      </c>
      <c r="I13230" s="1">
        <v>32.42</v>
      </c>
      <c r="J13230" s="1">
        <v>32.42</v>
      </c>
      <c r="M13230" s="1" t="s">
        <v>677</v>
      </c>
      <c r="N13230" s="1" t="s">
        <v>466</v>
      </c>
      <c r="P13230" s="1" t="s">
        <v>457</v>
      </c>
      <c r="Q13230" s="1">
        <v>0</v>
      </c>
      <c r="S13230" s="1">
        <v>0</v>
      </c>
      <c r="T13230" s="1">
        <v>0</v>
      </c>
      <c r="V13230" s="1">
        <f t="shared" si="257"/>
        <v>0</v>
      </c>
      <c r="W13230" s="1">
        <v>0</v>
      </c>
      <c r="X13230" s="29">
        <v>1.798</v>
      </c>
      <c r="Y13230" s="23">
        <v>1</v>
      </c>
      <c r="Z13230" s="11">
        <v>0</v>
      </c>
      <c r="AA13230" s="11">
        <v>0</v>
      </c>
    </row>
    <row r="13231" spans="1:27" x14ac:dyDescent="0.2">
      <c r="A13231" s="1">
        <v>61</v>
      </c>
      <c r="B13231" s="1" t="s">
        <v>156</v>
      </c>
      <c r="C13231" s="1" t="s">
        <v>157</v>
      </c>
      <c r="D13231" s="1">
        <v>2008</v>
      </c>
      <c r="E13231" s="11">
        <v>0</v>
      </c>
      <c r="G13231" s="1">
        <v>0</v>
      </c>
      <c r="H13231" s="1" t="s">
        <v>5</v>
      </c>
      <c r="I13231" s="1">
        <v>32.755000000000003</v>
      </c>
      <c r="J13231" s="1">
        <v>32.755000000000003</v>
      </c>
      <c r="M13231" s="1" t="s">
        <v>677</v>
      </c>
      <c r="N13231" s="1" t="s">
        <v>466</v>
      </c>
      <c r="P13231" s="1" t="s">
        <v>457</v>
      </c>
      <c r="Q13231" s="1">
        <v>0</v>
      </c>
      <c r="S13231" s="1">
        <v>0</v>
      </c>
      <c r="T13231" s="1">
        <v>0</v>
      </c>
      <c r="V13231" s="1">
        <f t="shared" si="257"/>
        <v>0</v>
      </c>
      <c r="W13231" s="1">
        <v>1</v>
      </c>
      <c r="X13231" s="29">
        <v>3.5259999999999998</v>
      </c>
      <c r="Y13231" s="23">
        <v>1</v>
      </c>
      <c r="Z13231" s="11">
        <v>0</v>
      </c>
      <c r="AA13231" s="11">
        <v>0</v>
      </c>
    </row>
    <row r="13232" spans="1:27" x14ac:dyDescent="0.2">
      <c r="A13232" s="1">
        <v>61</v>
      </c>
      <c r="B13232" s="1" t="s">
        <v>156</v>
      </c>
      <c r="C13232" s="1" t="s">
        <v>157</v>
      </c>
      <c r="D13232" s="1">
        <v>2009</v>
      </c>
      <c r="E13232" s="11">
        <v>0</v>
      </c>
      <c r="G13232" s="1">
        <v>0</v>
      </c>
      <c r="H13232" s="1" t="s">
        <v>5</v>
      </c>
      <c r="I13232" s="1">
        <v>31.95</v>
      </c>
      <c r="J13232" s="1">
        <v>31.95</v>
      </c>
      <c r="M13232" s="1" t="s">
        <v>677</v>
      </c>
      <c r="N13232" s="1" t="s">
        <v>466</v>
      </c>
      <c r="P13232" s="1" t="s">
        <v>457</v>
      </c>
      <c r="Q13232" s="1">
        <v>0</v>
      </c>
      <c r="S13232" s="1">
        <v>0</v>
      </c>
      <c r="T13232" s="1">
        <v>0</v>
      </c>
      <c r="V13232" s="1">
        <f t="shared" si="257"/>
        <v>0</v>
      </c>
      <c r="W13232" s="1">
        <v>0</v>
      </c>
      <c r="X13232" s="29">
        <v>-0.872</v>
      </c>
      <c r="Y13232" s="23">
        <v>1</v>
      </c>
      <c r="Z13232" s="11">
        <v>0</v>
      </c>
      <c r="AA13232" s="11">
        <v>0</v>
      </c>
    </row>
    <row r="13233" spans="1:27" x14ac:dyDescent="0.2">
      <c r="A13233" s="1">
        <v>61</v>
      </c>
      <c r="B13233" s="1" t="s">
        <v>156</v>
      </c>
      <c r="C13233" s="1" t="s">
        <v>157</v>
      </c>
      <c r="D13233" s="1">
        <v>2010</v>
      </c>
      <c r="E13233" s="11">
        <v>0</v>
      </c>
      <c r="G13233" s="1">
        <v>0</v>
      </c>
      <c r="H13233" s="1" t="s">
        <v>5</v>
      </c>
      <c r="I13233" s="1">
        <v>29.164999999999999</v>
      </c>
      <c r="J13233" s="1">
        <v>29.164999999999999</v>
      </c>
      <c r="M13233" s="1" t="s">
        <v>677</v>
      </c>
      <c r="N13233" s="1" t="s">
        <v>466</v>
      </c>
      <c r="P13233" s="1" t="s">
        <v>457</v>
      </c>
      <c r="Q13233" s="1">
        <v>0</v>
      </c>
      <c r="S13233" s="1">
        <v>0</v>
      </c>
      <c r="T13233" s="1">
        <v>0</v>
      </c>
      <c r="V13233" s="1">
        <f t="shared" si="257"/>
        <v>0</v>
      </c>
      <c r="W13233" s="1">
        <v>0</v>
      </c>
      <c r="X13233" s="29">
        <v>0.96299999999999997</v>
      </c>
      <c r="Y13233" s="23">
        <v>1</v>
      </c>
      <c r="Z13233" s="11">
        <v>0</v>
      </c>
      <c r="AA13233" s="11">
        <v>0</v>
      </c>
    </row>
    <row r="13234" spans="1:27" ht="12.75" customHeight="1" x14ac:dyDescent="0.2">
      <c r="A13234" s="1">
        <v>61</v>
      </c>
      <c r="B13234" s="1" t="s">
        <v>156</v>
      </c>
      <c r="C13234" s="1" t="s">
        <v>157</v>
      </c>
      <c r="D13234" s="1">
        <v>2011</v>
      </c>
      <c r="E13234" s="11">
        <v>0</v>
      </c>
      <c r="G13234" s="1">
        <v>0</v>
      </c>
      <c r="H13234" s="1" t="s">
        <v>5</v>
      </c>
      <c r="I13234" s="1">
        <v>30.27</v>
      </c>
      <c r="J13234" s="1">
        <v>30.27</v>
      </c>
      <c r="M13234" s="1" t="s">
        <v>677</v>
      </c>
      <c r="N13234" s="1" t="s">
        <v>466</v>
      </c>
      <c r="P13234" s="1" t="s">
        <v>457</v>
      </c>
      <c r="Q13234" s="1">
        <v>0</v>
      </c>
      <c r="S13234" s="1">
        <v>0</v>
      </c>
      <c r="T13234" s="1">
        <v>0</v>
      </c>
      <c r="V13234" s="1">
        <f t="shared" si="257"/>
        <v>0</v>
      </c>
      <c r="W13234" s="1">
        <v>1</v>
      </c>
      <c r="X13234" s="29">
        <v>1.427</v>
      </c>
      <c r="Y13234" s="23">
        <v>1</v>
      </c>
      <c r="Z13234" s="11">
        <v>0</v>
      </c>
      <c r="AA13234" s="11">
        <v>0</v>
      </c>
    </row>
    <row r="13235" spans="1:27" ht="12.95" customHeight="1" x14ac:dyDescent="0.25">
      <c r="A13235" s="1">
        <v>61</v>
      </c>
      <c r="B13235" s="1" t="s">
        <v>156</v>
      </c>
      <c r="C13235" s="1" t="s">
        <v>157</v>
      </c>
      <c r="D13235" s="1">
        <v>2012</v>
      </c>
      <c r="E13235" s="11">
        <v>0</v>
      </c>
      <c r="G13235" s="1">
        <v>0</v>
      </c>
      <c r="H13235" s="1" t="s">
        <v>5</v>
      </c>
      <c r="I13235" s="1">
        <v>29.045000000000002</v>
      </c>
      <c r="J13235" s="1">
        <v>29.045000000000002</v>
      </c>
      <c r="M13235" s="1" t="s">
        <v>677</v>
      </c>
      <c r="N13235" s="1" t="s">
        <v>466</v>
      </c>
      <c r="P13235" s="1" t="s">
        <v>457</v>
      </c>
      <c r="Q13235" s="1">
        <v>0</v>
      </c>
      <c r="S13235" s="1">
        <v>0</v>
      </c>
      <c r="T13235" s="1">
        <v>0</v>
      </c>
      <c r="V13235" s="1">
        <f t="shared" si="257"/>
        <v>0</v>
      </c>
      <c r="W13235" s="1">
        <v>0</v>
      </c>
      <c r="X13235" s="42">
        <v>1.9319999999999999</v>
      </c>
      <c r="Y13235" s="23">
        <v>1</v>
      </c>
      <c r="Z13235" s="11">
        <v>0</v>
      </c>
      <c r="AA13235" s="11">
        <v>0</v>
      </c>
    </row>
    <row r="13236" spans="1:27" ht="15" customHeight="1" x14ac:dyDescent="0.25">
      <c r="A13236" s="1">
        <v>61</v>
      </c>
      <c r="B13236" s="1" t="s">
        <v>156</v>
      </c>
      <c r="C13236" s="1" t="s">
        <v>157</v>
      </c>
      <c r="D13236" s="1">
        <v>2013</v>
      </c>
      <c r="E13236" s="11">
        <v>0</v>
      </c>
      <c r="G13236" s="1">
        <v>0</v>
      </c>
      <c r="H13236" s="1" t="s">
        <v>5</v>
      </c>
      <c r="I13236" s="1">
        <v>29.815000000000001</v>
      </c>
      <c r="J13236" s="1">
        <v>29.815000000000001</v>
      </c>
      <c r="M13236" s="1" t="s">
        <v>677</v>
      </c>
      <c r="N13236" s="1" t="s">
        <v>466</v>
      </c>
      <c r="P13236" s="1" t="s">
        <v>457</v>
      </c>
      <c r="Q13236" s="1">
        <v>0</v>
      </c>
      <c r="S13236" s="1">
        <v>0</v>
      </c>
      <c r="T13236" s="1">
        <v>0</v>
      </c>
      <c r="V13236" s="1">
        <f t="shared" si="257"/>
        <v>0</v>
      </c>
      <c r="W13236" s="1">
        <v>0</v>
      </c>
      <c r="X13236" s="42">
        <v>0.79300000000000004</v>
      </c>
      <c r="Y13236" s="23">
        <v>1</v>
      </c>
      <c r="Z13236" s="11">
        <v>0</v>
      </c>
      <c r="AA13236" s="11">
        <v>0</v>
      </c>
    </row>
    <row r="13237" spans="1:27" ht="15" customHeight="1" x14ac:dyDescent="0.25">
      <c r="A13237" s="1">
        <v>61</v>
      </c>
      <c r="B13237" s="1" t="s">
        <v>156</v>
      </c>
      <c r="C13237" s="1" t="s">
        <v>157</v>
      </c>
      <c r="D13237" s="1">
        <v>2014</v>
      </c>
      <c r="E13237" s="11">
        <v>0</v>
      </c>
      <c r="G13237" s="1">
        <v>0</v>
      </c>
      <c r="H13237" s="1" t="s">
        <v>5</v>
      </c>
      <c r="I13237" s="1">
        <v>31.62</v>
      </c>
      <c r="J13237" s="1">
        <v>31.62</v>
      </c>
      <c r="M13237" s="1" t="s">
        <v>677</v>
      </c>
      <c r="N13237" s="1" t="s">
        <v>466</v>
      </c>
      <c r="P13237" s="1" t="s">
        <v>457</v>
      </c>
      <c r="Q13237" s="1">
        <v>0</v>
      </c>
      <c r="S13237" s="1">
        <v>0</v>
      </c>
      <c r="T13237" s="1">
        <v>0</v>
      </c>
      <c r="V13237" s="1">
        <f t="shared" si="257"/>
        <v>0</v>
      </c>
      <c r="W13237" s="1">
        <v>0</v>
      </c>
      <c r="X13237" s="42">
        <v>1.196</v>
      </c>
      <c r="Y13237" s="23">
        <v>1</v>
      </c>
      <c r="Z13237" s="11">
        <v>0</v>
      </c>
      <c r="AA13237" s="11">
        <v>0</v>
      </c>
    </row>
    <row r="13238" spans="1:27" ht="15" customHeight="1" x14ac:dyDescent="0.25">
      <c r="A13238" s="1">
        <v>61</v>
      </c>
      <c r="B13238" s="1" t="s">
        <v>156</v>
      </c>
      <c r="C13238" s="1" t="s">
        <v>157</v>
      </c>
      <c r="D13238" s="1">
        <v>2015</v>
      </c>
      <c r="E13238" s="1" t="s">
        <v>5</v>
      </c>
      <c r="G13238" s="1">
        <v>0</v>
      </c>
      <c r="H13238" s="1" t="s">
        <v>5</v>
      </c>
      <c r="I13238" s="1">
        <v>33.07</v>
      </c>
      <c r="M13238" s="1" t="s">
        <v>677</v>
      </c>
      <c r="N13238" s="1" t="s">
        <v>466</v>
      </c>
      <c r="P13238" s="1" t="s">
        <v>457</v>
      </c>
      <c r="Q13238" s="1">
        <v>0</v>
      </c>
      <c r="S13238" s="1">
        <v>0</v>
      </c>
      <c r="T13238" s="1">
        <v>0</v>
      </c>
      <c r="V13238" s="1">
        <f t="shared" si="257"/>
        <v>0</v>
      </c>
      <c r="W13238" s="1">
        <v>0</v>
      </c>
      <c r="X13238" s="42">
        <v>-0.30499999999999999</v>
      </c>
      <c r="Y13238" s="1">
        <v>1</v>
      </c>
      <c r="Z13238" s="1">
        <v>0</v>
      </c>
      <c r="AA13238" s="1">
        <v>0</v>
      </c>
    </row>
    <row r="13239" spans="1:27" ht="15" customHeight="1" x14ac:dyDescent="0.25">
      <c r="A13239" s="1">
        <v>61</v>
      </c>
      <c r="B13239" s="1" t="s">
        <v>156</v>
      </c>
      <c r="C13239" s="1" t="s">
        <v>157</v>
      </c>
      <c r="D13239" s="1">
        <v>2016</v>
      </c>
      <c r="E13239" s="1" t="s">
        <v>5</v>
      </c>
      <c r="G13239" s="1">
        <v>0</v>
      </c>
      <c r="H13239" s="1" t="s">
        <v>5</v>
      </c>
      <c r="I13239" s="1">
        <v>33.35</v>
      </c>
      <c r="M13239" s="1" t="s">
        <v>677</v>
      </c>
      <c r="N13239" s="1" t="s">
        <v>466</v>
      </c>
      <c r="O13239" s="1" t="s">
        <v>652</v>
      </c>
      <c r="P13239" s="1" t="s">
        <v>685</v>
      </c>
      <c r="Q13239" s="1" t="s">
        <v>5</v>
      </c>
      <c r="S13239" s="1">
        <v>0</v>
      </c>
      <c r="T13239" s="1">
        <v>0</v>
      </c>
      <c r="V13239" s="1">
        <f t="shared" si="257"/>
        <v>0</v>
      </c>
      <c r="W13239" s="1" t="s">
        <v>5</v>
      </c>
      <c r="X13239" s="42">
        <v>0.7</v>
      </c>
      <c r="Y13239" s="1">
        <v>1</v>
      </c>
      <c r="Z13239" s="1">
        <v>0</v>
      </c>
      <c r="AA13239" s="1">
        <v>0</v>
      </c>
    </row>
    <row r="13891" spans="1:27" ht="15" customHeight="1" x14ac:dyDescent="0.2">
      <c r="A13891" s="1">
        <v>65</v>
      </c>
      <c r="B13891" s="1" t="s">
        <v>164</v>
      </c>
      <c r="C13891" s="1" t="s">
        <v>165</v>
      </c>
      <c r="D13891" s="1">
        <v>1800</v>
      </c>
      <c r="E13891" s="11">
        <v>0</v>
      </c>
      <c r="G13891" s="1">
        <v>0</v>
      </c>
      <c r="H13891" s="1">
        <v>0</v>
      </c>
      <c r="I13891" s="1">
        <v>0.22409999999999999</v>
      </c>
      <c r="J13891" s="1">
        <f t="shared" ref="J13891:J13954" si="274">1/I13891</f>
        <v>4.4622936189201248</v>
      </c>
      <c r="M13891" s="1" t="s">
        <v>677</v>
      </c>
      <c r="P13891" s="1" t="s">
        <v>470</v>
      </c>
      <c r="Q13891" s="1">
        <v>0</v>
      </c>
      <c r="S13891" s="1">
        <v>0</v>
      </c>
      <c r="T13891" s="1">
        <v>0</v>
      </c>
      <c r="V13891" s="1">
        <f t="shared" ref="V13891:V13954" si="275">8.22*S13891</f>
        <v>0</v>
      </c>
      <c r="W13891" s="1">
        <v>1</v>
      </c>
      <c r="X13891" s="26">
        <v>36.363636363636353</v>
      </c>
      <c r="Y13891" s="1">
        <v>1</v>
      </c>
      <c r="Z13891" s="6">
        <v>0</v>
      </c>
      <c r="AA13891" s="6">
        <v>1</v>
      </c>
    </row>
    <row r="13892" spans="1:27" ht="12.75" customHeight="1" x14ac:dyDescent="0.2">
      <c r="A13892" s="1">
        <v>65</v>
      </c>
      <c r="B13892" s="1" t="s">
        <v>164</v>
      </c>
      <c r="C13892" s="1" t="s">
        <v>165</v>
      </c>
      <c r="D13892" s="1">
        <v>1801</v>
      </c>
      <c r="E13892" s="11">
        <v>0</v>
      </c>
      <c r="G13892" s="1">
        <v>0</v>
      </c>
      <c r="H13892" s="1">
        <v>0</v>
      </c>
      <c r="I13892" s="1">
        <v>0.22919999999999999</v>
      </c>
      <c r="J13892" s="1">
        <f t="shared" si="274"/>
        <v>4.3630017452006982</v>
      </c>
      <c r="M13892" s="1" t="s">
        <v>677</v>
      </c>
      <c r="P13892" s="1" t="s">
        <v>470</v>
      </c>
      <c r="Q13892" s="1">
        <v>0</v>
      </c>
      <c r="S13892" s="1">
        <v>0</v>
      </c>
      <c r="T13892" s="1">
        <v>0</v>
      </c>
      <c r="V13892" s="1">
        <f t="shared" si="275"/>
        <v>0</v>
      </c>
      <c r="W13892" s="1">
        <v>0</v>
      </c>
      <c r="X13892" s="26">
        <v>11.851851851851848</v>
      </c>
      <c r="Y13892" s="1">
        <v>1</v>
      </c>
      <c r="Z13892" s="6">
        <v>0</v>
      </c>
      <c r="AA13892" s="6">
        <v>0</v>
      </c>
    </row>
    <row r="13893" spans="1:27" ht="12.75" customHeight="1" x14ac:dyDescent="0.2">
      <c r="A13893" s="1">
        <v>65</v>
      </c>
      <c r="B13893" s="1" t="s">
        <v>164</v>
      </c>
      <c r="C13893" s="1" t="s">
        <v>165</v>
      </c>
      <c r="D13893" s="1">
        <v>1802</v>
      </c>
      <c r="E13893" s="11">
        <v>0</v>
      </c>
      <c r="G13893" s="1">
        <v>0</v>
      </c>
      <c r="H13893" s="1">
        <v>0</v>
      </c>
      <c r="I13893" s="1">
        <v>0.2235</v>
      </c>
      <c r="J13893" s="1">
        <f t="shared" si="274"/>
        <v>4.4742729306487696</v>
      </c>
      <c r="M13893" s="1" t="s">
        <v>677</v>
      </c>
      <c r="P13893" s="1" t="s">
        <v>470</v>
      </c>
      <c r="Q13893" s="1">
        <v>0</v>
      </c>
      <c r="S13893" s="1">
        <v>0</v>
      </c>
      <c r="T13893" s="1">
        <v>0</v>
      </c>
      <c r="V13893" s="1">
        <f t="shared" si="275"/>
        <v>0</v>
      </c>
      <c r="W13893" s="1">
        <v>0</v>
      </c>
      <c r="X13893" s="26">
        <v>-23.178807947019862</v>
      </c>
      <c r="Y13893" s="1">
        <v>1</v>
      </c>
      <c r="Z13893" s="6">
        <v>0</v>
      </c>
      <c r="AA13893" s="6">
        <v>0</v>
      </c>
    </row>
    <row r="13894" spans="1:27" ht="12.75" customHeight="1" x14ac:dyDescent="0.2">
      <c r="A13894" s="1">
        <v>65</v>
      </c>
      <c r="B13894" s="1" t="s">
        <v>164</v>
      </c>
      <c r="C13894" s="1" t="s">
        <v>165</v>
      </c>
      <c r="D13894" s="1">
        <v>1803</v>
      </c>
      <c r="E13894" s="11">
        <v>0</v>
      </c>
      <c r="G13894" s="1">
        <v>0</v>
      </c>
      <c r="H13894" s="1">
        <v>0</v>
      </c>
      <c r="I13894" s="1">
        <v>0.2145</v>
      </c>
      <c r="J13894" s="1">
        <f t="shared" si="274"/>
        <v>4.6620046620046622</v>
      </c>
      <c r="M13894" s="1" t="s">
        <v>677</v>
      </c>
      <c r="P13894" s="1" t="s">
        <v>470</v>
      </c>
      <c r="Q13894" s="1">
        <v>0</v>
      </c>
      <c r="S13894" s="1">
        <v>0</v>
      </c>
      <c r="T13894" s="1">
        <v>0</v>
      </c>
      <c r="V13894" s="1">
        <f t="shared" si="275"/>
        <v>0</v>
      </c>
      <c r="W13894" s="1">
        <v>0</v>
      </c>
      <c r="X13894" s="26">
        <v>-5.1724137931034475</v>
      </c>
      <c r="Y13894" s="1">
        <v>1</v>
      </c>
      <c r="Z13894" s="6">
        <v>0</v>
      </c>
      <c r="AA13894" s="6">
        <v>0</v>
      </c>
    </row>
    <row r="13895" spans="1:27" ht="12.75" customHeight="1" x14ac:dyDescent="0.2">
      <c r="A13895" s="1">
        <v>65</v>
      </c>
      <c r="B13895" s="1" t="s">
        <v>164</v>
      </c>
      <c r="C13895" s="1" t="s">
        <v>165</v>
      </c>
      <c r="D13895" s="1">
        <v>1804</v>
      </c>
      <c r="E13895" s="11">
        <v>0</v>
      </c>
      <c r="G13895" s="1">
        <v>0</v>
      </c>
      <c r="H13895" s="1">
        <v>0</v>
      </c>
      <c r="I13895" s="1">
        <v>0.2208</v>
      </c>
      <c r="J13895" s="1">
        <f t="shared" si="274"/>
        <v>4.5289855072463769</v>
      </c>
      <c r="M13895" s="1" t="s">
        <v>677</v>
      </c>
      <c r="P13895" s="1" t="s">
        <v>470</v>
      </c>
      <c r="Q13895" s="1">
        <v>0</v>
      </c>
      <c r="S13895" s="1">
        <v>0</v>
      </c>
      <c r="T13895" s="1">
        <v>0</v>
      </c>
      <c r="V13895" s="1">
        <f t="shared" si="275"/>
        <v>0</v>
      </c>
      <c r="W13895" s="1">
        <v>0</v>
      </c>
      <c r="X13895" s="26">
        <v>2.7272727272727115</v>
      </c>
      <c r="Y13895" s="1">
        <v>1</v>
      </c>
      <c r="Z13895" s="6">
        <v>0</v>
      </c>
      <c r="AA13895" s="6">
        <v>0</v>
      </c>
    </row>
    <row r="13896" spans="1:27" ht="12.75" customHeight="1" x14ac:dyDescent="0.2">
      <c r="A13896" s="1">
        <v>65</v>
      </c>
      <c r="B13896" s="1" t="s">
        <v>164</v>
      </c>
      <c r="C13896" s="1" t="s">
        <v>165</v>
      </c>
      <c r="D13896" s="1">
        <v>1805</v>
      </c>
      <c r="E13896" s="11">
        <v>0</v>
      </c>
      <c r="G13896" s="1">
        <v>0</v>
      </c>
      <c r="H13896" s="1">
        <v>0</v>
      </c>
      <c r="I13896" s="1">
        <v>0.22750000000000001</v>
      </c>
      <c r="J13896" s="1">
        <f t="shared" si="274"/>
        <v>4.3956043956043951</v>
      </c>
      <c r="M13896" s="1" t="s">
        <v>677</v>
      </c>
      <c r="P13896" s="1" t="s">
        <v>470</v>
      </c>
      <c r="Q13896" s="1">
        <v>0</v>
      </c>
      <c r="S13896" s="1">
        <v>0</v>
      </c>
      <c r="T13896" s="1">
        <v>0</v>
      </c>
      <c r="V13896" s="1">
        <f t="shared" si="275"/>
        <v>0</v>
      </c>
      <c r="W13896" s="1">
        <v>0</v>
      </c>
      <c r="X13896" s="26">
        <v>15.929203539823034</v>
      </c>
      <c r="Y13896" s="1">
        <v>1</v>
      </c>
      <c r="Z13896" s="6">
        <v>0</v>
      </c>
      <c r="AA13896" s="6">
        <v>0</v>
      </c>
    </row>
    <row r="13897" spans="1:27" x14ac:dyDescent="0.2">
      <c r="A13897" s="1">
        <v>65</v>
      </c>
      <c r="B13897" s="1" t="s">
        <v>164</v>
      </c>
      <c r="C13897" s="1" t="s">
        <v>165</v>
      </c>
      <c r="D13897" s="1">
        <v>1806</v>
      </c>
      <c r="E13897" s="11">
        <v>0</v>
      </c>
      <c r="G13897" s="1">
        <v>0</v>
      </c>
      <c r="H13897" s="1">
        <v>0</v>
      </c>
      <c r="I13897" s="1">
        <v>0.22750000000000001</v>
      </c>
      <c r="J13897" s="1">
        <f t="shared" si="274"/>
        <v>4.3956043956043951</v>
      </c>
      <c r="M13897" s="1" t="s">
        <v>677</v>
      </c>
      <c r="P13897" s="1" t="s">
        <v>470</v>
      </c>
      <c r="Q13897" s="1">
        <v>0</v>
      </c>
      <c r="S13897" s="1">
        <v>0</v>
      </c>
      <c r="T13897" s="1">
        <v>0</v>
      </c>
      <c r="V13897" s="1">
        <f t="shared" si="275"/>
        <v>0</v>
      </c>
      <c r="W13897" s="1">
        <v>0</v>
      </c>
      <c r="X13897" s="26">
        <v>-3.8167938931297773</v>
      </c>
      <c r="Y13897" s="1">
        <v>1</v>
      </c>
      <c r="Z13897" s="6">
        <v>0</v>
      </c>
      <c r="AA13897" s="6">
        <v>0</v>
      </c>
    </row>
    <row r="13898" spans="1:27" x14ac:dyDescent="0.2">
      <c r="A13898" s="1">
        <v>65</v>
      </c>
      <c r="B13898" s="1" t="s">
        <v>164</v>
      </c>
      <c r="C13898" s="1" t="s">
        <v>165</v>
      </c>
      <c r="D13898" s="1">
        <v>1807</v>
      </c>
      <c r="E13898" s="11">
        <v>0</v>
      </c>
      <c r="G13898" s="1">
        <v>0</v>
      </c>
      <c r="H13898" s="1">
        <v>0</v>
      </c>
      <c r="I13898" s="1">
        <v>0.22409999999999999</v>
      </c>
      <c r="J13898" s="1">
        <f t="shared" si="274"/>
        <v>4.4622936189201248</v>
      </c>
      <c r="M13898" s="1" t="s">
        <v>677</v>
      </c>
      <c r="P13898" s="1" t="s">
        <v>470</v>
      </c>
      <c r="Q13898" s="1">
        <v>0</v>
      </c>
      <c r="S13898" s="1">
        <v>0</v>
      </c>
      <c r="T13898" s="1">
        <v>0</v>
      </c>
      <c r="V13898" s="1">
        <f t="shared" si="275"/>
        <v>0</v>
      </c>
      <c r="W13898" s="1">
        <v>0</v>
      </c>
      <c r="X13898" s="26">
        <v>-2.3809523809523836</v>
      </c>
      <c r="Y13898" s="1">
        <v>1</v>
      </c>
      <c r="Z13898" s="6">
        <v>0</v>
      </c>
      <c r="AA13898" s="6">
        <v>0</v>
      </c>
    </row>
    <row r="13899" spans="1:27" x14ac:dyDescent="0.2">
      <c r="A13899" s="1">
        <v>65</v>
      </c>
      <c r="B13899" s="1" t="s">
        <v>164</v>
      </c>
      <c r="C13899" s="1" t="s">
        <v>165</v>
      </c>
      <c r="D13899" s="1">
        <v>1808</v>
      </c>
      <c r="E13899" s="11">
        <v>0</v>
      </c>
      <c r="G13899" s="1">
        <v>0</v>
      </c>
      <c r="H13899" s="1">
        <v>0</v>
      </c>
      <c r="I13899" s="1">
        <v>0.20480000000000001</v>
      </c>
      <c r="J13899" s="1">
        <f t="shared" si="274"/>
        <v>4.8828125</v>
      </c>
      <c r="M13899" s="1" t="s">
        <v>677</v>
      </c>
      <c r="P13899" s="1" t="s">
        <v>470</v>
      </c>
      <c r="Q13899" s="1">
        <v>0</v>
      </c>
      <c r="S13899" s="1">
        <v>0</v>
      </c>
      <c r="T13899" s="1">
        <v>0</v>
      </c>
      <c r="V13899" s="1">
        <f t="shared" si="275"/>
        <v>0</v>
      </c>
      <c r="W13899" s="1">
        <v>0</v>
      </c>
      <c r="X13899" s="26">
        <v>4.0650406504065151</v>
      </c>
      <c r="Y13899" s="1">
        <v>1</v>
      </c>
      <c r="Z13899" s="6">
        <v>0</v>
      </c>
      <c r="AA13899" s="6">
        <v>0</v>
      </c>
    </row>
    <row r="13900" spans="1:27" x14ac:dyDescent="0.2">
      <c r="A13900" s="1">
        <v>65</v>
      </c>
      <c r="B13900" s="1" t="s">
        <v>164</v>
      </c>
      <c r="C13900" s="1" t="s">
        <v>165</v>
      </c>
      <c r="D13900" s="1">
        <v>1809</v>
      </c>
      <c r="E13900" s="11">
        <v>0</v>
      </c>
      <c r="G13900" s="1">
        <v>0</v>
      </c>
      <c r="H13900" s="1">
        <v>0</v>
      </c>
      <c r="I13900" s="1">
        <v>0.22520000000000001</v>
      </c>
      <c r="J13900" s="1">
        <f t="shared" si="274"/>
        <v>4.4404973357015987</v>
      </c>
      <c r="M13900" s="1" t="s">
        <v>677</v>
      </c>
      <c r="P13900" s="1" t="s">
        <v>470</v>
      </c>
      <c r="Q13900" s="1">
        <v>0</v>
      </c>
      <c r="S13900" s="1">
        <v>0</v>
      </c>
      <c r="T13900" s="1">
        <v>0</v>
      </c>
      <c r="V13900" s="1">
        <f t="shared" si="275"/>
        <v>0</v>
      </c>
      <c r="W13900" s="1">
        <v>0</v>
      </c>
      <c r="X13900" s="26">
        <v>9.375</v>
      </c>
      <c r="Y13900" s="1">
        <v>1</v>
      </c>
      <c r="Z13900" s="6">
        <v>0</v>
      </c>
      <c r="AA13900" s="6">
        <v>0</v>
      </c>
    </row>
    <row r="13901" spans="1:27" x14ac:dyDescent="0.2">
      <c r="A13901" s="1">
        <v>65</v>
      </c>
      <c r="B13901" s="1" t="s">
        <v>164</v>
      </c>
      <c r="C13901" s="1" t="s">
        <v>165</v>
      </c>
      <c r="D13901" s="1">
        <v>1810</v>
      </c>
      <c r="E13901" s="11">
        <v>0</v>
      </c>
      <c r="G13901" s="1">
        <v>0</v>
      </c>
      <c r="H13901" s="1">
        <v>0</v>
      </c>
      <c r="I13901" s="1">
        <v>0.24349999999999999</v>
      </c>
      <c r="J13901" s="1">
        <f t="shared" si="274"/>
        <v>4.1067761806981524</v>
      </c>
      <c r="M13901" s="1" t="s">
        <v>677</v>
      </c>
      <c r="P13901" s="1" t="s">
        <v>470</v>
      </c>
      <c r="Q13901" s="1">
        <v>0</v>
      </c>
      <c r="S13901" s="1">
        <v>0</v>
      </c>
      <c r="T13901" s="1">
        <v>0</v>
      </c>
      <c r="V13901" s="1">
        <f t="shared" si="275"/>
        <v>0</v>
      </c>
      <c r="W13901" s="1">
        <v>0</v>
      </c>
      <c r="X13901" s="26">
        <v>2.8571428571428692</v>
      </c>
      <c r="Y13901" s="1">
        <v>1</v>
      </c>
      <c r="Z13901" s="6">
        <v>0</v>
      </c>
      <c r="AA13901" s="6">
        <v>0</v>
      </c>
    </row>
    <row r="13902" spans="1:27" x14ac:dyDescent="0.2">
      <c r="A13902" s="1">
        <v>65</v>
      </c>
      <c r="B13902" s="1" t="s">
        <v>164</v>
      </c>
      <c r="C13902" s="1" t="s">
        <v>165</v>
      </c>
      <c r="D13902" s="1">
        <v>1811</v>
      </c>
      <c r="E13902" s="19">
        <v>1</v>
      </c>
      <c r="F13902" s="1" t="s">
        <v>343</v>
      </c>
      <c r="G13902" s="1">
        <v>1</v>
      </c>
      <c r="H13902" s="1">
        <v>0</v>
      </c>
      <c r="I13902" s="1">
        <v>0.2681</v>
      </c>
      <c r="J13902" s="1">
        <f t="shared" si="274"/>
        <v>3.7299515106303618</v>
      </c>
      <c r="M13902" s="1" t="s">
        <v>677</v>
      </c>
      <c r="P13902" s="1" t="s">
        <v>470</v>
      </c>
      <c r="Q13902" s="1">
        <v>0</v>
      </c>
      <c r="S13902" s="1">
        <v>0</v>
      </c>
      <c r="T13902" s="1">
        <v>0</v>
      </c>
      <c r="V13902" s="1">
        <f t="shared" si="275"/>
        <v>0</v>
      </c>
      <c r="W13902" s="1">
        <v>0</v>
      </c>
      <c r="X13902" s="26">
        <v>-2.777777777777779</v>
      </c>
      <c r="Y13902" s="1">
        <v>1</v>
      </c>
      <c r="Z13902" s="6">
        <v>0</v>
      </c>
      <c r="AA13902" s="6">
        <v>0</v>
      </c>
    </row>
    <row r="13903" spans="1:27" x14ac:dyDescent="0.2">
      <c r="A13903" s="1">
        <v>65</v>
      </c>
      <c r="B13903" s="1" t="s">
        <v>164</v>
      </c>
      <c r="C13903" s="1" t="s">
        <v>165</v>
      </c>
      <c r="D13903" s="1">
        <v>1812</v>
      </c>
      <c r="E13903" s="11">
        <v>0</v>
      </c>
      <c r="G13903" s="1">
        <v>0</v>
      </c>
      <c r="H13903" s="1">
        <v>0</v>
      </c>
      <c r="I13903" s="1">
        <v>0.26500000000000001</v>
      </c>
      <c r="J13903" s="1">
        <f t="shared" si="274"/>
        <v>3.773584905660377</v>
      </c>
      <c r="M13903" s="1" t="s">
        <v>677</v>
      </c>
      <c r="P13903" s="1" t="s">
        <v>470</v>
      </c>
      <c r="Q13903" s="1">
        <v>0</v>
      </c>
      <c r="S13903" s="1">
        <v>0</v>
      </c>
      <c r="T13903" s="1">
        <v>0</v>
      </c>
      <c r="V13903" s="1">
        <f t="shared" si="275"/>
        <v>0</v>
      </c>
      <c r="W13903" s="1">
        <v>0</v>
      </c>
      <c r="X13903" s="26">
        <v>13.571428571428568</v>
      </c>
      <c r="Y13903" s="1">
        <v>1</v>
      </c>
      <c r="Z13903" s="6">
        <v>0</v>
      </c>
      <c r="AA13903" s="6">
        <v>0</v>
      </c>
    </row>
    <row r="13904" spans="1:27" x14ac:dyDescent="0.2">
      <c r="A13904" s="1">
        <v>65</v>
      </c>
      <c r="B13904" s="1" t="s">
        <v>164</v>
      </c>
      <c r="C13904" s="1" t="s">
        <v>165</v>
      </c>
      <c r="D13904" s="1">
        <v>1813</v>
      </c>
      <c r="E13904" s="11">
        <v>0</v>
      </c>
      <c r="G13904" s="1">
        <v>0</v>
      </c>
      <c r="H13904" s="1">
        <v>0</v>
      </c>
      <c r="I13904" s="1">
        <v>0.25669999999999998</v>
      </c>
      <c r="J13904" s="1">
        <f t="shared" si="274"/>
        <v>3.8955979742890534</v>
      </c>
      <c r="M13904" s="1" t="s">
        <v>677</v>
      </c>
      <c r="P13904" s="1" t="s">
        <v>470</v>
      </c>
      <c r="Q13904" s="1">
        <v>0</v>
      </c>
      <c r="S13904" s="1">
        <v>0</v>
      </c>
      <c r="T13904" s="1">
        <v>0</v>
      </c>
      <c r="V13904" s="1">
        <f t="shared" si="275"/>
        <v>0</v>
      </c>
      <c r="W13904" s="1">
        <v>0</v>
      </c>
      <c r="X13904" s="26">
        <v>2.515723270440251</v>
      </c>
      <c r="Y13904" s="1">
        <v>1</v>
      </c>
      <c r="Z13904" s="6">
        <v>0</v>
      </c>
      <c r="AA13904" s="6">
        <v>0</v>
      </c>
    </row>
    <row r="13905" spans="1:27" x14ac:dyDescent="0.2">
      <c r="A13905" s="1">
        <v>65</v>
      </c>
      <c r="B13905" s="1" t="s">
        <v>164</v>
      </c>
      <c r="C13905" s="1" t="s">
        <v>165</v>
      </c>
      <c r="D13905" s="1">
        <v>1814</v>
      </c>
      <c r="E13905" s="19">
        <v>1</v>
      </c>
      <c r="F13905" s="1" t="s">
        <v>344</v>
      </c>
      <c r="G13905" s="1">
        <v>1</v>
      </c>
      <c r="H13905" s="1">
        <v>0</v>
      </c>
      <c r="I13905" s="1">
        <v>0.223</v>
      </c>
      <c r="J13905" s="1">
        <f t="shared" si="274"/>
        <v>4.4843049327354256</v>
      </c>
      <c r="M13905" s="1" t="s">
        <v>677</v>
      </c>
      <c r="P13905" s="1" t="s">
        <v>470</v>
      </c>
      <c r="Q13905" s="1">
        <v>0</v>
      </c>
      <c r="S13905" s="1">
        <v>0</v>
      </c>
      <c r="T13905" s="1">
        <v>0</v>
      </c>
      <c r="V13905" s="1">
        <f t="shared" si="275"/>
        <v>0</v>
      </c>
      <c r="W13905" s="1">
        <v>0</v>
      </c>
      <c r="X13905" s="26">
        <v>-12.88343558282209</v>
      </c>
      <c r="Y13905" s="1">
        <v>1</v>
      </c>
      <c r="Z13905" s="6">
        <v>0</v>
      </c>
      <c r="AA13905" s="6">
        <v>0</v>
      </c>
    </row>
    <row r="13906" spans="1:27" x14ac:dyDescent="0.2">
      <c r="A13906" s="1">
        <v>65</v>
      </c>
      <c r="B13906" s="1" t="s">
        <v>164</v>
      </c>
      <c r="C13906" s="1" t="s">
        <v>165</v>
      </c>
      <c r="D13906" s="1">
        <v>1815</v>
      </c>
      <c r="E13906" s="19">
        <v>1</v>
      </c>
      <c r="F13906" s="1" t="s">
        <v>344</v>
      </c>
      <c r="G13906" s="1">
        <v>1</v>
      </c>
      <c r="H13906" s="1">
        <v>0</v>
      </c>
      <c r="I13906" s="1">
        <v>0.21049999999999999</v>
      </c>
      <c r="J13906" s="1">
        <f t="shared" si="274"/>
        <v>4.7505938242280283</v>
      </c>
      <c r="M13906" s="1" t="s">
        <v>677</v>
      </c>
      <c r="P13906" s="1" t="s">
        <v>470</v>
      </c>
      <c r="Q13906" s="1">
        <v>0</v>
      </c>
      <c r="S13906" s="1">
        <v>0</v>
      </c>
      <c r="T13906" s="1">
        <v>0</v>
      </c>
      <c r="V13906" s="1">
        <f t="shared" si="275"/>
        <v>0</v>
      </c>
      <c r="W13906" s="1">
        <v>0</v>
      </c>
      <c r="X13906" s="26">
        <v>-10.563380281690138</v>
      </c>
      <c r="Y13906" s="1">
        <v>1</v>
      </c>
      <c r="Z13906" s="6">
        <v>1</v>
      </c>
      <c r="AA13906" s="6">
        <v>0</v>
      </c>
    </row>
    <row r="13907" spans="1:27" x14ac:dyDescent="0.2">
      <c r="A13907" s="1">
        <v>65</v>
      </c>
      <c r="B13907" s="1" t="s">
        <v>164</v>
      </c>
      <c r="C13907" s="1" t="s">
        <v>165</v>
      </c>
      <c r="D13907" s="1">
        <v>1816</v>
      </c>
      <c r="E13907" s="19">
        <v>1</v>
      </c>
      <c r="F13907" s="1" t="s">
        <v>344</v>
      </c>
      <c r="G13907" s="1">
        <v>1</v>
      </c>
      <c r="H13907" s="1">
        <v>0</v>
      </c>
      <c r="I13907" s="1">
        <v>0.21870000000000001</v>
      </c>
      <c r="J13907" s="1">
        <f t="shared" si="274"/>
        <v>4.5724737082761777</v>
      </c>
      <c r="M13907" s="1" t="s">
        <v>677</v>
      </c>
      <c r="P13907" s="1" t="s">
        <v>470</v>
      </c>
      <c r="Q13907" s="1">
        <v>0</v>
      </c>
      <c r="S13907" s="1">
        <v>0</v>
      </c>
      <c r="T13907" s="1">
        <v>0</v>
      </c>
      <c r="V13907" s="1">
        <f t="shared" si="275"/>
        <v>0</v>
      </c>
      <c r="W13907" s="1">
        <v>0</v>
      </c>
      <c r="X13907" s="26">
        <v>-8.6614173228346516</v>
      </c>
      <c r="Y13907" s="1">
        <v>1</v>
      </c>
      <c r="Z13907" s="6">
        <v>0</v>
      </c>
      <c r="AA13907" s="6">
        <v>0</v>
      </c>
    </row>
    <row r="13908" spans="1:27" x14ac:dyDescent="0.2">
      <c r="A13908" s="1">
        <v>65</v>
      </c>
      <c r="B13908" s="1" t="s">
        <v>164</v>
      </c>
      <c r="C13908" s="1" t="s">
        <v>165</v>
      </c>
      <c r="D13908" s="1">
        <v>1817</v>
      </c>
      <c r="E13908" s="19">
        <v>1</v>
      </c>
      <c r="F13908" s="1" t="s">
        <v>344</v>
      </c>
      <c r="G13908" s="1">
        <v>1</v>
      </c>
      <c r="H13908" s="1">
        <v>0</v>
      </c>
      <c r="I13908" s="1">
        <v>0.2208</v>
      </c>
      <c r="J13908" s="1">
        <f t="shared" si="274"/>
        <v>4.5289855072463769</v>
      </c>
      <c r="M13908" s="1" t="s">
        <v>677</v>
      </c>
      <c r="P13908" s="1" t="s">
        <v>470</v>
      </c>
      <c r="Q13908" s="1">
        <v>0</v>
      </c>
      <c r="S13908" s="1">
        <v>0</v>
      </c>
      <c r="T13908" s="1">
        <v>0</v>
      </c>
      <c r="V13908" s="1">
        <f t="shared" si="275"/>
        <v>0</v>
      </c>
      <c r="W13908" s="1">
        <v>0</v>
      </c>
      <c r="X13908" s="26">
        <v>13.793103448275868</v>
      </c>
      <c r="Y13908" s="1">
        <v>1</v>
      </c>
      <c r="Z13908" s="6">
        <v>0</v>
      </c>
      <c r="AA13908" s="6">
        <v>0</v>
      </c>
    </row>
    <row r="13909" spans="1:27" x14ac:dyDescent="0.2">
      <c r="A13909" s="1">
        <v>65</v>
      </c>
      <c r="B13909" s="1" t="s">
        <v>164</v>
      </c>
      <c r="C13909" s="1" t="s">
        <v>165</v>
      </c>
      <c r="D13909" s="1">
        <v>1818</v>
      </c>
      <c r="E13909" s="11">
        <v>0</v>
      </c>
      <c r="G13909" s="1">
        <v>0</v>
      </c>
      <c r="H13909" s="1">
        <v>0</v>
      </c>
      <c r="I13909" s="1">
        <v>0.23039999999999999</v>
      </c>
      <c r="J13909" s="1">
        <f t="shared" si="274"/>
        <v>4.3402777777777777</v>
      </c>
      <c r="M13909" s="1" t="s">
        <v>677</v>
      </c>
      <c r="P13909" s="1" t="s">
        <v>470</v>
      </c>
      <c r="Q13909" s="1">
        <v>0</v>
      </c>
      <c r="S13909" s="1">
        <v>0</v>
      </c>
      <c r="T13909" s="1">
        <v>0</v>
      </c>
      <c r="V13909" s="1">
        <f t="shared" si="275"/>
        <v>0</v>
      </c>
      <c r="W13909" s="1">
        <v>0</v>
      </c>
      <c r="X13909" s="26">
        <v>0</v>
      </c>
      <c r="Y13909" s="1">
        <v>1</v>
      </c>
      <c r="Z13909" s="6">
        <v>0</v>
      </c>
      <c r="AA13909" s="6">
        <v>0</v>
      </c>
    </row>
    <row r="13910" spans="1:27" x14ac:dyDescent="0.2">
      <c r="A13910" s="1">
        <v>65</v>
      </c>
      <c r="B13910" s="1" t="s">
        <v>164</v>
      </c>
      <c r="C13910" s="1" t="s">
        <v>165</v>
      </c>
      <c r="D13910" s="1">
        <v>1819</v>
      </c>
      <c r="E13910" s="11">
        <v>0</v>
      </c>
      <c r="G13910" s="1">
        <v>0</v>
      </c>
      <c r="H13910" s="1">
        <v>0</v>
      </c>
      <c r="I13910" s="1">
        <v>0.2208</v>
      </c>
      <c r="J13910" s="1">
        <f t="shared" si="274"/>
        <v>4.5289855072463769</v>
      </c>
      <c r="M13910" s="1" t="s">
        <v>677</v>
      </c>
      <c r="P13910" s="1" t="s">
        <v>470</v>
      </c>
      <c r="Q13910" s="1">
        <v>0</v>
      </c>
      <c r="S13910" s="1">
        <v>0</v>
      </c>
      <c r="T13910" s="1">
        <v>0</v>
      </c>
      <c r="V13910" s="1">
        <f t="shared" si="275"/>
        <v>0</v>
      </c>
      <c r="W13910" s="1">
        <v>0</v>
      </c>
      <c r="X13910" s="26">
        <v>-2.2727272727272818</v>
      </c>
      <c r="Y13910" s="1">
        <v>1</v>
      </c>
      <c r="Z13910" s="6">
        <v>0</v>
      </c>
      <c r="AA13910" s="6">
        <v>0</v>
      </c>
    </row>
    <row r="13911" spans="1:27" x14ac:dyDescent="0.2">
      <c r="A13911" s="1">
        <v>65</v>
      </c>
      <c r="B13911" s="1" t="s">
        <v>164</v>
      </c>
      <c r="C13911" s="1" t="s">
        <v>165</v>
      </c>
      <c r="D13911" s="1">
        <v>1820</v>
      </c>
      <c r="E13911" s="11">
        <v>0</v>
      </c>
      <c r="G13911" s="1">
        <v>0</v>
      </c>
      <c r="H13911" s="1">
        <v>0</v>
      </c>
      <c r="I13911" s="1">
        <v>0.21629999999999999</v>
      </c>
      <c r="J13911" s="1">
        <f t="shared" si="274"/>
        <v>4.6232085067036524</v>
      </c>
      <c r="M13911" s="1" t="s">
        <v>677</v>
      </c>
      <c r="P13911" s="1" t="s">
        <v>470</v>
      </c>
      <c r="Q13911" s="1">
        <v>0</v>
      </c>
      <c r="S13911" s="1">
        <v>0</v>
      </c>
      <c r="T13911" s="1">
        <v>0</v>
      </c>
      <c r="V13911" s="1">
        <f t="shared" si="275"/>
        <v>0</v>
      </c>
      <c r="W13911" s="1">
        <v>0</v>
      </c>
      <c r="X13911" s="26">
        <v>-9.302325581395344</v>
      </c>
      <c r="Y13911" s="1">
        <v>1</v>
      </c>
      <c r="Z13911" s="6">
        <v>0</v>
      </c>
      <c r="AA13911" s="6">
        <v>0</v>
      </c>
    </row>
    <row r="13912" spans="1:27" x14ac:dyDescent="0.2">
      <c r="A13912" s="1">
        <v>65</v>
      </c>
      <c r="B13912" s="1" t="s">
        <v>164</v>
      </c>
      <c r="C13912" s="1" t="s">
        <v>165</v>
      </c>
      <c r="D13912" s="1">
        <v>1821</v>
      </c>
      <c r="E13912" s="11">
        <v>0</v>
      </c>
      <c r="G13912" s="1">
        <v>0</v>
      </c>
      <c r="H13912" s="1">
        <v>1</v>
      </c>
      <c r="I13912" s="1">
        <v>0.2029</v>
      </c>
      <c r="J13912" s="1">
        <f t="shared" si="274"/>
        <v>4.9285362247412516</v>
      </c>
      <c r="M13912" s="1" t="s">
        <v>677</v>
      </c>
      <c r="P13912" s="1" t="s">
        <v>470</v>
      </c>
      <c r="Q13912" s="1">
        <v>0</v>
      </c>
      <c r="S13912" s="1">
        <v>0</v>
      </c>
      <c r="T13912" s="1">
        <v>0</v>
      </c>
      <c r="V13912" s="1">
        <f t="shared" si="275"/>
        <v>0</v>
      </c>
      <c r="W13912" s="1">
        <v>0</v>
      </c>
      <c r="X13912" s="26">
        <v>-11.965811965811957</v>
      </c>
      <c r="Y13912" s="1">
        <v>1</v>
      </c>
      <c r="Z13912" s="6">
        <v>0</v>
      </c>
      <c r="AA13912" s="6">
        <v>0</v>
      </c>
    </row>
    <row r="13913" spans="1:27" x14ac:dyDescent="0.2">
      <c r="A13913" s="1">
        <v>65</v>
      </c>
      <c r="B13913" s="1" t="s">
        <v>164</v>
      </c>
      <c r="C13913" s="1" t="s">
        <v>165</v>
      </c>
      <c r="D13913" s="1">
        <v>1822</v>
      </c>
      <c r="E13913" s="11">
        <v>0</v>
      </c>
      <c r="G13913" s="1">
        <v>0</v>
      </c>
      <c r="H13913" s="1">
        <v>1</v>
      </c>
      <c r="I13913" s="1">
        <v>0.2006</v>
      </c>
      <c r="J13913" s="1">
        <f t="shared" si="274"/>
        <v>4.9850448654037889</v>
      </c>
      <c r="M13913" s="1" t="s">
        <v>677</v>
      </c>
      <c r="P13913" s="1" t="s">
        <v>470</v>
      </c>
      <c r="Q13913" s="1">
        <v>0</v>
      </c>
      <c r="R13913" s="1" t="s">
        <v>599</v>
      </c>
      <c r="S13913" s="1">
        <v>0</v>
      </c>
      <c r="T13913" s="1">
        <v>0</v>
      </c>
      <c r="V13913" s="1">
        <f t="shared" si="275"/>
        <v>0</v>
      </c>
      <c r="W13913" s="1">
        <v>0</v>
      </c>
      <c r="X13913" s="26">
        <v>-13.592233009708742</v>
      </c>
      <c r="Y13913" s="1">
        <v>1</v>
      </c>
      <c r="Z13913" s="6">
        <v>0</v>
      </c>
      <c r="AA13913" s="6">
        <v>0</v>
      </c>
    </row>
    <row r="13914" spans="1:27" x14ac:dyDescent="0.2">
      <c r="A13914" s="1">
        <v>65</v>
      </c>
      <c r="B13914" s="1" t="s">
        <v>164</v>
      </c>
      <c r="C13914" s="1" t="s">
        <v>165</v>
      </c>
      <c r="D13914" s="1">
        <v>1823</v>
      </c>
      <c r="E13914" s="11">
        <v>0</v>
      </c>
      <c r="G13914" s="1">
        <v>0</v>
      </c>
      <c r="H13914" s="1">
        <v>1</v>
      </c>
      <c r="I13914" s="1">
        <v>0.20880000000000001</v>
      </c>
      <c r="J13914" s="1">
        <f t="shared" si="274"/>
        <v>4.7892720306513406</v>
      </c>
      <c r="M13914" s="1" t="s">
        <v>677</v>
      </c>
      <c r="P13914" s="1" t="s">
        <v>470</v>
      </c>
      <c r="Q13914" s="1">
        <v>0</v>
      </c>
      <c r="S13914" s="1">
        <v>0</v>
      </c>
      <c r="T13914" s="1">
        <v>0</v>
      </c>
      <c r="V13914" s="1">
        <f t="shared" si="275"/>
        <v>0</v>
      </c>
      <c r="W13914" s="1">
        <v>0</v>
      </c>
      <c r="X13914" s="26">
        <v>6.7415730337078594</v>
      </c>
      <c r="Y13914" s="1">
        <v>1</v>
      </c>
      <c r="Z13914" s="6">
        <v>0</v>
      </c>
      <c r="AA13914" s="6">
        <v>0</v>
      </c>
    </row>
    <row r="13915" spans="1:27" x14ac:dyDescent="0.2">
      <c r="A13915" s="1">
        <v>65</v>
      </c>
      <c r="B13915" s="1" t="s">
        <v>164</v>
      </c>
      <c r="C13915" s="1" t="s">
        <v>165</v>
      </c>
      <c r="D13915" s="1">
        <v>1824</v>
      </c>
      <c r="E13915" s="11">
        <v>0</v>
      </c>
      <c r="G13915" s="1">
        <v>0</v>
      </c>
      <c r="H13915" s="1">
        <v>1</v>
      </c>
      <c r="I13915" s="1">
        <v>0.20569999999999999</v>
      </c>
      <c r="J13915" s="1">
        <f t="shared" si="274"/>
        <v>4.8614487117160916</v>
      </c>
      <c r="M13915" s="1" t="s">
        <v>677</v>
      </c>
      <c r="P13915" s="1" t="s">
        <v>470</v>
      </c>
      <c r="Q13915" s="1">
        <v>0</v>
      </c>
      <c r="S13915" s="1">
        <v>0</v>
      </c>
      <c r="T13915" s="1">
        <v>0</v>
      </c>
      <c r="V13915" s="1">
        <f t="shared" si="275"/>
        <v>0</v>
      </c>
      <c r="W13915" s="1">
        <v>0</v>
      </c>
      <c r="X13915" s="26">
        <v>8.4210526315789522</v>
      </c>
      <c r="Y13915" s="1">
        <v>1</v>
      </c>
      <c r="Z13915" s="6">
        <v>0</v>
      </c>
      <c r="AA13915" s="6">
        <v>0</v>
      </c>
    </row>
    <row r="13916" spans="1:27" x14ac:dyDescent="0.2">
      <c r="A13916" s="1">
        <v>65</v>
      </c>
      <c r="B13916" s="1" t="s">
        <v>164</v>
      </c>
      <c r="C13916" s="1" t="s">
        <v>165</v>
      </c>
      <c r="D13916" s="1">
        <v>1825</v>
      </c>
      <c r="E13916" s="19">
        <v>1</v>
      </c>
      <c r="F13916" s="1" t="s">
        <v>345</v>
      </c>
      <c r="G13916" s="1">
        <v>1</v>
      </c>
      <c r="H13916" s="1">
        <v>1</v>
      </c>
      <c r="I13916" s="1">
        <v>0.2064</v>
      </c>
      <c r="J13916" s="1">
        <f t="shared" si="274"/>
        <v>4.8449612403100772</v>
      </c>
      <c r="M13916" s="1" t="s">
        <v>677</v>
      </c>
      <c r="P13916" s="1" t="s">
        <v>470</v>
      </c>
      <c r="Q13916" s="1">
        <v>0</v>
      </c>
      <c r="S13916" s="1">
        <v>0</v>
      </c>
      <c r="T13916" s="1">
        <v>0</v>
      </c>
      <c r="V13916" s="1">
        <f t="shared" si="275"/>
        <v>0</v>
      </c>
      <c r="W13916" s="1">
        <v>1</v>
      </c>
      <c r="X13916" s="26">
        <v>17.475728155339798</v>
      </c>
      <c r="Y13916" s="1">
        <v>1</v>
      </c>
      <c r="Z13916" s="6">
        <v>0</v>
      </c>
      <c r="AA13916" s="6">
        <v>0</v>
      </c>
    </row>
    <row r="13917" spans="1:27" x14ac:dyDescent="0.2">
      <c r="A13917" s="1">
        <v>65</v>
      </c>
      <c r="B13917" s="1" t="s">
        <v>164</v>
      </c>
      <c r="C13917" s="1" t="s">
        <v>165</v>
      </c>
      <c r="D13917" s="1">
        <v>1826</v>
      </c>
      <c r="E13917" s="19">
        <v>1</v>
      </c>
      <c r="F13917" s="1" t="s">
        <v>345</v>
      </c>
      <c r="G13917" s="1">
        <v>1</v>
      </c>
      <c r="H13917" s="1">
        <v>1</v>
      </c>
      <c r="I13917" s="1">
        <v>0.2014</v>
      </c>
      <c r="J13917" s="1">
        <f t="shared" si="274"/>
        <v>4.9652432969215496</v>
      </c>
      <c r="M13917" s="1" t="s">
        <v>677</v>
      </c>
      <c r="P13917" s="1" t="s">
        <v>470</v>
      </c>
      <c r="Q13917" s="1">
        <v>0</v>
      </c>
      <c r="S13917" s="1">
        <v>0</v>
      </c>
      <c r="T13917" s="1">
        <v>0</v>
      </c>
      <c r="V13917" s="1">
        <f t="shared" si="275"/>
        <v>0</v>
      </c>
      <c r="W13917" s="1">
        <v>0</v>
      </c>
      <c r="X13917" s="26">
        <v>-5.785123966942141</v>
      </c>
      <c r="Y13917" s="1">
        <v>1</v>
      </c>
      <c r="Z13917" s="6">
        <v>0</v>
      </c>
      <c r="AA13917" s="6">
        <v>0</v>
      </c>
    </row>
    <row r="13918" spans="1:27" x14ac:dyDescent="0.2">
      <c r="A13918" s="1">
        <v>65</v>
      </c>
      <c r="B13918" s="1" t="s">
        <v>164</v>
      </c>
      <c r="C13918" s="1" t="s">
        <v>165</v>
      </c>
      <c r="D13918" s="1">
        <v>1827</v>
      </c>
      <c r="E13918" s="11">
        <v>0</v>
      </c>
      <c r="G13918" s="1">
        <v>0</v>
      </c>
      <c r="H13918" s="1">
        <v>1</v>
      </c>
      <c r="I13918" s="1">
        <v>0.20230000000000001</v>
      </c>
      <c r="J13918" s="1">
        <f t="shared" si="274"/>
        <v>4.9431537320810675</v>
      </c>
      <c r="M13918" s="1" t="s">
        <v>677</v>
      </c>
      <c r="P13918" s="1" t="s">
        <v>470</v>
      </c>
      <c r="Q13918" s="1">
        <v>0</v>
      </c>
      <c r="S13918" s="1">
        <v>0</v>
      </c>
      <c r="T13918" s="1">
        <v>0</v>
      </c>
      <c r="V13918" s="1">
        <f t="shared" si="275"/>
        <v>0</v>
      </c>
      <c r="W13918" s="1">
        <v>0</v>
      </c>
      <c r="X13918" s="26">
        <v>-6.14035087719299</v>
      </c>
      <c r="Y13918" s="1">
        <v>1</v>
      </c>
      <c r="Z13918" s="6">
        <v>0</v>
      </c>
      <c r="AA13918" s="6">
        <v>0</v>
      </c>
    </row>
    <row r="13919" spans="1:27" x14ac:dyDescent="0.2">
      <c r="A13919" s="1">
        <v>65</v>
      </c>
      <c r="B13919" s="1" t="s">
        <v>164</v>
      </c>
      <c r="C13919" s="1" t="s">
        <v>165</v>
      </c>
      <c r="D13919" s="1">
        <v>1828</v>
      </c>
      <c r="E13919" s="11">
        <v>0</v>
      </c>
      <c r="G13919" s="1">
        <v>0</v>
      </c>
      <c r="H13919" s="1">
        <v>1</v>
      </c>
      <c r="I13919" s="1">
        <v>0.20549999999999999</v>
      </c>
      <c r="J13919" s="1">
        <f t="shared" si="274"/>
        <v>4.8661800486618008</v>
      </c>
      <c r="M13919" s="1" t="s">
        <v>677</v>
      </c>
      <c r="P13919" s="1" t="s">
        <v>470</v>
      </c>
      <c r="Q13919" s="1">
        <v>0</v>
      </c>
      <c r="S13919" s="1">
        <v>0</v>
      </c>
      <c r="T13919" s="1">
        <v>0</v>
      </c>
      <c r="V13919" s="1">
        <f t="shared" si="275"/>
        <v>0</v>
      </c>
      <c r="W13919" s="1">
        <v>0</v>
      </c>
      <c r="X13919" s="26">
        <v>-2.8037383177569986</v>
      </c>
      <c r="Y13919" s="1">
        <v>1</v>
      </c>
      <c r="Z13919" s="6">
        <v>0</v>
      </c>
      <c r="AA13919" s="6">
        <v>0</v>
      </c>
    </row>
    <row r="13920" spans="1:27" x14ac:dyDescent="0.2">
      <c r="A13920" s="1">
        <v>65</v>
      </c>
      <c r="B13920" s="1" t="s">
        <v>164</v>
      </c>
      <c r="C13920" s="1" t="s">
        <v>165</v>
      </c>
      <c r="D13920" s="1">
        <v>1829</v>
      </c>
      <c r="E13920" s="11">
        <v>0</v>
      </c>
      <c r="G13920" s="1">
        <v>0</v>
      </c>
      <c r="H13920" s="1">
        <v>1</v>
      </c>
      <c r="I13920" s="1">
        <v>0.20569999999999999</v>
      </c>
      <c r="J13920" s="1">
        <f t="shared" si="274"/>
        <v>4.8614487117160916</v>
      </c>
      <c r="M13920" s="1" t="s">
        <v>677</v>
      </c>
      <c r="P13920" s="1" t="s">
        <v>470</v>
      </c>
      <c r="Q13920" s="1">
        <v>0</v>
      </c>
      <c r="S13920" s="1">
        <v>0</v>
      </c>
      <c r="T13920" s="1">
        <v>0</v>
      </c>
      <c r="V13920" s="1">
        <f t="shared" si="275"/>
        <v>0</v>
      </c>
      <c r="W13920" s="1">
        <v>0</v>
      </c>
      <c r="X13920" s="26">
        <v>-0.96153846153845812</v>
      </c>
      <c r="Y13920" s="1">
        <v>1</v>
      </c>
      <c r="Z13920" s="6">
        <v>0</v>
      </c>
      <c r="AA13920" s="6">
        <v>0</v>
      </c>
    </row>
    <row r="13921" spans="1:27" x14ac:dyDescent="0.2">
      <c r="A13921" s="1">
        <v>65</v>
      </c>
      <c r="B13921" s="1" t="s">
        <v>164</v>
      </c>
      <c r="C13921" s="1" t="s">
        <v>165</v>
      </c>
      <c r="D13921" s="1">
        <v>1830</v>
      </c>
      <c r="E13921" s="11">
        <v>0</v>
      </c>
      <c r="G13921" s="1">
        <v>0</v>
      </c>
      <c r="H13921" s="1">
        <v>1</v>
      </c>
      <c r="I13921" s="1">
        <v>0.21149999999999999</v>
      </c>
      <c r="J13921" s="1">
        <f t="shared" si="274"/>
        <v>4.7281323877068555</v>
      </c>
      <c r="M13921" s="1" t="s">
        <v>677</v>
      </c>
      <c r="P13921" s="1" t="s">
        <v>470</v>
      </c>
      <c r="Q13921" s="1">
        <v>0</v>
      </c>
      <c r="S13921" s="1">
        <v>0</v>
      </c>
      <c r="T13921" s="1">
        <v>0</v>
      </c>
      <c r="V13921" s="1">
        <f t="shared" si="275"/>
        <v>0</v>
      </c>
      <c r="W13921" s="1">
        <v>0</v>
      </c>
      <c r="X13921" s="26">
        <v>-3.8834951456310773</v>
      </c>
      <c r="Y13921" s="1">
        <v>1</v>
      </c>
      <c r="Z13921" s="6">
        <v>0</v>
      </c>
      <c r="AA13921" s="6">
        <v>0</v>
      </c>
    </row>
    <row r="13922" spans="1:27" ht="12.95" customHeight="1" x14ac:dyDescent="0.2">
      <c r="A13922" s="1">
        <v>65</v>
      </c>
      <c r="B13922" s="1" t="s">
        <v>164</v>
      </c>
      <c r="C13922" s="1" t="s">
        <v>165</v>
      </c>
      <c r="D13922" s="1">
        <v>1831</v>
      </c>
      <c r="E13922" s="11">
        <v>0</v>
      </c>
      <c r="G13922" s="1">
        <v>0</v>
      </c>
      <c r="H13922" s="1">
        <v>1</v>
      </c>
      <c r="I13922" s="1">
        <v>0.2051</v>
      </c>
      <c r="J13922" s="1">
        <f t="shared" si="274"/>
        <v>4.8756704046806432</v>
      </c>
      <c r="M13922" s="1" t="s">
        <v>677</v>
      </c>
      <c r="P13922" s="1" t="s">
        <v>470</v>
      </c>
      <c r="Q13922" s="1">
        <v>0</v>
      </c>
      <c r="S13922" s="1">
        <v>0</v>
      </c>
      <c r="T13922" s="1">
        <v>0</v>
      </c>
      <c r="V13922" s="1">
        <f t="shared" si="275"/>
        <v>0</v>
      </c>
      <c r="W13922" s="1">
        <v>1</v>
      </c>
      <c r="X13922" s="26">
        <v>10.1010101010101</v>
      </c>
      <c r="Y13922" s="1">
        <v>1</v>
      </c>
      <c r="Z13922" s="6">
        <v>0</v>
      </c>
      <c r="AA13922" s="6">
        <v>0</v>
      </c>
    </row>
    <row r="13923" spans="1:27" ht="12.95" customHeight="1" x14ac:dyDescent="0.2">
      <c r="A13923" s="1">
        <v>65</v>
      </c>
      <c r="B13923" s="1" t="s">
        <v>164</v>
      </c>
      <c r="C13923" s="1" t="s">
        <v>165</v>
      </c>
      <c r="D13923" s="1">
        <v>1832</v>
      </c>
      <c r="E13923" s="11">
        <v>0</v>
      </c>
      <c r="G13923" s="1">
        <v>0</v>
      </c>
      <c r="H13923" s="1">
        <v>1</v>
      </c>
      <c r="I13923" s="1">
        <v>0.20710000000000001</v>
      </c>
      <c r="J13923" s="1">
        <f t="shared" si="274"/>
        <v>4.8285852245292125</v>
      </c>
      <c r="M13923" s="1" t="s">
        <v>677</v>
      </c>
      <c r="P13923" s="1" t="s">
        <v>470</v>
      </c>
      <c r="Q13923" s="1">
        <v>0</v>
      </c>
      <c r="S13923" s="1">
        <v>0</v>
      </c>
      <c r="T13923" s="1">
        <v>0</v>
      </c>
      <c r="V13923" s="1">
        <f t="shared" si="275"/>
        <v>0</v>
      </c>
      <c r="W13923" s="1">
        <v>0</v>
      </c>
      <c r="X13923" s="26">
        <v>-7.3394495412844147</v>
      </c>
      <c r="Y13923" s="1">
        <v>1</v>
      </c>
      <c r="Z13923" s="6">
        <v>0</v>
      </c>
      <c r="AA13923" s="6">
        <v>0</v>
      </c>
    </row>
    <row r="13924" spans="1:27" x14ac:dyDescent="0.2">
      <c r="A13924" s="1">
        <v>65</v>
      </c>
      <c r="B13924" s="1" t="s">
        <v>164</v>
      </c>
      <c r="C13924" s="1" t="s">
        <v>165</v>
      </c>
      <c r="D13924" s="1">
        <v>1833</v>
      </c>
      <c r="E13924" s="11">
        <v>0</v>
      </c>
      <c r="G13924" s="1">
        <v>0</v>
      </c>
      <c r="H13924" s="1">
        <v>1</v>
      </c>
      <c r="I13924" s="1">
        <v>0.2145</v>
      </c>
      <c r="J13924" s="1">
        <f t="shared" si="274"/>
        <v>4.6620046620046622</v>
      </c>
      <c r="M13924" s="1" t="s">
        <v>677</v>
      </c>
      <c r="P13924" s="1" t="s">
        <v>470</v>
      </c>
      <c r="Q13924" s="1">
        <v>0</v>
      </c>
      <c r="S13924" s="1">
        <v>0</v>
      </c>
      <c r="T13924" s="1">
        <v>0</v>
      </c>
      <c r="V13924" s="1">
        <f t="shared" si="275"/>
        <v>0</v>
      </c>
      <c r="W13924" s="1">
        <v>0</v>
      </c>
      <c r="X13924" s="26">
        <v>-5.9405940594059459</v>
      </c>
      <c r="Y13924" s="1">
        <v>1</v>
      </c>
      <c r="Z13924" s="6">
        <v>0</v>
      </c>
      <c r="AA13924" s="6">
        <v>0</v>
      </c>
    </row>
    <row r="13925" spans="1:27" x14ac:dyDescent="0.2">
      <c r="A13925" s="1">
        <v>65</v>
      </c>
      <c r="B13925" s="1" t="s">
        <v>164</v>
      </c>
      <c r="C13925" s="1" t="s">
        <v>165</v>
      </c>
      <c r="D13925" s="1">
        <v>1834</v>
      </c>
      <c r="E13925" s="11">
        <v>0</v>
      </c>
      <c r="G13925" s="1">
        <v>0</v>
      </c>
      <c r="H13925" s="1">
        <v>1</v>
      </c>
      <c r="I13925" s="1">
        <v>0.2122</v>
      </c>
      <c r="J13925" s="1">
        <f t="shared" si="274"/>
        <v>4.7125353440150803</v>
      </c>
      <c r="M13925" s="1" t="s">
        <v>677</v>
      </c>
      <c r="P13925" s="1" t="s">
        <v>470</v>
      </c>
      <c r="Q13925" s="1">
        <v>0</v>
      </c>
      <c r="R13925" s="1" t="s">
        <v>599</v>
      </c>
      <c r="S13925" s="1">
        <v>0</v>
      </c>
      <c r="T13925" s="1">
        <v>0</v>
      </c>
      <c r="V13925" s="1">
        <f t="shared" si="275"/>
        <v>0</v>
      </c>
      <c r="W13925" s="1">
        <v>0</v>
      </c>
      <c r="X13925" s="26">
        <v>-8.4210526315789629</v>
      </c>
      <c r="Y13925" s="1">
        <v>1</v>
      </c>
      <c r="Z13925" s="6">
        <v>0</v>
      </c>
      <c r="AA13925" s="6">
        <v>0</v>
      </c>
    </row>
    <row r="13926" spans="1:27" x14ac:dyDescent="0.2">
      <c r="A13926" s="1">
        <v>65</v>
      </c>
      <c r="B13926" s="1" t="s">
        <v>164</v>
      </c>
      <c r="C13926" s="1" t="s">
        <v>165</v>
      </c>
      <c r="D13926" s="1">
        <v>1835</v>
      </c>
      <c r="E13926" s="11">
        <v>0</v>
      </c>
      <c r="G13926" s="1">
        <v>0</v>
      </c>
      <c r="H13926" s="1">
        <v>1</v>
      </c>
      <c r="I13926" s="1">
        <v>0.20660000000000001</v>
      </c>
      <c r="J13926" s="1">
        <f t="shared" si="274"/>
        <v>4.8402710551790902</v>
      </c>
      <c r="M13926" s="1" t="s">
        <v>677</v>
      </c>
      <c r="P13926" s="1" t="s">
        <v>470</v>
      </c>
      <c r="Q13926" s="1">
        <v>0</v>
      </c>
      <c r="S13926" s="1">
        <v>0</v>
      </c>
      <c r="T13926" s="1">
        <v>0</v>
      </c>
      <c r="V13926" s="1">
        <f t="shared" si="275"/>
        <v>0</v>
      </c>
      <c r="W13926" s="1">
        <v>0</v>
      </c>
      <c r="X13926" s="26">
        <v>2.2988505747126631</v>
      </c>
      <c r="Y13926" s="1">
        <v>1</v>
      </c>
      <c r="Z13926" s="6">
        <v>0</v>
      </c>
      <c r="AA13926" s="6">
        <v>0</v>
      </c>
    </row>
    <row r="13927" spans="1:27" x14ac:dyDescent="0.2">
      <c r="A13927" s="1">
        <v>65</v>
      </c>
      <c r="B13927" s="1" t="s">
        <v>164</v>
      </c>
      <c r="C13927" s="1" t="s">
        <v>165</v>
      </c>
      <c r="D13927" s="1">
        <v>1836</v>
      </c>
      <c r="E13927" s="11">
        <v>0</v>
      </c>
      <c r="G13927" s="1">
        <v>0</v>
      </c>
      <c r="H13927" s="1">
        <v>1</v>
      </c>
      <c r="I13927" s="1">
        <v>0.20880000000000001</v>
      </c>
      <c r="J13927" s="1">
        <f t="shared" si="274"/>
        <v>4.7892720306513406</v>
      </c>
      <c r="M13927" s="1" t="s">
        <v>677</v>
      </c>
      <c r="P13927" s="1" t="s">
        <v>470</v>
      </c>
      <c r="Q13927" s="1">
        <v>0</v>
      </c>
      <c r="S13927" s="1">
        <v>0</v>
      </c>
      <c r="T13927" s="1">
        <v>0</v>
      </c>
      <c r="V13927" s="1">
        <f t="shared" si="275"/>
        <v>0</v>
      </c>
      <c r="W13927" s="1">
        <v>0</v>
      </c>
      <c r="X13927" s="26">
        <v>11.23595505617978</v>
      </c>
      <c r="Y13927" s="1">
        <v>1</v>
      </c>
      <c r="Z13927" s="6">
        <v>0</v>
      </c>
      <c r="AA13927" s="6">
        <v>0</v>
      </c>
    </row>
    <row r="13928" spans="1:27" x14ac:dyDescent="0.2">
      <c r="A13928" s="1">
        <v>65</v>
      </c>
      <c r="B13928" s="1" t="s">
        <v>164</v>
      </c>
      <c r="C13928" s="1" t="s">
        <v>165</v>
      </c>
      <c r="D13928" s="1">
        <v>1837</v>
      </c>
      <c r="E13928" s="20">
        <v>1</v>
      </c>
      <c r="F13928" s="1" t="s">
        <v>346</v>
      </c>
      <c r="G13928" s="1">
        <v>1</v>
      </c>
      <c r="H13928" s="1">
        <v>1</v>
      </c>
      <c r="I13928" s="1">
        <v>0.1971</v>
      </c>
      <c r="J13928" s="1">
        <f t="shared" si="274"/>
        <v>5.0735667174023336</v>
      </c>
      <c r="M13928" s="1" t="s">
        <v>677</v>
      </c>
      <c r="P13928" s="1" t="s">
        <v>470</v>
      </c>
      <c r="Q13928" s="1">
        <v>0</v>
      </c>
      <c r="S13928" s="1">
        <v>0</v>
      </c>
      <c r="T13928" s="1">
        <v>0</v>
      </c>
      <c r="V13928" s="1">
        <f t="shared" si="275"/>
        <v>0</v>
      </c>
      <c r="W13928" s="1">
        <v>0</v>
      </c>
      <c r="X13928" s="26">
        <v>2.020202020202011</v>
      </c>
      <c r="Y13928" s="1">
        <v>1</v>
      </c>
      <c r="Z13928" s="6">
        <v>0</v>
      </c>
      <c r="AA13928" s="6">
        <v>0</v>
      </c>
    </row>
    <row r="13929" spans="1:27" x14ac:dyDescent="0.2">
      <c r="A13929" s="1">
        <v>65</v>
      </c>
      <c r="B13929" s="1" t="s">
        <v>164</v>
      </c>
      <c r="C13929" s="1" t="s">
        <v>165</v>
      </c>
      <c r="D13929" s="1">
        <v>1838</v>
      </c>
      <c r="E13929" s="20">
        <v>1</v>
      </c>
      <c r="F13929" s="1" t="s">
        <v>346</v>
      </c>
      <c r="G13929" s="1">
        <v>1</v>
      </c>
      <c r="H13929" s="1">
        <v>1</v>
      </c>
      <c r="I13929" s="1">
        <v>0.20449999999999999</v>
      </c>
      <c r="J13929" s="1">
        <f t="shared" si="274"/>
        <v>4.8899755501222497</v>
      </c>
      <c r="M13929" s="1" t="s">
        <v>677</v>
      </c>
      <c r="P13929" s="1" t="s">
        <v>470</v>
      </c>
      <c r="Q13929" s="1">
        <v>0</v>
      </c>
      <c r="S13929" s="1">
        <v>0</v>
      </c>
      <c r="T13929" s="1">
        <v>0</v>
      </c>
      <c r="V13929" s="1">
        <f t="shared" si="275"/>
        <v>0</v>
      </c>
      <c r="W13929" s="1">
        <v>0</v>
      </c>
      <c r="X13929" s="26">
        <v>0.99009900990099098</v>
      </c>
      <c r="Y13929" s="1">
        <v>1</v>
      </c>
      <c r="Z13929" s="6">
        <v>0</v>
      </c>
      <c r="AA13929" s="6">
        <v>0</v>
      </c>
    </row>
    <row r="13930" spans="1:27" x14ac:dyDescent="0.2">
      <c r="A13930" s="1">
        <v>65</v>
      </c>
      <c r="B13930" s="1" t="s">
        <v>164</v>
      </c>
      <c r="C13930" s="1" t="s">
        <v>165</v>
      </c>
      <c r="D13930" s="1">
        <v>1839</v>
      </c>
      <c r="E13930" s="20">
        <v>1</v>
      </c>
      <c r="F13930" s="1" t="s">
        <v>346</v>
      </c>
      <c r="G13930" s="1">
        <v>1</v>
      </c>
      <c r="H13930" s="1">
        <v>1</v>
      </c>
      <c r="I13930" s="1">
        <v>0.20619999999999999</v>
      </c>
      <c r="J13930" s="1">
        <f t="shared" si="274"/>
        <v>4.8496605237633368</v>
      </c>
      <c r="M13930" s="1" t="s">
        <v>677</v>
      </c>
      <c r="P13930" s="1" t="s">
        <v>470</v>
      </c>
      <c r="Q13930" s="1">
        <v>0</v>
      </c>
      <c r="S13930" s="1">
        <v>0</v>
      </c>
      <c r="T13930" s="1">
        <v>0</v>
      </c>
      <c r="V13930" s="1">
        <f t="shared" si="275"/>
        <v>0</v>
      </c>
      <c r="W13930" s="1">
        <v>0</v>
      </c>
      <c r="X13930" s="26">
        <v>6.8627450980392357</v>
      </c>
      <c r="Y13930" s="1">
        <v>1</v>
      </c>
      <c r="Z13930" s="6">
        <v>0</v>
      </c>
      <c r="AA13930" s="6">
        <v>0</v>
      </c>
    </row>
    <row r="13931" spans="1:27" x14ac:dyDescent="0.2">
      <c r="A13931" s="1">
        <v>65</v>
      </c>
      <c r="B13931" s="1" t="s">
        <v>164</v>
      </c>
      <c r="C13931" s="1" t="s">
        <v>165</v>
      </c>
      <c r="D13931" s="1">
        <v>1840</v>
      </c>
      <c r="E13931" s="11">
        <v>0</v>
      </c>
      <c r="G13931" s="1">
        <v>0</v>
      </c>
      <c r="H13931" s="1">
        <v>1</v>
      </c>
      <c r="I13931" s="1">
        <v>0.20730000000000001</v>
      </c>
      <c r="J13931" s="1">
        <f t="shared" si="274"/>
        <v>4.8239266763145201</v>
      </c>
      <c r="M13931" s="1" t="s">
        <v>677</v>
      </c>
      <c r="P13931" s="1" t="s">
        <v>470</v>
      </c>
      <c r="Q13931" s="1">
        <v>0</v>
      </c>
      <c r="S13931" s="1">
        <v>0</v>
      </c>
      <c r="T13931" s="1">
        <v>0</v>
      </c>
      <c r="V13931" s="1">
        <f t="shared" si="275"/>
        <v>0</v>
      </c>
      <c r="W13931" s="1">
        <v>0</v>
      </c>
      <c r="X13931" s="26">
        <v>1.8348623853210899</v>
      </c>
      <c r="Y13931" s="1">
        <v>1</v>
      </c>
      <c r="Z13931" s="6">
        <v>0</v>
      </c>
      <c r="AA13931" s="6">
        <v>0</v>
      </c>
    </row>
    <row r="13932" spans="1:27" x14ac:dyDescent="0.2">
      <c r="A13932" s="1">
        <v>65</v>
      </c>
      <c r="B13932" s="1" t="s">
        <v>164</v>
      </c>
      <c r="C13932" s="1" t="s">
        <v>165</v>
      </c>
      <c r="D13932" s="1">
        <v>1841</v>
      </c>
      <c r="E13932" s="11">
        <v>0</v>
      </c>
      <c r="G13932" s="1">
        <v>0</v>
      </c>
      <c r="H13932" s="1">
        <v>1</v>
      </c>
      <c r="I13932" s="1">
        <v>0.2064</v>
      </c>
      <c r="J13932" s="1">
        <f t="shared" si="274"/>
        <v>4.8449612403100772</v>
      </c>
      <c r="M13932" s="1" t="s">
        <v>677</v>
      </c>
      <c r="P13932" s="1" t="s">
        <v>470</v>
      </c>
      <c r="Q13932" s="1">
        <v>0</v>
      </c>
      <c r="S13932" s="1">
        <v>0</v>
      </c>
      <c r="T13932" s="1">
        <v>0</v>
      </c>
      <c r="V13932" s="1">
        <f t="shared" si="275"/>
        <v>0</v>
      </c>
      <c r="W13932" s="1">
        <v>0</v>
      </c>
      <c r="X13932" s="26">
        <v>-1.8018018018017945</v>
      </c>
      <c r="Y13932" s="1">
        <v>1</v>
      </c>
      <c r="Z13932" s="6">
        <v>0</v>
      </c>
      <c r="AA13932" s="6">
        <v>0</v>
      </c>
    </row>
    <row r="13933" spans="1:27" x14ac:dyDescent="0.2">
      <c r="A13933" s="1">
        <v>65</v>
      </c>
      <c r="B13933" s="1" t="s">
        <v>164</v>
      </c>
      <c r="C13933" s="1" t="s">
        <v>165</v>
      </c>
      <c r="D13933" s="1">
        <v>1842</v>
      </c>
      <c r="E13933" s="11">
        <v>0</v>
      </c>
      <c r="G13933" s="1">
        <v>0</v>
      </c>
      <c r="H13933" s="1">
        <v>1</v>
      </c>
      <c r="I13933" s="1">
        <v>0.2117</v>
      </c>
      <c r="J13933" s="1">
        <f t="shared" si="274"/>
        <v>4.7236655644780345</v>
      </c>
      <c r="M13933" s="1" t="s">
        <v>677</v>
      </c>
      <c r="P13933" s="1" t="s">
        <v>470</v>
      </c>
      <c r="Q13933" s="1">
        <v>0</v>
      </c>
      <c r="S13933" s="1">
        <v>0</v>
      </c>
      <c r="T13933" s="1">
        <v>0</v>
      </c>
      <c r="V13933" s="1">
        <f t="shared" si="275"/>
        <v>0</v>
      </c>
      <c r="W13933" s="1">
        <v>0</v>
      </c>
      <c r="X13933" s="26">
        <v>-8.2568807339449606</v>
      </c>
      <c r="Y13933" s="1">
        <v>1</v>
      </c>
      <c r="Z13933" s="6">
        <v>0</v>
      </c>
      <c r="AA13933" s="6">
        <v>0</v>
      </c>
    </row>
    <row r="13934" spans="1:27" ht="12.75" customHeight="1" x14ac:dyDescent="0.2">
      <c r="A13934" s="1">
        <v>65</v>
      </c>
      <c r="B13934" s="1" t="s">
        <v>164</v>
      </c>
      <c r="C13934" s="1" t="s">
        <v>165</v>
      </c>
      <c r="D13934" s="1">
        <v>1843</v>
      </c>
      <c r="E13934" s="11">
        <v>0</v>
      </c>
      <c r="G13934" s="1">
        <v>0</v>
      </c>
      <c r="H13934" s="1">
        <v>1</v>
      </c>
      <c r="I13934" s="1">
        <v>0.20730000000000001</v>
      </c>
      <c r="J13934" s="1">
        <f t="shared" si="274"/>
        <v>4.8239266763145201</v>
      </c>
      <c r="M13934" s="1" t="s">
        <v>677</v>
      </c>
      <c r="P13934" s="1" t="s">
        <v>470</v>
      </c>
      <c r="Q13934" s="1">
        <v>0</v>
      </c>
      <c r="S13934" s="1">
        <v>0</v>
      </c>
      <c r="T13934" s="1">
        <v>0</v>
      </c>
      <c r="V13934" s="1">
        <f t="shared" si="275"/>
        <v>0</v>
      </c>
      <c r="W13934" s="1">
        <v>0</v>
      </c>
      <c r="X13934" s="26">
        <v>-10.999999999999998</v>
      </c>
      <c r="Y13934" s="1">
        <v>1</v>
      </c>
      <c r="Z13934" s="6">
        <v>0</v>
      </c>
      <c r="AA13934" s="6">
        <v>0</v>
      </c>
    </row>
    <row r="13935" spans="1:27" x14ac:dyDescent="0.2">
      <c r="A13935" s="1">
        <v>65</v>
      </c>
      <c r="B13935" s="1" t="s">
        <v>164</v>
      </c>
      <c r="C13935" s="1" t="s">
        <v>165</v>
      </c>
      <c r="D13935" s="1">
        <v>1844</v>
      </c>
      <c r="E13935" s="11">
        <v>0</v>
      </c>
      <c r="G13935" s="1">
        <v>0</v>
      </c>
      <c r="H13935" s="1">
        <v>1</v>
      </c>
      <c r="I13935" s="1">
        <v>0.20480000000000001</v>
      </c>
      <c r="J13935" s="1">
        <f t="shared" si="274"/>
        <v>4.8828125</v>
      </c>
      <c r="M13935" s="1" t="s">
        <v>677</v>
      </c>
      <c r="P13935" s="1" t="s">
        <v>470</v>
      </c>
      <c r="Q13935" s="1">
        <v>0</v>
      </c>
      <c r="S13935" s="1">
        <v>0</v>
      </c>
      <c r="T13935" s="1">
        <v>0</v>
      </c>
      <c r="V13935" s="1">
        <f t="shared" si="275"/>
        <v>0</v>
      </c>
      <c r="W13935" s="1">
        <v>0</v>
      </c>
      <c r="X13935" s="26">
        <v>0</v>
      </c>
      <c r="Y13935" s="1">
        <v>1</v>
      </c>
      <c r="Z13935" s="6">
        <v>0</v>
      </c>
      <c r="AA13935" s="6">
        <v>0</v>
      </c>
    </row>
    <row r="13936" spans="1:27" x14ac:dyDescent="0.2">
      <c r="A13936" s="1">
        <v>65</v>
      </c>
      <c r="B13936" s="1" t="s">
        <v>164</v>
      </c>
      <c r="C13936" s="1" t="s">
        <v>165</v>
      </c>
      <c r="D13936" s="1">
        <v>1845</v>
      </c>
      <c r="E13936" s="11">
        <v>0</v>
      </c>
      <c r="G13936" s="1">
        <v>0</v>
      </c>
      <c r="H13936" s="1">
        <v>1</v>
      </c>
      <c r="I13936" s="1">
        <v>0.20849999999999999</v>
      </c>
      <c r="J13936" s="1">
        <f t="shared" si="274"/>
        <v>4.7961630695443649</v>
      </c>
      <c r="M13936" s="1" t="s">
        <v>677</v>
      </c>
      <c r="P13936" s="1" t="s">
        <v>470</v>
      </c>
      <c r="Q13936" s="1">
        <v>0</v>
      </c>
      <c r="S13936" s="1">
        <v>0</v>
      </c>
      <c r="T13936" s="1">
        <v>0</v>
      </c>
      <c r="V13936" s="1">
        <f t="shared" si="275"/>
        <v>0</v>
      </c>
      <c r="W13936" s="1">
        <v>0</v>
      </c>
      <c r="X13936" s="26">
        <v>4.4943820224719433</v>
      </c>
      <c r="Y13936" s="1">
        <v>1</v>
      </c>
      <c r="Z13936" s="6">
        <v>0</v>
      </c>
      <c r="AA13936" s="6">
        <v>0</v>
      </c>
    </row>
    <row r="13937" spans="1:27" x14ac:dyDescent="0.2">
      <c r="A13937" s="1">
        <v>65</v>
      </c>
      <c r="B13937" s="1" t="s">
        <v>164</v>
      </c>
      <c r="C13937" s="1" t="s">
        <v>165</v>
      </c>
      <c r="D13937" s="1">
        <v>1846</v>
      </c>
      <c r="E13937" s="11">
        <v>0</v>
      </c>
      <c r="G13937" s="1">
        <v>0</v>
      </c>
      <c r="H13937" s="1">
        <v>1</v>
      </c>
      <c r="I13937" s="1">
        <v>0.21199999999999999</v>
      </c>
      <c r="J13937" s="1">
        <f t="shared" si="274"/>
        <v>4.716981132075472</v>
      </c>
      <c r="M13937" s="1" t="s">
        <v>677</v>
      </c>
      <c r="P13937" s="1" t="s">
        <v>470</v>
      </c>
      <c r="Q13937" s="1">
        <v>0</v>
      </c>
      <c r="S13937" s="1">
        <v>0</v>
      </c>
      <c r="T13937" s="1">
        <v>0</v>
      </c>
      <c r="V13937" s="1">
        <f t="shared" si="275"/>
        <v>0</v>
      </c>
      <c r="W13937" s="1">
        <v>0</v>
      </c>
      <c r="X13937" s="26">
        <v>4.3010752688171783</v>
      </c>
      <c r="Y13937" s="1">
        <v>1</v>
      </c>
      <c r="Z13937" s="6">
        <v>0</v>
      </c>
      <c r="AA13937" s="6">
        <v>0</v>
      </c>
    </row>
    <row r="13938" spans="1:27" x14ac:dyDescent="0.2">
      <c r="A13938" s="1">
        <v>65</v>
      </c>
      <c r="B13938" s="1" t="s">
        <v>164</v>
      </c>
      <c r="C13938" s="1" t="s">
        <v>165</v>
      </c>
      <c r="D13938" s="1">
        <v>1847</v>
      </c>
      <c r="E13938" s="19">
        <v>1</v>
      </c>
      <c r="F13938" s="1" t="s">
        <v>347</v>
      </c>
      <c r="G13938" s="1">
        <v>1</v>
      </c>
      <c r="H13938" s="1">
        <v>1</v>
      </c>
      <c r="I13938" s="1">
        <v>0.20449999999999999</v>
      </c>
      <c r="J13938" s="1">
        <f t="shared" si="274"/>
        <v>4.8899755501222497</v>
      </c>
      <c r="M13938" s="1" t="s">
        <v>677</v>
      </c>
      <c r="P13938" s="1" t="s">
        <v>470</v>
      </c>
      <c r="Q13938" s="1">
        <v>0</v>
      </c>
      <c r="S13938" s="1">
        <v>0</v>
      </c>
      <c r="T13938" s="1">
        <v>0</v>
      </c>
      <c r="V13938" s="1">
        <f t="shared" si="275"/>
        <v>0</v>
      </c>
      <c r="W13938" s="1">
        <v>1</v>
      </c>
      <c r="X13938" s="26">
        <v>12.37113402061858</v>
      </c>
      <c r="Y13938" s="1">
        <v>1</v>
      </c>
      <c r="Z13938" s="6">
        <v>0</v>
      </c>
      <c r="AA13938" s="6">
        <v>0</v>
      </c>
    </row>
    <row r="13939" spans="1:27" x14ac:dyDescent="0.2">
      <c r="A13939" s="1">
        <v>65</v>
      </c>
      <c r="B13939" s="1" t="s">
        <v>164</v>
      </c>
      <c r="C13939" s="1" t="s">
        <v>165</v>
      </c>
      <c r="D13939" s="1">
        <v>1848</v>
      </c>
      <c r="E13939" s="19">
        <v>1</v>
      </c>
      <c r="F13939" s="1" t="s">
        <v>347</v>
      </c>
      <c r="G13939" s="1">
        <v>1</v>
      </c>
      <c r="H13939" s="1">
        <v>1</v>
      </c>
      <c r="I13939" s="1">
        <v>0.20810000000000001</v>
      </c>
      <c r="J13939" s="1">
        <f t="shared" si="274"/>
        <v>4.8053820278712154</v>
      </c>
      <c r="M13939" s="1" t="s">
        <v>677</v>
      </c>
      <c r="P13939" s="1" t="s">
        <v>470</v>
      </c>
      <c r="Q13939" s="1">
        <v>0</v>
      </c>
      <c r="S13939" s="1">
        <v>0</v>
      </c>
      <c r="T13939" s="1">
        <v>0</v>
      </c>
      <c r="V13939" s="1">
        <f t="shared" si="275"/>
        <v>0</v>
      </c>
      <c r="W13939" s="1">
        <v>0</v>
      </c>
      <c r="X13939" s="26">
        <v>-12.844036697247718</v>
      </c>
      <c r="Y13939" s="1">
        <v>1</v>
      </c>
      <c r="Z13939" s="6">
        <v>0</v>
      </c>
      <c r="AA13939" s="6">
        <v>0</v>
      </c>
    </row>
    <row r="13940" spans="1:27" x14ac:dyDescent="0.2">
      <c r="A13940" s="1">
        <v>65</v>
      </c>
      <c r="B13940" s="1" t="s">
        <v>164</v>
      </c>
      <c r="C13940" s="1" t="s">
        <v>165</v>
      </c>
      <c r="D13940" s="1">
        <v>1849</v>
      </c>
      <c r="E13940" s="11">
        <v>0</v>
      </c>
      <c r="G13940" s="1">
        <v>0</v>
      </c>
      <c r="H13940" s="1">
        <v>1</v>
      </c>
      <c r="I13940" s="1">
        <v>0.20730000000000001</v>
      </c>
      <c r="J13940" s="1">
        <f t="shared" si="274"/>
        <v>4.8239266763145201</v>
      </c>
      <c r="M13940" s="1" t="s">
        <v>677</v>
      </c>
      <c r="P13940" s="1" t="s">
        <v>470</v>
      </c>
      <c r="Q13940" s="1">
        <v>0</v>
      </c>
      <c r="S13940" s="1">
        <v>0</v>
      </c>
      <c r="T13940" s="1">
        <v>0</v>
      </c>
      <c r="V13940" s="1">
        <f t="shared" si="275"/>
        <v>0</v>
      </c>
      <c r="W13940" s="1">
        <v>0</v>
      </c>
      <c r="X13940" s="26">
        <v>-6.315789473684208</v>
      </c>
      <c r="Y13940" s="1">
        <v>1</v>
      </c>
      <c r="Z13940" s="6">
        <v>0</v>
      </c>
      <c r="AA13940" s="6">
        <v>0</v>
      </c>
    </row>
    <row r="13941" spans="1:27" x14ac:dyDescent="0.2">
      <c r="A13941" s="1">
        <v>65</v>
      </c>
      <c r="B13941" s="1" t="s">
        <v>164</v>
      </c>
      <c r="C13941" s="1" t="s">
        <v>165</v>
      </c>
      <c r="D13941" s="1">
        <v>1850</v>
      </c>
      <c r="E13941" s="11">
        <v>0</v>
      </c>
      <c r="G13941" s="1">
        <v>0</v>
      </c>
      <c r="H13941" s="1">
        <v>1</v>
      </c>
      <c r="I13941" s="1">
        <v>0.20569999999999999</v>
      </c>
      <c r="J13941" s="1">
        <f t="shared" si="274"/>
        <v>4.8614487117160916</v>
      </c>
      <c r="M13941" s="1" t="s">
        <v>677</v>
      </c>
      <c r="P13941" s="1" t="s">
        <v>470</v>
      </c>
      <c r="Q13941" s="1">
        <v>0</v>
      </c>
      <c r="S13941" s="1">
        <v>0</v>
      </c>
      <c r="T13941" s="1">
        <v>0</v>
      </c>
      <c r="V13941" s="1">
        <f t="shared" si="275"/>
        <v>0</v>
      </c>
      <c r="W13941" s="1">
        <v>0</v>
      </c>
      <c r="X13941" s="26">
        <v>-5.6179775280898792</v>
      </c>
      <c r="Y13941" s="1">
        <v>1</v>
      </c>
      <c r="Z13941" s="6">
        <v>0</v>
      </c>
      <c r="AA13941" s="6">
        <v>0</v>
      </c>
    </row>
    <row r="13942" spans="1:27" x14ac:dyDescent="0.2">
      <c r="A13942" s="1">
        <v>65</v>
      </c>
      <c r="B13942" s="1" t="s">
        <v>164</v>
      </c>
      <c r="C13942" s="1" t="s">
        <v>165</v>
      </c>
      <c r="D13942" s="1">
        <v>1851</v>
      </c>
      <c r="E13942" s="11">
        <v>0</v>
      </c>
      <c r="G13942" s="1">
        <v>0</v>
      </c>
      <c r="H13942" s="1">
        <v>1</v>
      </c>
      <c r="I13942" s="1">
        <v>0.20380000000000001</v>
      </c>
      <c r="J13942" s="1">
        <f t="shared" si="274"/>
        <v>4.9067713444553478</v>
      </c>
      <c r="M13942" s="1" t="s">
        <v>677</v>
      </c>
      <c r="P13942" s="1" t="s">
        <v>470</v>
      </c>
      <c r="Q13942" s="1">
        <v>0</v>
      </c>
      <c r="S13942" s="1">
        <v>0</v>
      </c>
      <c r="T13942" s="1">
        <v>0</v>
      </c>
      <c r="V13942" s="1">
        <f t="shared" si="275"/>
        <v>0</v>
      </c>
      <c r="W13942" s="1">
        <v>0</v>
      </c>
      <c r="X13942" s="26">
        <v>-3.5714285714285698</v>
      </c>
      <c r="Y13942" s="1">
        <v>1</v>
      </c>
      <c r="Z13942" s="6">
        <v>0</v>
      </c>
      <c r="AA13942" s="6">
        <v>0</v>
      </c>
    </row>
    <row r="13943" spans="1:27" x14ac:dyDescent="0.2">
      <c r="A13943" s="1">
        <v>65</v>
      </c>
      <c r="B13943" s="1" t="s">
        <v>164</v>
      </c>
      <c r="C13943" s="1" t="s">
        <v>165</v>
      </c>
      <c r="D13943" s="1">
        <v>1852</v>
      </c>
      <c r="E13943" s="11">
        <v>0</v>
      </c>
      <c r="G13943" s="1">
        <v>0</v>
      </c>
      <c r="H13943" s="1">
        <v>1</v>
      </c>
      <c r="I13943" s="1">
        <v>0.20449999999999999</v>
      </c>
      <c r="J13943" s="1">
        <f t="shared" si="274"/>
        <v>4.8899755501222497</v>
      </c>
      <c r="M13943" s="1" t="s">
        <v>677</v>
      </c>
      <c r="P13943" s="1" t="s">
        <v>470</v>
      </c>
      <c r="Q13943" s="1">
        <v>0</v>
      </c>
      <c r="S13943" s="1">
        <v>0</v>
      </c>
      <c r="T13943" s="1">
        <v>0</v>
      </c>
      <c r="V13943" s="1">
        <f t="shared" si="275"/>
        <v>0</v>
      </c>
      <c r="W13943" s="1">
        <v>0</v>
      </c>
      <c r="X13943" s="26">
        <v>0</v>
      </c>
      <c r="Y13943" s="1">
        <v>1</v>
      </c>
      <c r="Z13943" s="6">
        <v>0</v>
      </c>
      <c r="AA13943" s="6">
        <v>0</v>
      </c>
    </row>
    <row r="13944" spans="1:27" x14ac:dyDescent="0.2">
      <c r="A13944" s="1">
        <v>65</v>
      </c>
      <c r="B13944" s="1" t="s">
        <v>164</v>
      </c>
      <c r="C13944" s="1" t="s">
        <v>165</v>
      </c>
      <c r="D13944" s="1">
        <v>1853</v>
      </c>
      <c r="E13944" s="11">
        <v>0</v>
      </c>
      <c r="G13944" s="1">
        <v>0</v>
      </c>
      <c r="H13944" s="1">
        <v>1</v>
      </c>
      <c r="I13944" s="1">
        <v>0.20619999999999999</v>
      </c>
      <c r="J13944" s="1">
        <f t="shared" si="274"/>
        <v>4.8496605237633368</v>
      </c>
      <c r="M13944" s="1" t="s">
        <v>677</v>
      </c>
      <c r="P13944" s="1" t="s">
        <v>470</v>
      </c>
      <c r="Q13944" s="1">
        <v>0</v>
      </c>
      <c r="S13944" s="1">
        <v>0</v>
      </c>
      <c r="T13944" s="1">
        <v>0</v>
      </c>
      <c r="V13944" s="1">
        <f t="shared" si="275"/>
        <v>0</v>
      </c>
      <c r="W13944" s="1">
        <v>0</v>
      </c>
      <c r="X13944" s="26">
        <v>9.8765432098765427</v>
      </c>
      <c r="Y13944" s="1">
        <v>1</v>
      </c>
      <c r="Z13944" s="6">
        <v>0</v>
      </c>
      <c r="AA13944" s="6">
        <v>0</v>
      </c>
    </row>
    <row r="13945" spans="1:27" x14ac:dyDescent="0.2">
      <c r="A13945" s="1">
        <v>65</v>
      </c>
      <c r="B13945" s="1" t="s">
        <v>164</v>
      </c>
      <c r="C13945" s="1" t="s">
        <v>165</v>
      </c>
      <c r="D13945" s="1">
        <v>1854</v>
      </c>
      <c r="E13945" s="11">
        <v>0</v>
      </c>
      <c r="G13945" s="1">
        <v>0</v>
      </c>
      <c r="H13945" s="1">
        <v>1</v>
      </c>
      <c r="I13945" s="1">
        <v>0.20780000000000001</v>
      </c>
      <c r="J13945" s="1">
        <f t="shared" si="274"/>
        <v>4.8123195380173245</v>
      </c>
      <c r="M13945" s="1" t="s">
        <v>677</v>
      </c>
      <c r="P13945" s="1" t="s">
        <v>470</v>
      </c>
      <c r="Q13945" s="1">
        <v>0</v>
      </c>
      <c r="S13945" s="1">
        <v>0</v>
      </c>
      <c r="T13945" s="1">
        <v>0</v>
      </c>
      <c r="V13945" s="1">
        <f t="shared" si="275"/>
        <v>0</v>
      </c>
      <c r="W13945" s="1">
        <v>0</v>
      </c>
      <c r="X13945" s="26">
        <v>14.606741573033698</v>
      </c>
      <c r="Y13945" s="1">
        <v>1</v>
      </c>
      <c r="Z13945" s="6">
        <v>0</v>
      </c>
      <c r="AA13945" s="6">
        <v>0</v>
      </c>
    </row>
    <row r="13946" spans="1:27" x14ac:dyDescent="0.2">
      <c r="A13946" s="1">
        <v>65</v>
      </c>
      <c r="B13946" s="1" t="s">
        <v>164</v>
      </c>
      <c r="C13946" s="1" t="s">
        <v>165</v>
      </c>
      <c r="D13946" s="1">
        <v>1855</v>
      </c>
      <c r="E13946" s="11">
        <v>0</v>
      </c>
      <c r="G13946" s="1">
        <v>0</v>
      </c>
      <c r="H13946" s="1">
        <v>1</v>
      </c>
      <c r="I13946" s="1">
        <v>0.20760000000000001</v>
      </c>
      <c r="J13946" s="1">
        <f t="shared" si="274"/>
        <v>4.8169556840077066</v>
      </c>
      <c r="M13946" s="1" t="s">
        <v>677</v>
      </c>
      <c r="P13946" s="1" t="s">
        <v>470</v>
      </c>
      <c r="Q13946" s="1">
        <v>0</v>
      </c>
      <c r="S13946" s="1">
        <v>0</v>
      </c>
      <c r="T13946" s="1">
        <v>0</v>
      </c>
      <c r="V13946" s="1">
        <f t="shared" si="275"/>
        <v>0</v>
      </c>
      <c r="W13946" s="1">
        <v>0</v>
      </c>
      <c r="X13946" s="26">
        <v>2.941176470588247</v>
      </c>
      <c r="Y13946" s="1">
        <v>1</v>
      </c>
      <c r="Z13946" s="6">
        <v>0</v>
      </c>
      <c r="AA13946" s="6">
        <v>0</v>
      </c>
    </row>
    <row r="13947" spans="1:27" x14ac:dyDescent="0.2">
      <c r="A13947" s="1">
        <v>65</v>
      </c>
      <c r="B13947" s="1" t="s">
        <v>164</v>
      </c>
      <c r="C13947" s="1" t="s">
        <v>165</v>
      </c>
      <c r="D13947" s="1">
        <v>1856</v>
      </c>
      <c r="E13947" s="11">
        <v>0</v>
      </c>
      <c r="G13947" s="1">
        <v>0</v>
      </c>
      <c r="H13947" s="1">
        <v>1</v>
      </c>
      <c r="I13947" s="1">
        <v>0.2064</v>
      </c>
      <c r="J13947" s="1">
        <f t="shared" si="274"/>
        <v>4.8449612403100772</v>
      </c>
      <c r="M13947" s="1" t="s">
        <v>677</v>
      </c>
      <c r="P13947" s="1" t="s">
        <v>470</v>
      </c>
      <c r="Q13947" s="1">
        <v>0</v>
      </c>
      <c r="S13947" s="1">
        <v>0</v>
      </c>
      <c r="T13947" s="1">
        <v>0</v>
      </c>
      <c r="V13947" s="1">
        <f t="shared" si="275"/>
        <v>0</v>
      </c>
      <c r="W13947" s="1">
        <v>0</v>
      </c>
      <c r="X13947" s="26">
        <v>0</v>
      </c>
      <c r="Y13947" s="1">
        <v>1</v>
      </c>
      <c r="Z13947" s="6">
        <v>0</v>
      </c>
      <c r="AA13947" s="6">
        <v>0</v>
      </c>
    </row>
    <row r="13948" spans="1:27" x14ac:dyDescent="0.2">
      <c r="A13948" s="1">
        <v>65</v>
      </c>
      <c r="B13948" s="1" t="s">
        <v>164</v>
      </c>
      <c r="C13948" s="1" t="s">
        <v>165</v>
      </c>
      <c r="D13948" s="1">
        <v>1857</v>
      </c>
      <c r="E13948" s="19">
        <v>1</v>
      </c>
      <c r="F13948" s="1" t="s">
        <v>349</v>
      </c>
      <c r="G13948" s="1">
        <v>1</v>
      </c>
      <c r="H13948" s="1">
        <v>1</v>
      </c>
      <c r="I13948" s="1">
        <v>0.20630000000000001</v>
      </c>
      <c r="J13948" s="1">
        <f t="shared" si="274"/>
        <v>4.8473097430925831</v>
      </c>
      <c r="M13948" s="1" t="s">
        <v>677</v>
      </c>
      <c r="P13948" s="1" t="s">
        <v>470</v>
      </c>
      <c r="Q13948" s="1">
        <v>0</v>
      </c>
      <c r="S13948" s="1">
        <v>0</v>
      </c>
      <c r="T13948" s="1">
        <v>0</v>
      </c>
      <c r="V13948" s="1">
        <f t="shared" si="275"/>
        <v>0</v>
      </c>
      <c r="W13948" s="1">
        <v>0</v>
      </c>
      <c r="X13948" s="26">
        <v>-4.7619047619047672</v>
      </c>
      <c r="Y13948" s="1">
        <v>1</v>
      </c>
      <c r="Z13948" s="6">
        <v>0</v>
      </c>
      <c r="AA13948" s="6">
        <v>0</v>
      </c>
    </row>
    <row r="13949" spans="1:27" x14ac:dyDescent="0.2">
      <c r="A13949" s="1">
        <v>65</v>
      </c>
      <c r="B13949" s="1" t="s">
        <v>164</v>
      </c>
      <c r="C13949" s="1" t="s">
        <v>165</v>
      </c>
      <c r="D13949" s="1">
        <v>1858</v>
      </c>
      <c r="E13949" s="19">
        <v>1</v>
      </c>
      <c r="G13949" s="1">
        <v>0</v>
      </c>
      <c r="H13949" s="1">
        <v>1</v>
      </c>
      <c r="I13949" s="1">
        <v>0.20530000000000001</v>
      </c>
      <c r="J13949" s="1">
        <f t="shared" si="274"/>
        <v>4.8709206039941551</v>
      </c>
      <c r="M13949" s="1" t="s">
        <v>677</v>
      </c>
      <c r="P13949" s="1" t="s">
        <v>470</v>
      </c>
      <c r="Q13949" s="1">
        <v>0</v>
      </c>
      <c r="S13949" s="1">
        <v>0</v>
      </c>
      <c r="T13949" s="1">
        <v>0</v>
      </c>
      <c r="V13949" s="1">
        <f t="shared" si="275"/>
        <v>0</v>
      </c>
      <c r="W13949" s="1">
        <v>0</v>
      </c>
      <c r="X13949" s="26">
        <v>-8.9999999999999858</v>
      </c>
      <c r="Y13949" s="1">
        <v>1</v>
      </c>
      <c r="Z13949" s="6">
        <v>0</v>
      </c>
      <c r="AA13949" s="6">
        <v>0</v>
      </c>
    </row>
    <row r="13950" spans="1:27" x14ac:dyDescent="0.2">
      <c r="A13950" s="1">
        <v>65</v>
      </c>
      <c r="B13950" s="1" t="s">
        <v>164</v>
      </c>
      <c r="C13950" s="1" t="s">
        <v>165</v>
      </c>
      <c r="D13950" s="1">
        <v>1859</v>
      </c>
      <c r="E13950" s="11">
        <v>0</v>
      </c>
      <c r="G13950" s="1">
        <v>0</v>
      </c>
      <c r="H13950" s="1">
        <v>1</v>
      </c>
      <c r="I13950" s="1">
        <v>0.2056</v>
      </c>
      <c r="J13950" s="1">
        <f t="shared" si="274"/>
        <v>4.863813229571984</v>
      </c>
      <c r="M13950" s="1" t="s">
        <v>677</v>
      </c>
      <c r="P13950" s="1" t="s">
        <v>470</v>
      </c>
      <c r="Q13950" s="1">
        <v>0</v>
      </c>
      <c r="S13950" s="1">
        <v>0</v>
      </c>
      <c r="T13950" s="1">
        <v>0</v>
      </c>
      <c r="V13950" s="1">
        <f t="shared" si="275"/>
        <v>0</v>
      </c>
      <c r="W13950" s="1">
        <v>0</v>
      </c>
      <c r="X13950" s="26">
        <v>-1.0989010989011172</v>
      </c>
      <c r="Y13950" s="1">
        <v>1</v>
      </c>
      <c r="Z13950" s="6">
        <v>0</v>
      </c>
      <c r="AA13950" s="6">
        <v>0</v>
      </c>
    </row>
    <row r="13951" spans="1:27" x14ac:dyDescent="0.2">
      <c r="A13951" s="1">
        <v>65</v>
      </c>
      <c r="B13951" s="1" t="s">
        <v>164</v>
      </c>
      <c r="C13951" s="1" t="s">
        <v>165</v>
      </c>
      <c r="D13951" s="1">
        <v>1860</v>
      </c>
      <c r="E13951" s="11">
        <v>0</v>
      </c>
      <c r="G13951" s="1">
        <v>0</v>
      </c>
      <c r="H13951" s="1">
        <v>1</v>
      </c>
      <c r="I13951" s="1">
        <v>0.21659999999999999</v>
      </c>
      <c r="J13951" s="1">
        <f t="shared" si="274"/>
        <v>4.6168051708217916</v>
      </c>
      <c r="M13951" s="1" t="s">
        <v>677</v>
      </c>
      <c r="P13951" s="1" t="s">
        <v>470</v>
      </c>
      <c r="Q13951" s="1">
        <v>0</v>
      </c>
      <c r="S13951" s="1">
        <v>0</v>
      </c>
      <c r="T13951" s="1">
        <v>0</v>
      </c>
      <c r="V13951" s="1">
        <f t="shared" si="275"/>
        <v>0</v>
      </c>
      <c r="W13951" s="1">
        <v>0</v>
      </c>
      <c r="X13951" s="26">
        <v>3.3333333333333659</v>
      </c>
      <c r="Y13951" s="1">
        <v>1</v>
      </c>
      <c r="Z13951" s="6">
        <v>0</v>
      </c>
      <c r="AA13951" s="6">
        <v>0</v>
      </c>
    </row>
    <row r="13952" spans="1:27" x14ac:dyDescent="0.2">
      <c r="A13952" s="1">
        <v>65</v>
      </c>
      <c r="B13952" s="1" t="s">
        <v>164</v>
      </c>
      <c r="C13952" s="1" t="s">
        <v>165</v>
      </c>
      <c r="D13952" s="1">
        <v>1861</v>
      </c>
      <c r="E13952" s="11">
        <v>0</v>
      </c>
      <c r="G13952" s="1">
        <v>0</v>
      </c>
      <c r="H13952" s="1">
        <v>1</v>
      </c>
      <c r="I13952" s="1">
        <v>0.20669999999999999</v>
      </c>
      <c r="J13952" s="1">
        <f t="shared" si="274"/>
        <v>4.8379293662312532</v>
      </c>
      <c r="M13952" s="1" t="s">
        <v>677</v>
      </c>
      <c r="P13952" s="1" t="s">
        <v>470</v>
      </c>
      <c r="Q13952" s="1">
        <v>0</v>
      </c>
      <c r="S13952" s="1">
        <v>0</v>
      </c>
      <c r="T13952" s="1">
        <v>0</v>
      </c>
      <c r="V13952" s="1">
        <f t="shared" si="275"/>
        <v>0</v>
      </c>
      <c r="W13952" s="1">
        <v>0</v>
      </c>
      <c r="X13952" s="26">
        <v>2.150537634408578</v>
      </c>
      <c r="Y13952" s="1">
        <v>1</v>
      </c>
      <c r="Z13952" s="6">
        <v>0</v>
      </c>
      <c r="AA13952" s="6">
        <v>0</v>
      </c>
    </row>
    <row r="13953" spans="1:27" x14ac:dyDescent="0.2">
      <c r="A13953" s="1">
        <v>65</v>
      </c>
      <c r="B13953" s="1" t="s">
        <v>164</v>
      </c>
      <c r="C13953" s="1" t="s">
        <v>165</v>
      </c>
      <c r="D13953" s="1">
        <v>1862</v>
      </c>
      <c r="E13953" s="11">
        <v>0</v>
      </c>
      <c r="G13953" s="1">
        <v>0</v>
      </c>
      <c r="H13953" s="1">
        <v>1</v>
      </c>
      <c r="I13953" s="1">
        <v>0.1545</v>
      </c>
      <c r="J13953" s="1">
        <f t="shared" si="274"/>
        <v>6.4724919093851137</v>
      </c>
      <c r="M13953" s="1" t="s">
        <v>677</v>
      </c>
      <c r="P13953" s="1" t="s">
        <v>470</v>
      </c>
      <c r="Q13953" s="1">
        <v>0</v>
      </c>
      <c r="S13953" s="1">
        <v>0</v>
      </c>
      <c r="T13953" s="1">
        <v>0</v>
      </c>
      <c r="V13953" s="1">
        <f t="shared" si="275"/>
        <v>0</v>
      </c>
      <c r="W13953" s="1">
        <v>0</v>
      </c>
      <c r="X13953" s="26">
        <v>-2.1052631578947101</v>
      </c>
      <c r="Y13953" s="1">
        <v>1</v>
      </c>
      <c r="Z13953" s="6">
        <v>0</v>
      </c>
      <c r="AA13953" s="6">
        <v>0</v>
      </c>
    </row>
    <row r="13954" spans="1:27" x14ac:dyDescent="0.2">
      <c r="A13954" s="1">
        <v>65</v>
      </c>
      <c r="B13954" s="1" t="s">
        <v>164</v>
      </c>
      <c r="C13954" s="1" t="s">
        <v>165</v>
      </c>
      <c r="D13954" s="1">
        <v>1863</v>
      </c>
      <c r="E13954" s="11">
        <v>0</v>
      </c>
      <c r="G13954" s="1">
        <v>0</v>
      </c>
      <c r="H13954" s="1">
        <v>1</v>
      </c>
      <c r="I13954" s="1">
        <v>0.13539999999999999</v>
      </c>
      <c r="J13954" s="1">
        <f t="shared" si="274"/>
        <v>7.3855243722304289</v>
      </c>
      <c r="M13954" s="1" t="s">
        <v>677</v>
      </c>
      <c r="P13954" s="1" t="s">
        <v>470</v>
      </c>
      <c r="Q13954" s="1">
        <v>0</v>
      </c>
      <c r="S13954" s="1">
        <v>0</v>
      </c>
      <c r="T13954" s="1">
        <v>0</v>
      </c>
      <c r="V13954" s="1">
        <f t="shared" si="275"/>
        <v>0</v>
      </c>
      <c r="W13954" s="1">
        <v>0</v>
      </c>
      <c r="X13954" s="26">
        <v>-3.2258064516129337</v>
      </c>
      <c r="Y13954" s="1">
        <v>1</v>
      </c>
      <c r="Z13954" s="6">
        <v>0</v>
      </c>
      <c r="AA13954" s="6">
        <v>0</v>
      </c>
    </row>
    <row r="13955" spans="1:27" x14ac:dyDescent="0.2">
      <c r="A13955" s="1">
        <v>65</v>
      </c>
      <c r="B13955" s="1" t="s">
        <v>164</v>
      </c>
      <c r="C13955" s="1" t="s">
        <v>165</v>
      </c>
      <c r="D13955" s="1">
        <v>1864</v>
      </c>
      <c r="E13955" s="11">
        <v>0</v>
      </c>
      <c r="G13955" s="1">
        <v>0</v>
      </c>
      <c r="H13955" s="1">
        <v>1</v>
      </c>
      <c r="I13955" s="1">
        <v>0.20710000000000001</v>
      </c>
      <c r="J13955" s="1">
        <f t="shared" ref="J13955:J14018" si="276">1/I13955</f>
        <v>4.8285852245292125</v>
      </c>
      <c r="M13955" s="1" t="s">
        <v>677</v>
      </c>
      <c r="P13955" s="1" t="s">
        <v>470</v>
      </c>
      <c r="Q13955" s="1">
        <v>0</v>
      </c>
      <c r="S13955" s="1">
        <v>0</v>
      </c>
      <c r="T13955" s="1">
        <v>0</v>
      </c>
      <c r="V13955" s="1">
        <f t="shared" ref="V13955:V14018" si="277">8.22*S13955</f>
        <v>0</v>
      </c>
      <c r="W13955" s="1">
        <v>0</v>
      </c>
      <c r="X13955" s="26">
        <v>-1.1111111111111072</v>
      </c>
      <c r="Y13955" s="1">
        <v>1</v>
      </c>
      <c r="Z13955" s="6">
        <v>0</v>
      </c>
      <c r="AA13955" s="6">
        <v>0</v>
      </c>
    </row>
    <row r="13956" spans="1:27" x14ac:dyDescent="0.2">
      <c r="A13956" s="1">
        <v>65</v>
      </c>
      <c r="B13956" s="1" t="s">
        <v>164</v>
      </c>
      <c r="C13956" s="1" t="s">
        <v>165</v>
      </c>
      <c r="D13956" s="1">
        <v>1865</v>
      </c>
      <c r="E13956" s="11">
        <v>0</v>
      </c>
      <c r="G13956" s="1">
        <v>0</v>
      </c>
      <c r="H13956" s="1">
        <v>1</v>
      </c>
      <c r="I13956" s="1">
        <v>0.2064</v>
      </c>
      <c r="J13956" s="1">
        <f t="shared" si="276"/>
        <v>4.8449612403100772</v>
      </c>
      <c r="M13956" s="1" t="s">
        <v>677</v>
      </c>
      <c r="P13956" s="1" t="s">
        <v>470</v>
      </c>
      <c r="Q13956" s="1">
        <v>0</v>
      </c>
      <c r="S13956" s="1">
        <v>0</v>
      </c>
      <c r="T13956" s="1">
        <v>0</v>
      </c>
      <c r="V13956" s="1">
        <f t="shared" si="277"/>
        <v>0</v>
      </c>
      <c r="W13956" s="1">
        <v>0</v>
      </c>
      <c r="X13956" s="26">
        <v>1.1235955056179803</v>
      </c>
      <c r="Y13956" s="1">
        <v>1</v>
      </c>
      <c r="Z13956" s="6">
        <v>0</v>
      </c>
      <c r="AA13956" s="6">
        <v>0</v>
      </c>
    </row>
    <row r="13957" spans="1:27" x14ac:dyDescent="0.2">
      <c r="A13957" s="1">
        <v>65</v>
      </c>
      <c r="B13957" s="1" t="s">
        <v>164</v>
      </c>
      <c r="C13957" s="1" t="s">
        <v>165</v>
      </c>
      <c r="D13957" s="1">
        <v>1866</v>
      </c>
      <c r="E13957" s="20">
        <v>1</v>
      </c>
      <c r="F13957" s="1" t="s">
        <v>350</v>
      </c>
      <c r="G13957" s="1">
        <v>1</v>
      </c>
      <c r="H13957" s="1">
        <v>1</v>
      </c>
      <c r="I13957" s="1">
        <v>0.20810000000000001</v>
      </c>
      <c r="J13957" s="1">
        <f t="shared" si="276"/>
        <v>4.8053820278712154</v>
      </c>
      <c r="M13957" s="1" t="s">
        <v>677</v>
      </c>
      <c r="P13957" s="1" t="s">
        <v>470</v>
      </c>
      <c r="Q13957" s="1">
        <v>0</v>
      </c>
      <c r="S13957" s="1">
        <v>0</v>
      </c>
      <c r="T13957" s="1">
        <v>0</v>
      </c>
      <c r="V13957" s="1">
        <f t="shared" si="277"/>
        <v>0</v>
      </c>
      <c r="W13957" s="1">
        <v>1</v>
      </c>
      <c r="X13957" s="26">
        <v>5.555555555555558</v>
      </c>
      <c r="Y13957" s="1">
        <v>1</v>
      </c>
      <c r="Z13957" s="6">
        <v>0</v>
      </c>
      <c r="AA13957" s="6">
        <v>0</v>
      </c>
    </row>
    <row r="13958" spans="1:27" x14ac:dyDescent="0.2">
      <c r="A13958" s="1">
        <v>65</v>
      </c>
      <c r="B13958" s="1" t="s">
        <v>164</v>
      </c>
      <c r="C13958" s="1" t="s">
        <v>165</v>
      </c>
      <c r="D13958" s="1">
        <v>1867</v>
      </c>
      <c r="E13958" s="11">
        <v>0</v>
      </c>
      <c r="G13958" s="1">
        <v>0</v>
      </c>
      <c r="H13958" s="1">
        <v>1</v>
      </c>
      <c r="I13958" s="1">
        <v>0.2039</v>
      </c>
      <c r="J13958" s="1">
        <f t="shared" si="276"/>
        <v>4.9043648847474248</v>
      </c>
      <c r="M13958" s="1" t="s">
        <v>677</v>
      </c>
      <c r="P13958" s="1" t="s">
        <v>470</v>
      </c>
      <c r="Q13958" s="1">
        <v>0</v>
      </c>
      <c r="S13958" s="1">
        <v>0</v>
      </c>
      <c r="T13958" s="1">
        <v>0</v>
      </c>
      <c r="V13958" s="1">
        <f t="shared" si="277"/>
        <v>0</v>
      </c>
      <c r="W13958" s="1">
        <v>0</v>
      </c>
      <c r="X13958" s="26">
        <v>6.315789473684208</v>
      </c>
      <c r="Y13958" s="1">
        <v>1</v>
      </c>
      <c r="Z13958" s="6">
        <v>0</v>
      </c>
      <c r="AA13958" s="6">
        <v>0</v>
      </c>
    </row>
    <row r="13959" spans="1:27" x14ac:dyDescent="0.2">
      <c r="A13959" s="1">
        <v>65</v>
      </c>
      <c r="B13959" s="1" t="s">
        <v>164</v>
      </c>
      <c r="C13959" s="1" t="s">
        <v>165</v>
      </c>
      <c r="D13959" s="1">
        <v>1868</v>
      </c>
      <c r="E13959" s="11">
        <v>0</v>
      </c>
      <c r="G13959" s="1">
        <v>0</v>
      </c>
      <c r="H13959" s="1">
        <v>1</v>
      </c>
      <c r="I13959" s="1">
        <v>0.2054</v>
      </c>
      <c r="J13959" s="1">
        <f t="shared" si="276"/>
        <v>4.8685491723466408</v>
      </c>
      <c r="M13959" s="1" t="s">
        <v>677</v>
      </c>
      <c r="P13959" s="1" t="s">
        <v>470</v>
      </c>
      <c r="Q13959" s="1">
        <v>0</v>
      </c>
      <c r="S13959" s="1">
        <v>0</v>
      </c>
      <c r="T13959" s="1">
        <v>0</v>
      </c>
      <c r="V13959" s="1">
        <f t="shared" si="277"/>
        <v>0</v>
      </c>
      <c r="W13959" s="1">
        <v>0</v>
      </c>
      <c r="X13959" s="26">
        <v>-0.99009900990099098</v>
      </c>
      <c r="Y13959" s="1">
        <v>1</v>
      </c>
      <c r="Z13959" s="6">
        <v>0</v>
      </c>
      <c r="AA13959" s="6">
        <v>0</v>
      </c>
    </row>
    <row r="13960" spans="1:27" x14ac:dyDescent="0.2">
      <c r="A13960" s="1">
        <v>65</v>
      </c>
      <c r="B13960" s="1" t="s">
        <v>164</v>
      </c>
      <c r="C13960" s="1" t="s">
        <v>165</v>
      </c>
      <c r="D13960" s="1">
        <v>1869</v>
      </c>
      <c r="E13960" s="11">
        <v>0</v>
      </c>
      <c r="G13960" s="1">
        <v>0</v>
      </c>
      <c r="H13960" s="1">
        <v>1</v>
      </c>
      <c r="I13960" s="1">
        <v>0.20580000000000001</v>
      </c>
      <c r="J13960" s="1">
        <f t="shared" si="276"/>
        <v>4.8590864917395526</v>
      </c>
      <c r="M13960" s="1" t="s">
        <v>677</v>
      </c>
      <c r="P13960" s="1" t="s">
        <v>470</v>
      </c>
      <c r="Q13960" s="1">
        <v>0</v>
      </c>
      <c r="S13960" s="1">
        <v>0</v>
      </c>
      <c r="T13960" s="1">
        <v>0</v>
      </c>
      <c r="V13960" s="1">
        <f t="shared" si="277"/>
        <v>0</v>
      </c>
      <c r="W13960" s="1">
        <v>0</v>
      </c>
      <c r="X13960" s="26">
        <v>-5.0000000000000044</v>
      </c>
      <c r="Y13960" s="1">
        <v>1</v>
      </c>
      <c r="Z13960" s="6">
        <v>0</v>
      </c>
      <c r="AA13960" s="6">
        <v>0</v>
      </c>
    </row>
    <row r="13961" spans="1:27" x14ac:dyDescent="0.2">
      <c r="A13961" s="1">
        <v>65</v>
      </c>
      <c r="B13961" s="1" t="s">
        <v>164</v>
      </c>
      <c r="C13961" s="1" t="s">
        <v>165</v>
      </c>
      <c r="D13961" s="1">
        <v>1870</v>
      </c>
      <c r="E13961" s="11">
        <v>0</v>
      </c>
      <c r="G13961" s="1">
        <v>0</v>
      </c>
      <c r="H13961" s="1">
        <v>1</v>
      </c>
      <c r="I13961" s="1">
        <v>0.2054</v>
      </c>
      <c r="J13961" s="1">
        <f t="shared" si="276"/>
        <v>4.8685491723466408</v>
      </c>
      <c r="M13961" s="1" t="s">
        <v>677</v>
      </c>
      <c r="P13961" s="1" t="s">
        <v>470</v>
      </c>
      <c r="Q13961" s="1">
        <v>0</v>
      </c>
      <c r="S13961" s="1">
        <v>0</v>
      </c>
      <c r="T13961" s="1">
        <v>0</v>
      </c>
      <c r="V13961" s="1">
        <f t="shared" si="277"/>
        <v>0</v>
      </c>
      <c r="W13961" s="1">
        <v>0</v>
      </c>
      <c r="X13961" s="26">
        <v>0</v>
      </c>
      <c r="Y13961" s="1">
        <v>1</v>
      </c>
      <c r="Z13961" s="6">
        <v>0</v>
      </c>
      <c r="AA13961" s="6">
        <v>0</v>
      </c>
    </row>
    <row r="13962" spans="1:27" x14ac:dyDescent="0.2">
      <c r="A13962" s="1">
        <v>65</v>
      </c>
      <c r="B13962" s="1" t="s">
        <v>164</v>
      </c>
      <c r="C13962" s="1" t="s">
        <v>165</v>
      </c>
      <c r="D13962" s="1">
        <v>1871</v>
      </c>
      <c r="E13962" s="11">
        <v>0</v>
      </c>
      <c r="G13962" s="1">
        <v>0</v>
      </c>
      <c r="H13962" s="1">
        <v>1</v>
      </c>
      <c r="I13962" s="1">
        <v>0.2051</v>
      </c>
      <c r="J13962" s="1">
        <f t="shared" si="276"/>
        <v>4.8756704046806432</v>
      </c>
      <c r="M13962" s="1" t="s">
        <v>677</v>
      </c>
      <c r="P13962" s="1" t="s">
        <v>470</v>
      </c>
      <c r="Q13962" s="1">
        <v>0</v>
      </c>
      <c r="S13962" s="1">
        <v>0</v>
      </c>
      <c r="T13962" s="1">
        <v>0</v>
      </c>
      <c r="V13962" s="1">
        <f t="shared" si="277"/>
        <v>0</v>
      </c>
      <c r="W13962" s="1">
        <v>0</v>
      </c>
      <c r="X13962" s="26">
        <v>1.0526315789473939</v>
      </c>
      <c r="Y13962" s="1">
        <v>1</v>
      </c>
      <c r="Z13962" s="6">
        <v>0</v>
      </c>
      <c r="AA13962" s="6">
        <v>0</v>
      </c>
    </row>
    <row r="13963" spans="1:27" x14ac:dyDescent="0.2">
      <c r="A13963" s="1">
        <v>65</v>
      </c>
      <c r="B13963" s="1" t="s">
        <v>164</v>
      </c>
      <c r="C13963" s="1" t="s">
        <v>165</v>
      </c>
      <c r="D13963" s="1">
        <v>1872</v>
      </c>
      <c r="E13963" s="11">
        <v>0</v>
      </c>
      <c r="G13963" s="1">
        <v>0</v>
      </c>
      <c r="H13963" s="1">
        <v>1</v>
      </c>
      <c r="I13963" s="1">
        <v>0.2044</v>
      </c>
      <c r="J13963" s="1">
        <f t="shared" si="276"/>
        <v>4.8923679060665366</v>
      </c>
      <c r="M13963" s="1" t="s">
        <v>677</v>
      </c>
      <c r="P13963" s="1" t="s">
        <v>470</v>
      </c>
      <c r="Q13963" s="1">
        <v>0</v>
      </c>
      <c r="S13963" s="1">
        <v>0</v>
      </c>
      <c r="T13963" s="1">
        <v>0</v>
      </c>
      <c r="V13963" s="1">
        <f t="shared" si="277"/>
        <v>0</v>
      </c>
      <c r="W13963" s="1">
        <v>0</v>
      </c>
      <c r="X13963" s="26">
        <v>4.1666666666666519</v>
      </c>
      <c r="Y13963" s="1">
        <v>1</v>
      </c>
      <c r="Z13963" s="6">
        <v>0</v>
      </c>
      <c r="AA13963" s="6">
        <v>0</v>
      </c>
    </row>
    <row r="13964" spans="1:27" ht="12.95" customHeight="1" x14ac:dyDescent="0.2">
      <c r="A13964" s="1">
        <v>65</v>
      </c>
      <c r="B13964" s="1" t="s">
        <v>164</v>
      </c>
      <c r="C13964" s="1" t="s">
        <v>165</v>
      </c>
      <c r="D13964" s="1">
        <v>1873</v>
      </c>
      <c r="E13964" s="11">
        <v>0</v>
      </c>
      <c r="G13964" s="1">
        <v>0</v>
      </c>
      <c r="H13964" s="1">
        <v>1</v>
      </c>
      <c r="I13964" s="1">
        <v>0.2051</v>
      </c>
      <c r="J13964" s="1">
        <f t="shared" si="276"/>
        <v>4.8756704046806432</v>
      </c>
      <c r="M13964" s="1" t="s">
        <v>677</v>
      </c>
      <c r="P13964" s="1" t="s">
        <v>470</v>
      </c>
      <c r="Q13964" s="1">
        <v>0</v>
      </c>
      <c r="S13964" s="1">
        <v>0</v>
      </c>
      <c r="T13964" s="1">
        <v>0</v>
      </c>
      <c r="V13964" s="1">
        <f t="shared" si="277"/>
        <v>0</v>
      </c>
      <c r="W13964" s="1">
        <v>0</v>
      </c>
      <c r="X13964" s="26">
        <v>4.0000000000000036</v>
      </c>
      <c r="Y13964" s="1">
        <v>1</v>
      </c>
      <c r="Z13964" s="6">
        <v>0</v>
      </c>
      <c r="AA13964" s="6">
        <v>0</v>
      </c>
    </row>
    <row r="13965" spans="1:27" ht="12.95" customHeight="1" x14ac:dyDescent="0.2">
      <c r="A13965" s="1">
        <v>65</v>
      </c>
      <c r="B13965" s="1" t="s">
        <v>164</v>
      </c>
      <c r="C13965" s="1" t="s">
        <v>165</v>
      </c>
      <c r="D13965" s="1">
        <v>1874</v>
      </c>
      <c r="E13965" s="11">
        <v>0</v>
      </c>
      <c r="G13965" s="1">
        <v>0</v>
      </c>
      <c r="H13965" s="1">
        <v>1</v>
      </c>
      <c r="I13965" s="1">
        <v>0.20399999999999999</v>
      </c>
      <c r="J13965" s="1">
        <f t="shared" si="276"/>
        <v>4.9019607843137258</v>
      </c>
      <c r="M13965" s="1" t="s">
        <v>677</v>
      </c>
      <c r="P13965" s="1" t="s">
        <v>470</v>
      </c>
      <c r="Q13965" s="1">
        <v>0</v>
      </c>
      <c r="S13965" s="1">
        <v>0</v>
      </c>
      <c r="T13965" s="1">
        <v>0</v>
      </c>
      <c r="V13965" s="1">
        <f t="shared" si="277"/>
        <v>0</v>
      </c>
      <c r="W13965" s="1">
        <v>0</v>
      </c>
      <c r="X13965" s="26">
        <v>-3.8461538461538547</v>
      </c>
      <c r="Y13965" s="1">
        <v>1</v>
      </c>
      <c r="Z13965" s="6">
        <v>0</v>
      </c>
      <c r="AA13965" s="6">
        <v>0</v>
      </c>
    </row>
    <row r="13966" spans="1:27" x14ac:dyDescent="0.2">
      <c r="A13966" s="1">
        <v>65</v>
      </c>
      <c r="B13966" s="1" t="s">
        <v>164</v>
      </c>
      <c r="C13966" s="1" t="s">
        <v>165</v>
      </c>
      <c r="D13966" s="1">
        <v>1875</v>
      </c>
      <c r="E13966" s="11">
        <v>0</v>
      </c>
      <c r="G13966" s="1">
        <v>0</v>
      </c>
      <c r="H13966" s="1">
        <v>1</v>
      </c>
      <c r="I13966" s="1">
        <v>0.20430000000000001</v>
      </c>
      <c r="J13966" s="1">
        <f t="shared" si="276"/>
        <v>4.8947626040137049</v>
      </c>
      <c r="M13966" s="1" t="s">
        <v>677</v>
      </c>
      <c r="P13966" s="1" t="s">
        <v>470</v>
      </c>
      <c r="Q13966" s="1">
        <v>0</v>
      </c>
      <c r="S13966" s="1">
        <v>0</v>
      </c>
      <c r="T13966" s="1">
        <v>0</v>
      </c>
      <c r="V13966" s="1">
        <f t="shared" si="277"/>
        <v>0</v>
      </c>
      <c r="W13966" s="1">
        <v>0</v>
      </c>
      <c r="X13966" s="26">
        <v>-1.9999999999999907</v>
      </c>
      <c r="Y13966" s="1">
        <v>1</v>
      </c>
      <c r="Z13966" s="6">
        <v>0</v>
      </c>
      <c r="AA13966" s="6">
        <v>0</v>
      </c>
    </row>
    <row r="13967" spans="1:27" x14ac:dyDescent="0.2">
      <c r="A13967" s="1">
        <v>65</v>
      </c>
      <c r="B13967" s="1" t="s">
        <v>164</v>
      </c>
      <c r="C13967" s="1" t="s">
        <v>165</v>
      </c>
      <c r="D13967" s="1">
        <v>1876</v>
      </c>
      <c r="E13967" s="11">
        <v>0</v>
      </c>
      <c r="G13967" s="1">
        <v>0</v>
      </c>
      <c r="H13967" s="1">
        <v>1</v>
      </c>
      <c r="I13967" s="1">
        <v>0.20660000000000001</v>
      </c>
      <c r="J13967" s="1">
        <f t="shared" si="276"/>
        <v>4.8402710551790902</v>
      </c>
      <c r="M13967" s="1" t="s">
        <v>677</v>
      </c>
      <c r="P13967" s="1" t="s">
        <v>470</v>
      </c>
      <c r="Q13967" s="1">
        <v>0</v>
      </c>
      <c r="S13967" s="1">
        <v>0</v>
      </c>
      <c r="T13967" s="1">
        <v>0</v>
      </c>
      <c r="V13967" s="1">
        <f t="shared" si="277"/>
        <v>0</v>
      </c>
      <c r="W13967" s="1">
        <v>0</v>
      </c>
      <c r="X13967" s="26">
        <v>0</v>
      </c>
      <c r="Y13967" s="1">
        <v>1</v>
      </c>
      <c r="Z13967" s="6">
        <v>0</v>
      </c>
      <c r="AA13967" s="6">
        <v>0</v>
      </c>
    </row>
    <row r="13968" spans="1:27" x14ac:dyDescent="0.2">
      <c r="A13968" s="1">
        <v>65</v>
      </c>
      <c r="B13968" s="1" t="s">
        <v>164</v>
      </c>
      <c r="C13968" s="1" t="s">
        <v>165</v>
      </c>
      <c r="D13968" s="1">
        <v>1877</v>
      </c>
      <c r="E13968" s="11">
        <v>0</v>
      </c>
      <c r="G13968" s="1">
        <v>0</v>
      </c>
      <c r="H13968" s="1">
        <v>1</v>
      </c>
      <c r="I13968" s="1">
        <v>0.20580000000000001</v>
      </c>
      <c r="J13968" s="1">
        <f t="shared" si="276"/>
        <v>4.8590864917395526</v>
      </c>
      <c r="M13968" s="1" t="s">
        <v>677</v>
      </c>
      <c r="P13968" s="1" t="s">
        <v>470</v>
      </c>
      <c r="Q13968" s="1">
        <v>0</v>
      </c>
      <c r="S13968" s="1">
        <v>0</v>
      </c>
      <c r="T13968" s="1">
        <v>0</v>
      </c>
      <c r="V13968" s="1">
        <f t="shared" si="277"/>
        <v>0</v>
      </c>
      <c r="W13968" s="1">
        <v>0</v>
      </c>
      <c r="X13968" s="39">
        <v>-1.0204081632653184</v>
      </c>
      <c r="Y13968" s="1">
        <v>1</v>
      </c>
      <c r="Z13968" s="6">
        <v>0</v>
      </c>
      <c r="AA13968" s="6">
        <v>0</v>
      </c>
    </row>
    <row r="13969" spans="1:27" x14ac:dyDescent="0.2">
      <c r="A13969" s="1">
        <v>65</v>
      </c>
      <c r="B13969" s="1" t="s">
        <v>164</v>
      </c>
      <c r="C13969" s="1" t="s">
        <v>165</v>
      </c>
      <c r="D13969" s="1">
        <v>1878</v>
      </c>
      <c r="E13969" s="20">
        <v>1</v>
      </c>
      <c r="F13969" s="1" t="s">
        <v>351</v>
      </c>
      <c r="G13969" s="1">
        <v>1</v>
      </c>
      <c r="H13969" s="1">
        <v>1</v>
      </c>
      <c r="I13969" s="1">
        <v>0.2049</v>
      </c>
      <c r="J13969" s="1">
        <f t="shared" si="276"/>
        <v>4.8804294777940456</v>
      </c>
      <c r="M13969" s="1" t="s">
        <v>677</v>
      </c>
      <c r="P13969" s="1" t="s">
        <v>470</v>
      </c>
      <c r="Q13969" s="1">
        <v>0</v>
      </c>
      <c r="S13969" s="1">
        <v>0</v>
      </c>
      <c r="T13969" s="1">
        <v>0</v>
      </c>
      <c r="V13969" s="1">
        <f t="shared" si="277"/>
        <v>0</v>
      </c>
      <c r="W13969" s="1">
        <v>0</v>
      </c>
      <c r="X13969" s="39">
        <v>-2.0618556701030855</v>
      </c>
      <c r="Y13969" s="1">
        <v>1</v>
      </c>
      <c r="Z13969" s="6">
        <v>0</v>
      </c>
      <c r="AA13969" s="6">
        <v>0</v>
      </c>
    </row>
    <row r="13970" spans="1:27" x14ac:dyDescent="0.2">
      <c r="A13970" s="1">
        <v>65</v>
      </c>
      <c r="B13970" s="1" t="s">
        <v>164</v>
      </c>
      <c r="C13970" s="1" t="s">
        <v>165</v>
      </c>
      <c r="D13970" s="1">
        <v>1879</v>
      </c>
      <c r="E13970" s="20">
        <v>1</v>
      </c>
      <c r="F13970" s="1" t="s">
        <v>351</v>
      </c>
      <c r="G13970" s="1">
        <v>1</v>
      </c>
      <c r="H13970" s="1">
        <v>1</v>
      </c>
      <c r="I13970" s="1">
        <v>0.2064</v>
      </c>
      <c r="J13970" s="1">
        <f t="shared" si="276"/>
        <v>4.8449612403100772</v>
      </c>
      <c r="M13970" s="1" t="s">
        <v>677</v>
      </c>
      <c r="P13970" s="1" t="s">
        <v>470</v>
      </c>
      <c r="Q13970" s="1">
        <v>0</v>
      </c>
      <c r="S13970" s="1">
        <v>0</v>
      </c>
      <c r="T13970" s="1">
        <v>0</v>
      </c>
      <c r="V13970" s="1">
        <f t="shared" si="277"/>
        <v>0</v>
      </c>
      <c r="W13970" s="1">
        <v>0</v>
      </c>
      <c r="X13970" s="39">
        <v>-4.2105263157894646</v>
      </c>
      <c r="Y13970" s="1">
        <v>1</v>
      </c>
      <c r="Z13970" s="6">
        <v>0</v>
      </c>
      <c r="AA13970" s="6">
        <v>0</v>
      </c>
    </row>
    <row r="13971" spans="1:27" x14ac:dyDescent="0.2">
      <c r="A13971" s="1">
        <v>65</v>
      </c>
      <c r="B13971" s="1" t="s">
        <v>164</v>
      </c>
      <c r="C13971" s="1" t="s">
        <v>165</v>
      </c>
      <c r="D13971" s="1">
        <v>1880</v>
      </c>
      <c r="E13971" s="11">
        <v>0</v>
      </c>
      <c r="F13971" s="1" t="s">
        <v>351</v>
      </c>
      <c r="G13971" s="1">
        <v>1</v>
      </c>
      <c r="H13971" s="1">
        <v>1</v>
      </c>
      <c r="I13971" s="1">
        <v>0.20730000000000001</v>
      </c>
      <c r="J13971" s="1">
        <f t="shared" si="276"/>
        <v>4.8239266763145201</v>
      </c>
      <c r="M13971" s="1" t="s">
        <v>677</v>
      </c>
      <c r="P13971" s="1" t="s">
        <v>470</v>
      </c>
      <c r="Q13971" s="1">
        <v>0</v>
      </c>
      <c r="S13971" s="1">
        <v>0</v>
      </c>
      <c r="T13971" s="1">
        <v>0</v>
      </c>
      <c r="V13971" s="1">
        <f t="shared" si="277"/>
        <v>0</v>
      </c>
      <c r="W13971" s="1">
        <v>0</v>
      </c>
      <c r="X13971" s="39">
        <v>3.296703296703285</v>
      </c>
      <c r="Y13971" s="1">
        <v>1</v>
      </c>
      <c r="Z13971" s="6">
        <v>0</v>
      </c>
      <c r="AA13971" s="6">
        <v>0</v>
      </c>
    </row>
    <row r="13972" spans="1:27" x14ac:dyDescent="0.2">
      <c r="A13972" s="1">
        <v>65</v>
      </c>
      <c r="B13972" s="1" t="s">
        <v>164</v>
      </c>
      <c r="C13972" s="1" t="s">
        <v>165</v>
      </c>
      <c r="D13972" s="1">
        <v>1881</v>
      </c>
      <c r="E13972" s="11">
        <v>0</v>
      </c>
      <c r="G13972" s="1">
        <v>0</v>
      </c>
      <c r="H13972" s="1">
        <v>1</v>
      </c>
      <c r="I13972" s="1">
        <v>0.20619999999999999</v>
      </c>
      <c r="J13972" s="1">
        <f t="shared" si="276"/>
        <v>4.8496605237633368</v>
      </c>
      <c r="M13972" s="1" t="s">
        <v>677</v>
      </c>
      <c r="P13972" s="1" t="s">
        <v>470</v>
      </c>
      <c r="Q13972" s="1">
        <v>0</v>
      </c>
      <c r="S13972" s="1">
        <v>0</v>
      </c>
      <c r="T13972" s="1">
        <v>0</v>
      </c>
      <c r="V13972" s="1">
        <f t="shared" si="277"/>
        <v>0</v>
      </c>
      <c r="W13972" s="1">
        <v>0</v>
      </c>
      <c r="X13972" s="39">
        <v>-1.0638297872340163</v>
      </c>
      <c r="Y13972" s="1">
        <v>1</v>
      </c>
      <c r="Z13972" s="6">
        <v>0</v>
      </c>
      <c r="AA13972" s="6">
        <v>0</v>
      </c>
    </row>
    <row r="13973" spans="1:27" x14ac:dyDescent="0.2">
      <c r="A13973" s="1">
        <v>65</v>
      </c>
      <c r="B13973" s="1" t="s">
        <v>164</v>
      </c>
      <c r="C13973" s="1" t="s">
        <v>165</v>
      </c>
      <c r="D13973" s="1">
        <v>1882</v>
      </c>
      <c r="E13973" s="11">
        <v>0</v>
      </c>
      <c r="G13973" s="1">
        <v>0</v>
      </c>
      <c r="H13973" s="1">
        <v>1</v>
      </c>
      <c r="I13973" s="1">
        <v>0.20599999999999999</v>
      </c>
      <c r="J13973" s="1">
        <f t="shared" si="276"/>
        <v>4.8543689320388355</v>
      </c>
      <c r="M13973" s="1" t="s">
        <v>677</v>
      </c>
      <c r="P13973" s="1" t="s">
        <v>470</v>
      </c>
      <c r="Q13973" s="1">
        <v>0</v>
      </c>
      <c r="S13973" s="1">
        <v>0</v>
      </c>
      <c r="T13973" s="1">
        <v>0</v>
      </c>
      <c r="V13973" s="1">
        <f t="shared" si="277"/>
        <v>0</v>
      </c>
      <c r="W13973" s="1">
        <v>0</v>
      </c>
      <c r="X13973" s="39">
        <v>1.0752688172042779</v>
      </c>
      <c r="Y13973" s="1">
        <v>1</v>
      </c>
      <c r="Z13973" s="6">
        <v>0</v>
      </c>
      <c r="AA13973" s="6">
        <v>0</v>
      </c>
    </row>
    <row r="13974" spans="1:27" x14ac:dyDescent="0.2">
      <c r="A13974" s="1">
        <v>65</v>
      </c>
      <c r="B13974" s="1" t="s">
        <v>164</v>
      </c>
      <c r="C13974" s="1" t="s">
        <v>165</v>
      </c>
      <c r="D13974" s="1">
        <v>1883</v>
      </c>
      <c r="E13974" s="11">
        <v>0</v>
      </c>
      <c r="G13974" s="1">
        <v>0</v>
      </c>
      <c r="H13974" s="1">
        <v>1</v>
      </c>
      <c r="I13974" s="1">
        <v>0.20599999999999999</v>
      </c>
      <c r="J13974" s="1">
        <f t="shared" si="276"/>
        <v>4.8543689320388355</v>
      </c>
      <c r="M13974" s="1" t="s">
        <v>677</v>
      </c>
      <c r="P13974" s="1" t="s">
        <v>470</v>
      </c>
      <c r="Q13974" s="1">
        <v>0</v>
      </c>
      <c r="S13974" s="1">
        <v>0</v>
      </c>
      <c r="T13974" s="1">
        <v>0</v>
      </c>
      <c r="V13974" s="1">
        <f t="shared" si="277"/>
        <v>0</v>
      </c>
      <c r="W13974" s="1">
        <v>0</v>
      </c>
      <c r="X13974" s="39">
        <v>-1.0638297872340163</v>
      </c>
      <c r="Y13974" s="1">
        <v>1</v>
      </c>
      <c r="Z13974" s="6">
        <v>0</v>
      </c>
      <c r="AA13974" s="6">
        <v>0</v>
      </c>
    </row>
    <row r="13975" spans="1:27" x14ac:dyDescent="0.2">
      <c r="A13975" s="1">
        <v>65</v>
      </c>
      <c r="B13975" s="1" t="s">
        <v>164</v>
      </c>
      <c r="C13975" s="1" t="s">
        <v>165</v>
      </c>
      <c r="D13975" s="1">
        <v>1884</v>
      </c>
      <c r="E13975" s="11">
        <v>0</v>
      </c>
      <c r="G13975" s="1">
        <v>0</v>
      </c>
      <c r="H13975" s="1">
        <v>1</v>
      </c>
      <c r="I13975" s="1">
        <v>0.20599999999999999</v>
      </c>
      <c r="J13975" s="1">
        <f t="shared" si="276"/>
        <v>4.8543689320388355</v>
      </c>
      <c r="M13975" s="1" t="s">
        <v>677</v>
      </c>
      <c r="P13975" s="1" t="s">
        <v>470</v>
      </c>
      <c r="Q13975" s="1">
        <v>0</v>
      </c>
      <c r="S13975" s="1">
        <v>0</v>
      </c>
      <c r="T13975" s="1">
        <v>0</v>
      </c>
      <c r="V13975" s="1">
        <f t="shared" si="277"/>
        <v>0</v>
      </c>
      <c r="W13975" s="1">
        <v>0</v>
      </c>
      <c r="X13975" s="39">
        <v>-2.1505376344086113</v>
      </c>
      <c r="Y13975" s="1">
        <v>1</v>
      </c>
      <c r="Z13975" s="6">
        <v>0</v>
      </c>
      <c r="AA13975" s="6">
        <v>0</v>
      </c>
    </row>
    <row r="13976" spans="1:27" x14ac:dyDescent="0.2">
      <c r="A13976" s="1">
        <v>65</v>
      </c>
      <c r="B13976" s="1" t="s">
        <v>164</v>
      </c>
      <c r="C13976" s="1" t="s">
        <v>165</v>
      </c>
      <c r="D13976" s="1">
        <v>1885</v>
      </c>
      <c r="E13976" s="11">
        <v>0</v>
      </c>
      <c r="G13976" s="1">
        <v>0</v>
      </c>
      <c r="H13976" s="1">
        <v>1</v>
      </c>
      <c r="I13976" s="1">
        <v>0.20469999999999999</v>
      </c>
      <c r="J13976" s="1">
        <f t="shared" si="276"/>
        <v>4.8851978505129461</v>
      </c>
      <c r="M13976" s="1" t="s">
        <v>677</v>
      </c>
      <c r="P13976" s="1" t="s">
        <v>470</v>
      </c>
      <c r="Q13976" s="1">
        <v>0</v>
      </c>
      <c r="S13976" s="1">
        <v>0</v>
      </c>
      <c r="T13976" s="1">
        <v>0</v>
      </c>
      <c r="V13976" s="1">
        <f t="shared" si="277"/>
        <v>0</v>
      </c>
      <c r="W13976" s="1">
        <v>0</v>
      </c>
      <c r="X13976" s="39">
        <v>-3.296703296703285</v>
      </c>
      <c r="Y13976" s="1">
        <v>1</v>
      </c>
      <c r="Z13976" s="6">
        <v>0</v>
      </c>
      <c r="AA13976" s="6">
        <v>0</v>
      </c>
    </row>
    <row r="13977" spans="1:27" x14ac:dyDescent="0.2">
      <c r="A13977" s="1">
        <v>65</v>
      </c>
      <c r="B13977" s="1" t="s">
        <v>164</v>
      </c>
      <c r="C13977" s="1" t="s">
        <v>165</v>
      </c>
      <c r="D13977" s="1">
        <v>1886</v>
      </c>
      <c r="E13977" s="11">
        <v>0</v>
      </c>
      <c r="G13977" s="1">
        <v>0</v>
      </c>
      <c r="H13977" s="1">
        <v>1</v>
      </c>
      <c r="I13977" s="1">
        <v>0.2064</v>
      </c>
      <c r="J13977" s="1">
        <f t="shared" si="276"/>
        <v>4.8449612403100772</v>
      </c>
      <c r="M13977" s="1" t="s">
        <v>677</v>
      </c>
      <c r="P13977" s="1" t="s">
        <v>470</v>
      </c>
      <c r="Q13977" s="1">
        <v>0</v>
      </c>
      <c r="S13977" s="1">
        <v>0</v>
      </c>
      <c r="T13977" s="1">
        <v>0</v>
      </c>
      <c r="V13977" s="1">
        <f t="shared" si="277"/>
        <v>0</v>
      </c>
      <c r="W13977" s="1">
        <v>0</v>
      </c>
      <c r="X13977" s="39">
        <v>-1.1363636363636798</v>
      </c>
      <c r="Y13977" s="1">
        <v>1</v>
      </c>
      <c r="Z13977" s="6">
        <v>0</v>
      </c>
      <c r="AA13977" s="6">
        <v>0</v>
      </c>
    </row>
    <row r="13978" spans="1:27" x14ac:dyDescent="0.2">
      <c r="A13978" s="1">
        <v>65</v>
      </c>
      <c r="B13978" s="1" t="s">
        <v>164</v>
      </c>
      <c r="C13978" s="1" t="s">
        <v>165</v>
      </c>
      <c r="D13978" s="1">
        <v>1887</v>
      </c>
      <c r="E13978" s="11">
        <v>0</v>
      </c>
      <c r="G13978" s="1">
        <v>0</v>
      </c>
      <c r="H13978" s="1">
        <v>1</v>
      </c>
      <c r="I13978" s="1">
        <v>0.20549999999999999</v>
      </c>
      <c r="J13978" s="1">
        <f t="shared" si="276"/>
        <v>4.8661800486618008</v>
      </c>
      <c r="M13978" s="1" t="s">
        <v>677</v>
      </c>
      <c r="P13978" s="1" t="s">
        <v>470</v>
      </c>
      <c r="Q13978" s="1">
        <v>0</v>
      </c>
      <c r="S13978" s="1">
        <v>0</v>
      </c>
      <c r="T13978" s="1">
        <v>0</v>
      </c>
      <c r="V13978" s="1">
        <f t="shared" si="277"/>
        <v>0</v>
      </c>
      <c r="W13978" s="1">
        <v>0</v>
      </c>
      <c r="X13978" s="39">
        <v>-1.1494252873562982</v>
      </c>
      <c r="Y13978" s="1">
        <v>1</v>
      </c>
      <c r="Z13978" s="6">
        <v>0</v>
      </c>
      <c r="AA13978" s="6">
        <v>0</v>
      </c>
    </row>
    <row r="13979" spans="1:27" x14ac:dyDescent="0.2">
      <c r="A13979" s="1">
        <v>65</v>
      </c>
      <c r="B13979" s="1" t="s">
        <v>164</v>
      </c>
      <c r="C13979" s="1" t="s">
        <v>165</v>
      </c>
      <c r="D13979" s="1">
        <v>1888</v>
      </c>
      <c r="E13979" s="11">
        <v>0</v>
      </c>
      <c r="G13979" s="1">
        <v>0</v>
      </c>
      <c r="H13979" s="1">
        <v>1</v>
      </c>
      <c r="I13979" s="1">
        <v>0.20430000000000001</v>
      </c>
      <c r="J13979" s="1">
        <f t="shared" si="276"/>
        <v>4.8947626040137049</v>
      </c>
      <c r="M13979" s="1" t="s">
        <v>677</v>
      </c>
      <c r="P13979" s="1" t="s">
        <v>470</v>
      </c>
      <c r="Q13979" s="1">
        <v>0</v>
      </c>
      <c r="R13979" s="1" t="s">
        <v>599</v>
      </c>
      <c r="S13979" s="1">
        <v>0</v>
      </c>
      <c r="T13979" s="1">
        <v>0</v>
      </c>
      <c r="V13979" s="1">
        <f t="shared" si="277"/>
        <v>0</v>
      </c>
      <c r="W13979" s="1">
        <v>0</v>
      </c>
      <c r="X13979" s="39">
        <v>1.1627906976743985</v>
      </c>
      <c r="Y13979" s="1">
        <v>1</v>
      </c>
      <c r="Z13979" s="6">
        <v>0</v>
      </c>
      <c r="AA13979" s="6">
        <v>0</v>
      </c>
    </row>
    <row r="13980" spans="1:27" x14ac:dyDescent="0.2">
      <c r="A13980" s="1">
        <v>65</v>
      </c>
      <c r="B13980" s="1" t="s">
        <v>164</v>
      </c>
      <c r="C13980" s="1" t="s">
        <v>165</v>
      </c>
      <c r="D13980" s="1">
        <v>1889</v>
      </c>
      <c r="E13980" s="11">
        <v>0</v>
      </c>
      <c r="G13980" s="1">
        <v>0</v>
      </c>
      <c r="H13980" s="1">
        <v>1</v>
      </c>
      <c r="I13980" s="1">
        <v>0.20619999999999999</v>
      </c>
      <c r="J13980" s="1">
        <f t="shared" si="276"/>
        <v>4.8496605237633368</v>
      </c>
      <c r="M13980" s="1" t="s">
        <v>677</v>
      </c>
      <c r="P13980" s="1" t="s">
        <v>470</v>
      </c>
      <c r="Q13980" s="1">
        <v>0</v>
      </c>
      <c r="S13980" s="1">
        <v>0</v>
      </c>
      <c r="T13980" s="1">
        <v>0</v>
      </c>
      <c r="V13980" s="1">
        <f t="shared" si="277"/>
        <v>0</v>
      </c>
      <c r="W13980" s="1">
        <v>0</v>
      </c>
      <c r="X13980" s="39">
        <v>1.1494252873563537</v>
      </c>
      <c r="Y13980" s="1">
        <v>1</v>
      </c>
      <c r="Z13980" s="6">
        <v>0</v>
      </c>
      <c r="AA13980" s="6">
        <v>0</v>
      </c>
    </row>
    <row r="13981" spans="1:27" x14ac:dyDescent="0.2">
      <c r="A13981" s="1">
        <v>65</v>
      </c>
      <c r="B13981" s="1" t="s">
        <v>164</v>
      </c>
      <c r="C13981" s="1" t="s">
        <v>165</v>
      </c>
      <c r="D13981" s="1">
        <v>1890</v>
      </c>
      <c r="E13981" s="21">
        <v>1</v>
      </c>
      <c r="F13981" s="1" t="s">
        <v>352</v>
      </c>
      <c r="G13981" s="1">
        <v>1</v>
      </c>
      <c r="H13981" s="1">
        <v>1</v>
      </c>
      <c r="I13981" s="1">
        <v>0.20569999999999999</v>
      </c>
      <c r="J13981" s="1">
        <f t="shared" si="276"/>
        <v>4.8614487117160916</v>
      </c>
      <c r="M13981" s="1" t="s">
        <v>677</v>
      </c>
      <c r="P13981" s="1" t="s">
        <v>470</v>
      </c>
      <c r="Q13981" s="1">
        <v>0</v>
      </c>
      <c r="S13981" s="1">
        <v>0</v>
      </c>
      <c r="T13981" s="1">
        <v>0</v>
      </c>
      <c r="V13981" s="1">
        <f t="shared" si="277"/>
        <v>0</v>
      </c>
      <c r="W13981" s="1">
        <v>0</v>
      </c>
      <c r="X13981" s="39">
        <v>0</v>
      </c>
      <c r="Y13981" s="1">
        <v>1</v>
      </c>
      <c r="Z13981" s="6">
        <v>0</v>
      </c>
      <c r="AA13981" s="6">
        <v>0</v>
      </c>
    </row>
    <row r="13982" spans="1:27" x14ac:dyDescent="0.2">
      <c r="A13982" s="1">
        <v>65</v>
      </c>
      <c r="B13982" s="1" t="s">
        <v>164</v>
      </c>
      <c r="C13982" s="1" t="s">
        <v>165</v>
      </c>
      <c r="D13982" s="1">
        <v>1891</v>
      </c>
      <c r="E13982" s="11">
        <v>0</v>
      </c>
      <c r="G13982" s="1">
        <v>0</v>
      </c>
      <c r="H13982" s="1">
        <v>1</v>
      </c>
      <c r="I13982" s="1">
        <v>0.2064</v>
      </c>
      <c r="J13982" s="1">
        <f t="shared" si="276"/>
        <v>4.8449612403100772</v>
      </c>
      <c r="M13982" s="1" t="s">
        <v>677</v>
      </c>
      <c r="P13982" s="1" t="s">
        <v>470</v>
      </c>
      <c r="Q13982" s="1">
        <v>0</v>
      </c>
      <c r="S13982" s="1">
        <v>0</v>
      </c>
      <c r="T13982" s="1">
        <v>0</v>
      </c>
      <c r="V13982" s="1">
        <f t="shared" si="277"/>
        <v>0</v>
      </c>
      <c r="W13982" s="1">
        <v>0</v>
      </c>
      <c r="X13982" s="39">
        <v>1.136363636363602</v>
      </c>
      <c r="Y13982" s="1">
        <v>1</v>
      </c>
      <c r="Z13982" s="6">
        <v>0</v>
      </c>
      <c r="AA13982" s="6">
        <v>0</v>
      </c>
    </row>
    <row r="13983" spans="1:27" x14ac:dyDescent="0.2">
      <c r="A13983" s="1">
        <v>65</v>
      </c>
      <c r="B13983" s="1" t="s">
        <v>164</v>
      </c>
      <c r="C13983" s="1" t="s">
        <v>165</v>
      </c>
      <c r="D13983" s="1">
        <v>1892</v>
      </c>
      <c r="E13983" s="11">
        <v>0</v>
      </c>
      <c r="G13983" s="1">
        <v>0</v>
      </c>
      <c r="H13983" s="1">
        <v>1</v>
      </c>
      <c r="I13983" s="1">
        <v>0.20469999999999999</v>
      </c>
      <c r="J13983" s="1">
        <f t="shared" si="276"/>
        <v>4.8851978505129461</v>
      </c>
      <c r="M13983" s="1" t="s">
        <v>677</v>
      </c>
      <c r="P13983" s="1" t="s">
        <v>470</v>
      </c>
      <c r="Q13983" s="1">
        <v>0</v>
      </c>
      <c r="S13983" s="1">
        <v>0</v>
      </c>
      <c r="T13983" s="1">
        <v>0</v>
      </c>
      <c r="V13983" s="1">
        <f t="shared" si="277"/>
        <v>0</v>
      </c>
      <c r="W13983" s="1">
        <v>0</v>
      </c>
      <c r="X13983" s="39">
        <v>0</v>
      </c>
      <c r="Y13983" s="1">
        <v>1</v>
      </c>
      <c r="Z13983" s="6">
        <v>0</v>
      </c>
      <c r="AA13983" s="6">
        <v>0</v>
      </c>
    </row>
    <row r="13984" spans="1:27" x14ac:dyDescent="0.2">
      <c r="A13984" s="1">
        <v>65</v>
      </c>
      <c r="B13984" s="1" t="s">
        <v>164</v>
      </c>
      <c r="C13984" s="1" t="s">
        <v>165</v>
      </c>
      <c r="D13984" s="1">
        <v>1893</v>
      </c>
      <c r="E13984" s="11">
        <v>0</v>
      </c>
      <c r="G13984" s="1">
        <v>0</v>
      </c>
      <c r="H13984" s="1">
        <v>1</v>
      </c>
      <c r="I13984" s="1">
        <v>0.2054</v>
      </c>
      <c r="J13984" s="1">
        <f t="shared" si="276"/>
        <v>4.8685491723466408</v>
      </c>
      <c r="M13984" s="1" t="s">
        <v>677</v>
      </c>
      <c r="P13984" s="1" t="s">
        <v>470</v>
      </c>
      <c r="Q13984" s="1">
        <v>0</v>
      </c>
      <c r="S13984" s="1">
        <v>0</v>
      </c>
      <c r="T13984" s="1">
        <v>0</v>
      </c>
      <c r="V13984" s="1">
        <f t="shared" si="277"/>
        <v>0</v>
      </c>
      <c r="W13984" s="1">
        <v>0</v>
      </c>
      <c r="X13984" s="39">
        <v>-1.1235955056179581</v>
      </c>
      <c r="Y13984" s="1">
        <v>1</v>
      </c>
      <c r="Z13984" s="6">
        <v>0</v>
      </c>
      <c r="AA13984" s="6">
        <v>0</v>
      </c>
    </row>
    <row r="13985" spans="1:27" x14ac:dyDescent="0.2">
      <c r="A13985" s="1">
        <v>65</v>
      </c>
      <c r="B13985" s="1" t="s">
        <v>164</v>
      </c>
      <c r="C13985" s="1" t="s">
        <v>165</v>
      </c>
      <c r="D13985" s="1">
        <v>1894</v>
      </c>
      <c r="E13985" s="11">
        <v>0</v>
      </c>
      <c r="G13985" s="1">
        <v>0</v>
      </c>
      <c r="H13985" s="1">
        <v>1</v>
      </c>
      <c r="I13985" s="1">
        <v>0.2049</v>
      </c>
      <c r="J13985" s="1">
        <f t="shared" si="276"/>
        <v>4.8804294777940456</v>
      </c>
      <c r="M13985" s="1" t="s">
        <v>677</v>
      </c>
      <c r="P13985" s="1" t="s">
        <v>470</v>
      </c>
      <c r="Q13985" s="1">
        <v>0</v>
      </c>
      <c r="S13985" s="1">
        <v>0</v>
      </c>
      <c r="T13985" s="1">
        <v>0</v>
      </c>
      <c r="V13985" s="1">
        <f t="shared" si="277"/>
        <v>0</v>
      </c>
      <c r="W13985" s="1">
        <v>0</v>
      </c>
      <c r="X13985" s="39">
        <v>-1.1363636363636798</v>
      </c>
      <c r="Y13985" s="1">
        <v>1</v>
      </c>
      <c r="Z13985" s="6">
        <v>0</v>
      </c>
      <c r="AA13985" s="6">
        <v>0</v>
      </c>
    </row>
    <row r="13986" spans="1:27" x14ac:dyDescent="0.2">
      <c r="A13986" s="1">
        <v>65</v>
      </c>
      <c r="B13986" s="1" t="s">
        <v>164</v>
      </c>
      <c r="C13986" s="1" t="s">
        <v>165</v>
      </c>
      <c r="D13986" s="1">
        <v>1895</v>
      </c>
      <c r="E13986" s="11">
        <v>0</v>
      </c>
      <c r="G13986" s="1">
        <v>0</v>
      </c>
      <c r="H13986" s="1">
        <v>1</v>
      </c>
      <c r="I13986" s="1">
        <v>0.2044</v>
      </c>
      <c r="J13986" s="1">
        <f t="shared" si="276"/>
        <v>4.8923679060665366</v>
      </c>
      <c r="M13986" s="1" t="s">
        <v>677</v>
      </c>
      <c r="P13986" s="1" t="s">
        <v>470</v>
      </c>
      <c r="Q13986" s="1">
        <v>0</v>
      </c>
      <c r="S13986" s="1">
        <v>0</v>
      </c>
      <c r="T13986" s="1">
        <v>0</v>
      </c>
      <c r="V13986" s="1">
        <f t="shared" si="277"/>
        <v>0</v>
      </c>
      <c r="W13986" s="1">
        <v>0</v>
      </c>
      <c r="X13986" s="39">
        <v>-1.1494252873562982</v>
      </c>
      <c r="Y13986" s="1">
        <v>1</v>
      </c>
      <c r="Z13986" s="6">
        <v>0</v>
      </c>
      <c r="AA13986" s="6">
        <v>0</v>
      </c>
    </row>
    <row r="13987" spans="1:27" x14ac:dyDescent="0.2">
      <c r="A13987" s="1">
        <v>65</v>
      </c>
      <c r="B13987" s="1" t="s">
        <v>164</v>
      </c>
      <c r="C13987" s="1" t="s">
        <v>165</v>
      </c>
      <c r="D13987" s="1">
        <v>1896</v>
      </c>
      <c r="E13987" s="11">
        <v>0</v>
      </c>
      <c r="G13987" s="1">
        <v>0</v>
      </c>
      <c r="H13987" s="1">
        <v>1</v>
      </c>
      <c r="I13987" s="1">
        <v>0.20530000000000001</v>
      </c>
      <c r="J13987" s="1">
        <f t="shared" si="276"/>
        <v>4.8709206039941551</v>
      </c>
      <c r="M13987" s="1" t="s">
        <v>677</v>
      </c>
      <c r="P13987" s="1" t="s">
        <v>470</v>
      </c>
      <c r="Q13987" s="1">
        <v>0</v>
      </c>
      <c r="S13987" s="1">
        <v>0</v>
      </c>
      <c r="T13987" s="1">
        <v>0</v>
      </c>
      <c r="V13987" s="1">
        <f t="shared" si="277"/>
        <v>0</v>
      </c>
      <c r="W13987" s="1">
        <v>0</v>
      </c>
      <c r="X13987" s="39">
        <v>-1.1627906976744096</v>
      </c>
      <c r="Y13987" s="1">
        <v>1</v>
      </c>
      <c r="Z13987" s="6">
        <v>0</v>
      </c>
      <c r="AA13987" s="6">
        <v>0</v>
      </c>
    </row>
    <row r="13988" spans="1:27" x14ac:dyDescent="0.2">
      <c r="A13988" s="1">
        <v>65</v>
      </c>
      <c r="B13988" s="1" t="s">
        <v>164</v>
      </c>
      <c r="C13988" s="1" t="s">
        <v>165</v>
      </c>
      <c r="D13988" s="1">
        <v>1897</v>
      </c>
      <c r="E13988" s="11">
        <v>0</v>
      </c>
      <c r="G13988" s="1">
        <v>0</v>
      </c>
      <c r="H13988" s="1">
        <v>1</v>
      </c>
      <c r="I13988" s="1">
        <v>0.20580000000000001</v>
      </c>
      <c r="J13988" s="1">
        <f t="shared" si="276"/>
        <v>4.8590864917395526</v>
      </c>
      <c r="M13988" s="1" t="s">
        <v>677</v>
      </c>
      <c r="P13988" s="1" t="s">
        <v>470</v>
      </c>
      <c r="Q13988" s="1">
        <v>0</v>
      </c>
      <c r="S13988" s="1">
        <v>0</v>
      </c>
      <c r="T13988" s="1">
        <v>0</v>
      </c>
      <c r="V13988" s="1">
        <f t="shared" si="277"/>
        <v>0</v>
      </c>
      <c r="W13988" s="1">
        <v>0</v>
      </c>
      <c r="X13988" s="39">
        <v>2.3529411764705577</v>
      </c>
      <c r="Y13988" s="1">
        <v>1</v>
      </c>
      <c r="Z13988" s="6">
        <v>0</v>
      </c>
      <c r="AA13988" s="6">
        <v>0</v>
      </c>
    </row>
    <row r="13989" spans="1:27" x14ac:dyDescent="0.2">
      <c r="A13989" s="1">
        <v>65</v>
      </c>
      <c r="B13989" s="1" t="s">
        <v>164</v>
      </c>
      <c r="C13989" s="1" t="s">
        <v>165</v>
      </c>
      <c r="D13989" s="1">
        <v>1898</v>
      </c>
      <c r="E13989" s="11">
        <v>0</v>
      </c>
      <c r="G13989" s="1">
        <v>0</v>
      </c>
      <c r="H13989" s="1">
        <v>1</v>
      </c>
      <c r="I13989" s="1">
        <v>0.20599999999999999</v>
      </c>
      <c r="J13989" s="1">
        <f t="shared" si="276"/>
        <v>4.8543689320388355</v>
      </c>
      <c r="M13989" s="1" t="s">
        <v>677</v>
      </c>
      <c r="P13989" s="1" t="s">
        <v>470</v>
      </c>
      <c r="Q13989" s="1">
        <v>0</v>
      </c>
      <c r="S13989" s="1">
        <v>0</v>
      </c>
      <c r="T13989" s="1">
        <v>0</v>
      </c>
      <c r="V13989" s="1">
        <f t="shared" si="277"/>
        <v>0</v>
      </c>
      <c r="W13989" s="1">
        <v>0</v>
      </c>
      <c r="X13989" s="39">
        <v>0</v>
      </c>
      <c r="Y13989" s="1">
        <v>1</v>
      </c>
      <c r="Z13989" s="6">
        <v>0</v>
      </c>
      <c r="AA13989" s="6">
        <v>0</v>
      </c>
    </row>
    <row r="13990" spans="1:27" x14ac:dyDescent="0.2">
      <c r="A13990" s="1">
        <v>65</v>
      </c>
      <c r="B13990" s="1" t="s">
        <v>164</v>
      </c>
      <c r="C13990" s="1" t="s">
        <v>165</v>
      </c>
      <c r="D13990" s="1">
        <v>1899</v>
      </c>
      <c r="E13990" s="11">
        <v>0</v>
      </c>
      <c r="G13990" s="1">
        <v>0</v>
      </c>
      <c r="H13990" s="1">
        <v>1</v>
      </c>
      <c r="I13990" s="1">
        <v>0.20469999999999999</v>
      </c>
      <c r="J13990" s="1">
        <f t="shared" si="276"/>
        <v>4.8851978505129461</v>
      </c>
      <c r="M13990" s="1" t="s">
        <v>677</v>
      </c>
      <c r="P13990" s="1" t="s">
        <v>470</v>
      </c>
      <c r="Q13990" s="1">
        <v>0</v>
      </c>
      <c r="S13990" s="1">
        <v>0</v>
      </c>
      <c r="T13990" s="1">
        <v>0</v>
      </c>
      <c r="V13990" s="1">
        <f t="shared" si="277"/>
        <v>0</v>
      </c>
      <c r="W13990" s="1">
        <v>0</v>
      </c>
      <c r="X13990" s="39">
        <v>1.1494252873563537</v>
      </c>
      <c r="Y13990" s="1">
        <v>1</v>
      </c>
      <c r="Z13990" s="6">
        <v>0</v>
      </c>
      <c r="AA13990" s="6">
        <v>0</v>
      </c>
    </row>
    <row r="13991" spans="1:27" x14ac:dyDescent="0.2">
      <c r="A13991" s="1">
        <v>65</v>
      </c>
      <c r="B13991" s="1" t="s">
        <v>164</v>
      </c>
      <c r="C13991" s="1" t="s">
        <v>165</v>
      </c>
      <c r="D13991" s="1">
        <v>1900</v>
      </c>
      <c r="E13991" s="11">
        <v>0</v>
      </c>
      <c r="G13991" s="1">
        <v>0</v>
      </c>
      <c r="H13991" s="1">
        <v>1</v>
      </c>
      <c r="I13991" s="1">
        <v>0.20610000000000001</v>
      </c>
      <c r="J13991" s="1">
        <f t="shared" si="276"/>
        <v>4.8520135856380397</v>
      </c>
      <c r="M13991" s="1" t="s">
        <v>677</v>
      </c>
      <c r="P13991" s="1" t="s">
        <v>470</v>
      </c>
      <c r="Q13991" s="1">
        <v>0</v>
      </c>
      <c r="S13991" s="1">
        <v>0</v>
      </c>
      <c r="T13991" s="1">
        <v>0</v>
      </c>
      <c r="V13991" s="1">
        <f t="shared" si="277"/>
        <v>0</v>
      </c>
      <c r="W13991" s="1">
        <v>0</v>
      </c>
      <c r="X13991" s="39">
        <v>4.5454545454545192</v>
      </c>
      <c r="Y13991" s="1">
        <v>1</v>
      </c>
      <c r="Z13991" s="6">
        <v>0</v>
      </c>
      <c r="AA13991" s="6">
        <v>0</v>
      </c>
    </row>
    <row r="13992" spans="1:27" ht="12.95" customHeight="1" x14ac:dyDescent="0.2">
      <c r="A13992" s="1">
        <v>65</v>
      </c>
      <c r="B13992" s="1" t="s">
        <v>164</v>
      </c>
      <c r="C13992" s="1" t="s">
        <v>165</v>
      </c>
      <c r="D13992" s="1">
        <v>1901</v>
      </c>
      <c r="E13992" s="11">
        <v>0</v>
      </c>
      <c r="G13992" s="1">
        <v>0</v>
      </c>
      <c r="H13992" s="1">
        <v>1</v>
      </c>
      <c r="I13992" s="1">
        <v>0.20569999999999999</v>
      </c>
      <c r="J13992" s="1">
        <f t="shared" si="276"/>
        <v>4.8614487117160916</v>
      </c>
      <c r="M13992" s="1" t="s">
        <v>677</v>
      </c>
      <c r="P13992" s="1" t="s">
        <v>470</v>
      </c>
      <c r="Q13992" s="1">
        <v>0</v>
      </c>
      <c r="S13992" s="1">
        <v>0</v>
      </c>
      <c r="T13992" s="1">
        <v>0</v>
      </c>
      <c r="V13992" s="1">
        <f t="shared" si="277"/>
        <v>0</v>
      </c>
      <c r="W13992" s="1">
        <v>0</v>
      </c>
      <c r="X13992" s="39">
        <v>0</v>
      </c>
      <c r="Y13992" s="1">
        <v>1</v>
      </c>
      <c r="Z13992" s="6">
        <v>0</v>
      </c>
      <c r="AA13992" s="6">
        <v>0</v>
      </c>
    </row>
    <row r="13993" spans="1:27" ht="12.95" customHeight="1" x14ac:dyDescent="0.2">
      <c r="A13993" s="1">
        <v>65</v>
      </c>
      <c r="B13993" s="1" t="s">
        <v>164</v>
      </c>
      <c r="C13993" s="1" t="s">
        <v>165</v>
      </c>
      <c r="D13993" s="1">
        <v>1902</v>
      </c>
      <c r="E13993" s="11">
        <v>0</v>
      </c>
      <c r="G13993" s="1">
        <v>0</v>
      </c>
      <c r="H13993" s="1">
        <v>1</v>
      </c>
      <c r="I13993" s="1">
        <v>0.20499999999999999</v>
      </c>
      <c r="J13993" s="1">
        <f t="shared" si="276"/>
        <v>4.8780487804878048</v>
      </c>
      <c r="M13993" s="1" t="s">
        <v>677</v>
      </c>
      <c r="P13993" s="1" t="s">
        <v>470</v>
      </c>
      <c r="Q13993" s="1">
        <v>0</v>
      </c>
      <c r="S13993" s="1">
        <v>0</v>
      </c>
      <c r="T13993" s="1">
        <v>0</v>
      </c>
      <c r="V13993" s="1">
        <f t="shared" si="277"/>
        <v>0</v>
      </c>
      <c r="W13993" s="1">
        <v>0</v>
      </c>
      <c r="X13993" s="39">
        <v>0</v>
      </c>
      <c r="Y13993" s="1">
        <v>1</v>
      </c>
      <c r="Z13993" s="6">
        <v>0</v>
      </c>
      <c r="AA13993" s="6">
        <v>0</v>
      </c>
    </row>
    <row r="13994" spans="1:27" x14ac:dyDescent="0.2">
      <c r="A13994" s="1">
        <v>65</v>
      </c>
      <c r="B13994" s="1" t="s">
        <v>164</v>
      </c>
      <c r="C13994" s="1" t="s">
        <v>165</v>
      </c>
      <c r="D13994" s="1">
        <v>1903</v>
      </c>
      <c r="E13994" s="11">
        <v>0</v>
      </c>
      <c r="G13994" s="1">
        <v>0</v>
      </c>
      <c r="H13994" s="1">
        <v>1</v>
      </c>
      <c r="I13994" s="1">
        <v>0.20669999999999999</v>
      </c>
      <c r="J13994" s="1">
        <f t="shared" si="276"/>
        <v>4.8379293662312532</v>
      </c>
      <c r="M13994" s="1" t="s">
        <v>677</v>
      </c>
      <c r="P13994" s="1" t="s">
        <v>470</v>
      </c>
      <c r="Q13994" s="1">
        <v>0</v>
      </c>
      <c r="S13994" s="1">
        <v>0</v>
      </c>
      <c r="T13994" s="1">
        <v>0</v>
      </c>
      <c r="V13994" s="1">
        <f t="shared" si="277"/>
        <v>0</v>
      </c>
      <c r="W13994" s="1">
        <v>0</v>
      </c>
      <c r="X13994" s="39">
        <v>1.0869565217391575</v>
      </c>
      <c r="Y13994" s="1">
        <v>1</v>
      </c>
      <c r="Z13994" s="6">
        <v>0</v>
      </c>
      <c r="AA13994" s="6">
        <v>0</v>
      </c>
    </row>
    <row r="13995" spans="1:27" x14ac:dyDescent="0.2">
      <c r="A13995" s="1">
        <v>65</v>
      </c>
      <c r="B13995" s="1" t="s">
        <v>164</v>
      </c>
      <c r="C13995" s="1" t="s">
        <v>165</v>
      </c>
      <c r="D13995" s="1">
        <v>1904</v>
      </c>
      <c r="E13995" s="11">
        <v>0</v>
      </c>
      <c r="G13995" s="1">
        <v>0</v>
      </c>
      <c r="H13995" s="1">
        <v>1</v>
      </c>
      <c r="I13995" s="1">
        <v>0.2051</v>
      </c>
      <c r="J13995" s="1">
        <f t="shared" si="276"/>
        <v>4.8756704046806432</v>
      </c>
      <c r="M13995" s="1" t="s">
        <v>677</v>
      </c>
      <c r="P13995" s="1" t="s">
        <v>470</v>
      </c>
      <c r="Q13995" s="1">
        <v>0</v>
      </c>
      <c r="S13995" s="1">
        <v>0</v>
      </c>
      <c r="T13995" s="1">
        <v>0</v>
      </c>
      <c r="V13995" s="1">
        <f t="shared" si="277"/>
        <v>0</v>
      </c>
      <c r="W13995" s="1">
        <v>0</v>
      </c>
      <c r="X13995" s="39">
        <v>0</v>
      </c>
      <c r="Y13995" s="1">
        <v>1</v>
      </c>
      <c r="Z13995" s="6">
        <v>0</v>
      </c>
      <c r="AA13995" s="6">
        <v>0</v>
      </c>
    </row>
    <row r="13996" spans="1:27" x14ac:dyDescent="0.2">
      <c r="A13996" s="1">
        <v>65</v>
      </c>
      <c r="B13996" s="1" t="s">
        <v>164</v>
      </c>
      <c r="C13996" s="1" t="s">
        <v>165</v>
      </c>
      <c r="D13996" s="1">
        <v>1905</v>
      </c>
      <c r="E13996" s="11">
        <v>0</v>
      </c>
      <c r="G13996" s="1">
        <v>0</v>
      </c>
      <c r="H13996" s="1">
        <v>1</v>
      </c>
      <c r="I13996" s="1">
        <v>0.2056</v>
      </c>
      <c r="J13996" s="1">
        <f t="shared" si="276"/>
        <v>4.863813229571984</v>
      </c>
      <c r="M13996" s="1" t="s">
        <v>677</v>
      </c>
      <c r="P13996" s="1" t="s">
        <v>470</v>
      </c>
      <c r="Q13996" s="1">
        <v>0</v>
      </c>
      <c r="S13996" s="1">
        <v>0</v>
      </c>
      <c r="T13996" s="1">
        <v>0</v>
      </c>
      <c r="V13996" s="1">
        <f t="shared" si="277"/>
        <v>0</v>
      </c>
      <c r="W13996" s="1">
        <v>0</v>
      </c>
      <c r="X13996" s="39">
        <v>0</v>
      </c>
      <c r="Y13996" s="1">
        <v>1</v>
      </c>
      <c r="Z13996" s="6">
        <v>0</v>
      </c>
      <c r="AA13996" s="6">
        <v>0</v>
      </c>
    </row>
    <row r="13997" spans="1:27" x14ac:dyDescent="0.2">
      <c r="A13997" s="1">
        <v>65</v>
      </c>
      <c r="B13997" s="1" t="s">
        <v>164</v>
      </c>
      <c r="C13997" s="1" t="s">
        <v>165</v>
      </c>
      <c r="D13997" s="1">
        <v>1906</v>
      </c>
      <c r="E13997" s="11">
        <v>0</v>
      </c>
      <c r="G13997" s="1">
        <v>0</v>
      </c>
      <c r="H13997" s="1">
        <v>1</v>
      </c>
      <c r="I13997" s="1">
        <v>0.20649999999999999</v>
      </c>
      <c r="J13997" s="1">
        <f t="shared" si="276"/>
        <v>4.8426150121065374</v>
      </c>
      <c r="M13997" s="1" t="s">
        <v>677</v>
      </c>
      <c r="P13997" s="1" t="s">
        <v>470</v>
      </c>
      <c r="Q13997" s="1">
        <v>0</v>
      </c>
      <c r="S13997" s="1">
        <v>0</v>
      </c>
      <c r="T13997" s="1">
        <v>0</v>
      </c>
      <c r="V13997" s="1">
        <f t="shared" si="277"/>
        <v>0</v>
      </c>
      <c r="W13997" s="1">
        <v>0</v>
      </c>
      <c r="X13997" s="39">
        <v>0</v>
      </c>
      <c r="Y13997" s="1">
        <v>1</v>
      </c>
      <c r="Z13997" s="6">
        <v>0</v>
      </c>
      <c r="AA13997" s="6">
        <v>0</v>
      </c>
    </row>
    <row r="13998" spans="1:27" x14ac:dyDescent="0.2">
      <c r="A13998" s="1">
        <v>65</v>
      </c>
      <c r="B13998" s="1" t="s">
        <v>164</v>
      </c>
      <c r="C13998" s="1" t="s">
        <v>165</v>
      </c>
      <c r="D13998" s="1">
        <v>1907</v>
      </c>
      <c r="E13998" s="11">
        <v>0</v>
      </c>
      <c r="G13998" s="1">
        <v>0</v>
      </c>
      <c r="H13998" s="1">
        <v>1</v>
      </c>
      <c r="I13998" s="1">
        <v>0.20549999999999999</v>
      </c>
      <c r="J13998" s="1">
        <f t="shared" si="276"/>
        <v>4.8661800486618008</v>
      </c>
      <c r="M13998" s="1" t="s">
        <v>677</v>
      </c>
      <c r="P13998" s="1" t="s">
        <v>470</v>
      </c>
      <c r="Q13998" s="1">
        <v>0</v>
      </c>
      <c r="S13998" s="1">
        <v>0</v>
      </c>
      <c r="T13998" s="1">
        <v>0</v>
      </c>
      <c r="V13998" s="1">
        <f t="shared" si="277"/>
        <v>0</v>
      </c>
      <c r="W13998" s="1">
        <v>0</v>
      </c>
      <c r="X13998" s="39">
        <v>1.0752688172042779</v>
      </c>
      <c r="Y13998" s="1">
        <v>1</v>
      </c>
      <c r="Z13998" s="6">
        <v>0</v>
      </c>
      <c r="AA13998" s="6">
        <v>0</v>
      </c>
    </row>
    <row r="13999" spans="1:27" x14ac:dyDescent="0.2">
      <c r="A13999" s="1">
        <v>65</v>
      </c>
      <c r="B13999" s="1" t="s">
        <v>164</v>
      </c>
      <c r="C13999" s="1" t="s">
        <v>165</v>
      </c>
      <c r="D13999" s="1">
        <v>1908</v>
      </c>
      <c r="E13999" s="21">
        <v>1</v>
      </c>
      <c r="F13999" s="1" t="s">
        <v>353</v>
      </c>
      <c r="G13999" s="1">
        <v>1</v>
      </c>
      <c r="H13999" s="1">
        <v>1</v>
      </c>
      <c r="I13999" s="1">
        <v>0.20519999999999999</v>
      </c>
      <c r="J13999" s="1">
        <f t="shared" si="276"/>
        <v>4.8732943469785575</v>
      </c>
      <c r="M13999" s="1" t="s">
        <v>677</v>
      </c>
      <c r="P13999" s="1" t="s">
        <v>470</v>
      </c>
      <c r="Q13999" s="1">
        <v>0</v>
      </c>
      <c r="S13999" s="1">
        <v>0</v>
      </c>
      <c r="T13999" s="1">
        <v>0</v>
      </c>
      <c r="V13999" s="1">
        <f t="shared" si="277"/>
        <v>0</v>
      </c>
      <c r="W13999" s="1">
        <v>0</v>
      </c>
      <c r="X13999" s="39">
        <v>0</v>
      </c>
      <c r="Y13999" s="1">
        <v>1</v>
      </c>
      <c r="Z13999" s="6">
        <v>0</v>
      </c>
      <c r="AA13999" s="6">
        <v>0</v>
      </c>
    </row>
    <row r="14000" spans="1:27" x14ac:dyDescent="0.2">
      <c r="A14000" s="1">
        <v>65</v>
      </c>
      <c r="B14000" s="1" t="s">
        <v>164</v>
      </c>
      <c r="C14000" s="1" t="s">
        <v>165</v>
      </c>
      <c r="D14000" s="1">
        <v>1909</v>
      </c>
      <c r="E14000" s="11">
        <v>0</v>
      </c>
      <c r="G14000" s="1">
        <v>0</v>
      </c>
      <c r="H14000" s="1">
        <v>1</v>
      </c>
      <c r="I14000" s="1">
        <v>0.20499999999999999</v>
      </c>
      <c r="J14000" s="1">
        <f t="shared" si="276"/>
        <v>4.8780487804878048</v>
      </c>
      <c r="M14000" s="1" t="s">
        <v>677</v>
      </c>
      <c r="P14000" s="1" t="s">
        <v>470</v>
      </c>
      <c r="Q14000" s="1">
        <v>0</v>
      </c>
      <c r="S14000" s="1">
        <v>0</v>
      </c>
      <c r="T14000" s="1">
        <v>0</v>
      </c>
      <c r="V14000" s="1">
        <f t="shared" si="277"/>
        <v>0</v>
      </c>
      <c r="W14000" s="1">
        <v>0</v>
      </c>
      <c r="X14000" s="39">
        <v>1.0638297872340496</v>
      </c>
      <c r="Y14000" s="1">
        <v>1</v>
      </c>
      <c r="Z14000" s="6">
        <v>0</v>
      </c>
      <c r="AA14000" s="6">
        <v>0</v>
      </c>
    </row>
    <row r="14001" spans="1:27" x14ac:dyDescent="0.2">
      <c r="A14001" s="1">
        <v>65</v>
      </c>
      <c r="B14001" s="1" t="s">
        <v>164</v>
      </c>
      <c r="C14001" s="1" t="s">
        <v>165</v>
      </c>
      <c r="D14001" s="1">
        <v>1910</v>
      </c>
      <c r="E14001" s="11">
        <v>0</v>
      </c>
      <c r="G14001" s="1">
        <v>0</v>
      </c>
      <c r="H14001" s="1">
        <v>1</v>
      </c>
      <c r="I14001" s="1">
        <v>0.2056</v>
      </c>
      <c r="J14001" s="1">
        <f t="shared" si="276"/>
        <v>4.863813229571984</v>
      </c>
      <c r="M14001" s="1" t="s">
        <v>677</v>
      </c>
      <c r="P14001" s="1" t="s">
        <v>470</v>
      </c>
      <c r="Q14001" s="1">
        <v>0</v>
      </c>
      <c r="S14001" s="1">
        <v>0</v>
      </c>
      <c r="T14001" s="1">
        <v>0</v>
      </c>
      <c r="V14001" s="1">
        <f t="shared" si="277"/>
        <v>0</v>
      </c>
      <c r="W14001" s="1">
        <v>0</v>
      </c>
      <c r="X14001" s="39">
        <v>1.0526315789473939</v>
      </c>
      <c r="Y14001" s="1">
        <v>1</v>
      </c>
      <c r="Z14001" s="6">
        <v>0</v>
      </c>
      <c r="AA14001" s="6">
        <v>0</v>
      </c>
    </row>
    <row r="14002" spans="1:27" x14ac:dyDescent="0.2">
      <c r="A14002" s="1">
        <v>65</v>
      </c>
      <c r="B14002" s="1" t="s">
        <v>164</v>
      </c>
      <c r="C14002" s="1" t="s">
        <v>165</v>
      </c>
      <c r="D14002" s="1">
        <v>1911</v>
      </c>
      <c r="E14002" s="11">
        <v>0</v>
      </c>
      <c r="G14002" s="1">
        <v>0</v>
      </c>
      <c r="H14002" s="1">
        <v>1</v>
      </c>
      <c r="I14002" s="1">
        <v>0.20530000000000001</v>
      </c>
      <c r="J14002" s="1">
        <f t="shared" si="276"/>
        <v>4.8709206039941551</v>
      </c>
      <c r="M14002" s="1" t="s">
        <v>677</v>
      </c>
      <c r="P14002" s="1" t="s">
        <v>470</v>
      </c>
      <c r="Q14002" s="1">
        <v>0</v>
      </c>
      <c r="S14002" s="1">
        <v>0</v>
      </c>
      <c r="T14002" s="1">
        <v>0</v>
      </c>
      <c r="V14002" s="1">
        <f t="shared" si="277"/>
        <v>0</v>
      </c>
      <c r="W14002" s="1">
        <v>0</v>
      </c>
      <c r="X14002" s="39">
        <v>0</v>
      </c>
      <c r="Y14002" s="1">
        <v>1</v>
      </c>
      <c r="Z14002" s="6">
        <v>0</v>
      </c>
      <c r="AA14002" s="6">
        <v>0</v>
      </c>
    </row>
    <row r="14003" spans="1:27" x14ac:dyDescent="0.2">
      <c r="A14003" s="1">
        <v>65</v>
      </c>
      <c r="B14003" s="1" t="s">
        <v>164</v>
      </c>
      <c r="C14003" s="1" t="s">
        <v>165</v>
      </c>
      <c r="D14003" s="1">
        <v>1912</v>
      </c>
      <c r="E14003" s="11">
        <v>0</v>
      </c>
      <c r="G14003" s="1">
        <v>0</v>
      </c>
      <c r="H14003" s="1">
        <v>1</v>
      </c>
      <c r="I14003" s="1">
        <v>0.20549999999999999</v>
      </c>
      <c r="J14003" s="1">
        <f t="shared" si="276"/>
        <v>4.8661800486618008</v>
      </c>
      <c r="M14003" s="1" t="s">
        <v>677</v>
      </c>
      <c r="P14003" s="1" t="s">
        <v>470</v>
      </c>
      <c r="Q14003" s="1">
        <v>0</v>
      </c>
      <c r="S14003" s="1">
        <v>0</v>
      </c>
      <c r="T14003" s="1">
        <v>0</v>
      </c>
      <c r="V14003" s="1">
        <f t="shared" si="277"/>
        <v>0</v>
      </c>
      <c r="W14003" s="1">
        <v>0</v>
      </c>
      <c r="X14003" s="39">
        <v>3.125</v>
      </c>
      <c r="Y14003" s="1">
        <v>1</v>
      </c>
      <c r="Z14003" s="6">
        <v>0</v>
      </c>
      <c r="AA14003" s="6">
        <v>0</v>
      </c>
    </row>
    <row r="14004" spans="1:27" ht="12.75" customHeight="1" x14ac:dyDescent="0.2">
      <c r="A14004" s="1">
        <v>65</v>
      </c>
      <c r="B14004" s="1" t="s">
        <v>164</v>
      </c>
      <c r="C14004" s="1" t="s">
        <v>165</v>
      </c>
      <c r="D14004" s="1">
        <v>1913</v>
      </c>
      <c r="E14004" s="11">
        <v>0</v>
      </c>
      <c r="G14004" s="1">
        <v>0</v>
      </c>
      <c r="H14004" s="1">
        <v>1</v>
      </c>
      <c r="I14004" s="1">
        <v>0.20580000000000001</v>
      </c>
      <c r="J14004" s="1">
        <f t="shared" si="276"/>
        <v>4.8590864917395526</v>
      </c>
      <c r="M14004" s="1" t="s">
        <v>677</v>
      </c>
      <c r="P14004" s="1" t="s">
        <v>470</v>
      </c>
      <c r="Q14004" s="1">
        <v>0</v>
      </c>
      <c r="S14004" s="1">
        <v>0</v>
      </c>
      <c r="T14004" s="1">
        <v>0</v>
      </c>
      <c r="V14004" s="1">
        <f t="shared" si="277"/>
        <v>0</v>
      </c>
      <c r="W14004" s="1">
        <v>0</v>
      </c>
      <c r="X14004" s="39">
        <v>-1.0101010101010055</v>
      </c>
      <c r="Y14004" s="1">
        <v>1</v>
      </c>
      <c r="Z14004" s="6">
        <v>0</v>
      </c>
      <c r="AA14004" s="6">
        <v>0</v>
      </c>
    </row>
    <row r="14005" spans="1:27" x14ac:dyDescent="0.2">
      <c r="A14005" s="1">
        <v>65</v>
      </c>
      <c r="B14005" s="1" t="s">
        <v>164</v>
      </c>
      <c r="C14005" s="1" t="s">
        <v>165</v>
      </c>
      <c r="D14005" s="1">
        <v>1914</v>
      </c>
      <c r="E14005" s="11">
        <v>0</v>
      </c>
      <c r="G14005" s="1">
        <v>0</v>
      </c>
      <c r="H14005" s="1">
        <v>1</v>
      </c>
      <c r="I14005" s="1">
        <v>0.2051</v>
      </c>
      <c r="J14005" s="1">
        <f t="shared" si="276"/>
        <v>4.8756704046806432</v>
      </c>
      <c r="M14005" s="1" t="s">
        <v>677</v>
      </c>
      <c r="P14005" s="1" t="s">
        <v>470</v>
      </c>
      <c r="Q14005" s="1">
        <v>0</v>
      </c>
      <c r="S14005" s="1">
        <v>0</v>
      </c>
      <c r="T14005" s="1">
        <v>0</v>
      </c>
      <c r="V14005" s="1">
        <f t="shared" si="277"/>
        <v>0</v>
      </c>
      <c r="W14005" s="1">
        <v>0</v>
      </c>
      <c r="X14005" s="39">
        <v>0</v>
      </c>
      <c r="Y14005" s="1">
        <v>1</v>
      </c>
      <c r="Z14005" s="6">
        <v>0</v>
      </c>
      <c r="AA14005" s="6">
        <v>0</v>
      </c>
    </row>
    <row r="14006" spans="1:27" x14ac:dyDescent="0.2">
      <c r="A14006" s="1">
        <v>65</v>
      </c>
      <c r="B14006" s="1" t="s">
        <v>164</v>
      </c>
      <c r="C14006" s="1" t="s">
        <v>165</v>
      </c>
      <c r="D14006" s="1">
        <v>1915</v>
      </c>
      <c r="E14006" s="11">
        <v>0</v>
      </c>
      <c r="G14006" s="1">
        <v>0</v>
      </c>
      <c r="H14006" s="1">
        <v>0</v>
      </c>
      <c r="I14006" s="1">
        <v>0.21149999999999999</v>
      </c>
      <c r="J14006" s="1">
        <f t="shared" si="276"/>
        <v>4.7281323877068555</v>
      </c>
      <c r="M14006" s="1" t="s">
        <v>677</v>
      </c>
      <c r="P14006" s="1" t="s">
        <v>470</v>
      </c>
      <c r="Q14006" s="1">
        <v>0</v>
      </c>
      <c r="S14006" s="1">
        <v>0</v>
      </c>
      <c r="T14006" s="1">
        <v>0</v>
      </c>
      <c r="V14006" s="1">
        <f t="shared" si="277"/>
        <v>0</v>
      </c>
      <c r="W14006" s="1">
        <v>1</v>
      </c>
      <c r="X14006" s="39">
        <v>12.244897959183664</v>
      </c>
      <c r="Y14006" s="1">
        <v>1</v>
      </c>
      <c r="Z14006" s="6">
        <v>0</v>
      </c>
      <c r="AA14006" s="6">
        <v>0</v>
      </c>
    </row>
    <row r="14007" spans="1:27" x14ac:dyDescent="0.2">
      <c r="A14007" s="1">
        <v>65</v>
      </c>
      <c r="B14007" s="1" t="s">
        <v>164</v>
      </c>
      <c r="C14007" s="1" t="s">
        <v>165</v>
      </c>
      <c r="D14007" s="1">
        <v>1916</v>
      </c>
      <c r="E14007" s="11">
        <v>0</v>
      </c>
      <c r="G14007" s="1">
        <v>0</v>
      </c>
      <c r="H14007" s="1">
        <v>0</v>
      </c>
      <c r="I14007" s="1">
        <v>0.2099</v>
      </c>
      <c r="J14007" s="1">
        <f t="shared" si="276"/>
        <v>4.7641734159123388</v>
      </c>
      <c r="M14007" s="1" t="s">
        <v>677</v>
      </c>
      <c r="P14007" s="1" t="s">
        <v>470</v>
      </c>
      <c r="Q14007" s="1">
        <v>0</v>
      </c>
      <c r="S14007" s="1">
        <v>0</v>
      </c>
      <c r="T14007" s="1">
        <v>0</v>
      </c>
      <c r="V14007" s="1">
        <f t="shared" si="277"/>
        <v>0</v>
      </c>
      <c r="W14007" s="1">
        <v>0</v>
      </c>
      <c r="X14007" s="39">
        <v>18.181818181818166</v>
      </c>
      <c r="Y14007" s="1">
        <v>1</v>
      </c>
      <c r="Z14007" s="6">
        <v>0</v>
      </c>
      <c r="AA14007" s="6">
        <v>0</v>
      </c>
    </row>
    <row r="14008" spans="1:27" x14ac:dyDescent="0.2">
      <c r="A14008" s="1">
        <v>65</v>
      </c>
      <c r="B14008" s="1" t="s">
        <v>164</v>
      </c>
      <c r="C14008" s="1" t="s">
        <v>165</v>
      </c>
      <c r="D14008" s="1">
        <v>1917</v>
      </c>
      <c r="E14008" s="11">
        <v>0</v>
      </c>
      <c r="G14008" s="1">
        <v>0</v>
      </c>
      <c r="H14008" s="1">
        <v>0</v>
      </c>
      <c r="I14008" s="1">
        <v>0.2099</v>
      </c>
      <c r="J14008" s="1">
        <f t="shared" si="276"/>
        <v>4.7641734159123388</v>
      </c>
      <c r="M14008" s="1" t="s">
        <v>677</v>
      </c>
      <c r="P14008" s="1" t="s">
        <v>470</v>
      </c>
      <c r="Q14008" s="1">
        <v>0</v>
      </c>
      <c r="S14008" s="1">
        <v>0</v>
      </c>
      <c r="T14008" s="1">
        <v>0</v>
      </c>
      <c r="V14008" s="1">
        <f t="shared" si="277"/>
        <v>0</v>
      </c>
      <c r="W14008" s="1">
        <v>1</v>
      </c>
      <c r="X14008" s="39">
        <v>25.384615384615383</v>
      </c>
      <c r="Y14008" s="1">
        <v>1</v>
      </c>
      <c r="Z14008" s="6">
        <v>0</v>
      </c>
      <c r="AA14008" s="6">
        <v>1</v>
      </c>
    </row>
    <row r="14009" spans="1:27" x14ac:dyDescent="0.2">
      <c r="A14009" s="1">
        <v>65</v>
      </c>
      <c r="B14009" s="1" t="s">
        <v>164</v>
      </c>
      <c r="C14009" s="1" t="s">
        <v>165</v>
      </c>
      <c r="D14009" s="1">
        <v>1918</v>
      </c>
      <c r="E14009" s="11">
        <v>0</v>
      </c>
      <c r="G14009" s="1">
        <v>0</v>
      </c>
      <c r="H14009" s="1">
        <v>0</v>
      </c>
      <c r="I14009" s="1">
        <v>0.20979999999999999</v>
      </c>
      <c r="J14009" s="1">
        <f t="shared" si="276"/>
        <v>4.7664442326024785</v>
      </c>
      <c r="M14009" s="1" t="s">
        <v>677</v>
      </c>
      <c r="P14009" s="1" t="s">
        <v>470</v>
      </c>
      <c r="Q14009" s="1">
        <v>0</v>
      </c>
      <c r="S14009" s="1">
        <v>0</v>
      </c>
      <c r="T14009" s="1">
        <v>0</v>
      </c>
      <c r="V14009" s="1">
        <f t="shared" si="277"/>
        <v>0</v>
      </c>
      <c r="W14009" s="1">
        <v>0</v>
      </c>
      <c r="X14009" s="39">
        <v>22.08588957055213</v>
      </c>
      <c r="Y14009" s="1">
        <v>1</v>
      </c>
      <c r="Z14009" s="6">
        <v>0</v>
      </c>
      <c r="AA14009" s="6">
        <v>1</v>
      </c>
    </row>
    <row r="14010" spans="1:27" x14ac:dyDescent="0.2">
      <c r="A14010" s="1">
        <v>65</v>
      </c>
      <c r="B14010" s="1" t="s">
        <v>164</v>
      </c>
      <c r="C14010" s="1" t="s">
        <v>165</v>
      </c>
      <c r="D14010" s="1">
        <v>1919</v>
      </c>
      <c r="E14010" s="11">
        <v>0</v>
      </c>
      <c r="G14010" s="1">
        <v>0</v>
      </c>
      <c r="H14010" s="1">
        <v>0</v>
      </c>
      <c r="I14010" s="1">
        <v>0.26229999999999998</v>
      </c>
      <c r="J14010" s="1">
        <f t="shared" si="276"/>
        <v>3.8124285169653072</v>
      </c>
      <c r="M14010" s="1" t="s">
        <v>677</v>
      </c>
      <c r="P14010" s="1" t="s">
        <v>470</v>
      </c>
      <c r="Q14010" s="1">
        <v>0</v>
      </c>
      <c r="S14010" s="1">
        <v>0</v>
      </c>
      <c r="T14010" s="1">
        <v>0</v>
      </c>
      <c r="V14010" s="1">
        <f t="shared" si="277"/>
        <v>0</v>
      </c>
      <c r="W14010" s="1">
        <v>0</v>
      </c>
      <c r="X14010" s="39">
        <v>10.050251256281406</v>
      </c>
      <c r="Y14010" s="1">
        <v>1</v>
      </c>
      <c r="Z14010" s="6">
        <v>1</v>
      </c>
      <c r="AA14010" s="6">
        <v>0</v>
      </c>
    </row>
    <row r="14011" spans="1:27" x14ac:dyDescent="0.2">
      <c r="A14011" s="1">
        <v>65</v>
      </c>
      <c r="B14011" s="1" t="s">
        <v>164</v>
      </c>
      <c r="C14011" s="1" t="s">
        <v>165</v>
      </c>
      <c r="D14011" s="1">
        <v>1920</v>
      </c>
      <c r="E14011" s="11">
        <v>0</v>
      </c>
      <c r="G14011" s="1">
        <v>0</v>
      </c>
      <c r="H14011" s="1">
        <v>0</v>
      </c>
      <c r="I14011" s="1">
        <v>0.2863</v>
      </c>
      <c r="J14011" s="1">
        <f t="shared" si="276"/>
        <v>3.4928396786587497</v>
      </c>
      <c r="M14011" s="1" t="s">
        <v>677</v>
      </c>
      <c r="P14011" s="1" t="s">
        <v>470</v>
      </c>
      <c r="Q14011" s="1">
        <v>0</v>
      </c>
      <c r="S14011" s="1">
        <v>0</v>
      </c>
      <c r="T14011" s="1">
        <v>0</v>
      </c>
      <c r="V14011" s="1">
        <f t="shared" si="277"/>
        <v>0</v>
      </c>
      <c r="W14011" s="1">
        <v>1</v>
      </c>
      <c r="X14011" s="39">
        <v>15.525114155251153</v>
      </c>
      <c r="Y14011" s="1">
        <v>1</v>
      </c>
      <c r="Z14011" s="6">
        <v>0</v>
      </c>
      <c r="AA14011" s="6">
        <v>0</v>
      </c>
    </row>
    <row r="14012" spans="1:27" x14ac:dyDescent="0.2">
      <c r="A14012" s="1">
        <v>65</v>
      </c>
      <c r="B14012" s="1" t="s">
        <v>164</v>
      </c>
      <c r="C14012" s="1" t="s">
        <v>165</v>
      </c>
      <c r="D14012" s="1">
        <v>1921</v>
      </c>
      <c r="E14012" s="11">
        <v>0</v>
      </c>
      <c r="G14012" s="1">
        <v>0</v>
      </c>
      <c r="H14012" s="1">
        <v>0</v>
      </c>
      <c r="I14012" s="1">
        <v>0.24060000000000001</v>
      </c>
      <c r="J14012" s="1">
        <f t="shared" si="276"/>
        <v>4.1562759767248547</v>
      </c>
      <c r="M14012" s="1" t="s">
        <v>677</v>
      </c>
      <c r="P14012" s="1" t="s">
        <v>470</v>
      </c>
      <c r="Q14012" s="1">
        <v>0</v>
      </c>
      <c r="S14012" s="1">
        <v>0</v>
      </c>
      <c r="T14012" s="1">
        <v>0</v>
      </c>
      <c r="V14012" s="1">
        <f t="shared" si="277"/>
        <v>0</v>
      </c>
      <c r="W14012" s="1">
        <v>0</v>
      </c>
      <c r="X14012" s="39">
        <v>-8.6956521739130483</v>
      </c>
      <c r="Y14012" s="1">
        <v>1</v>
      </c>
      <c r="Z14012" s="6">
        <v>0</v>
      </c>
      <c r="AA14012" s="6">
        <v>0</v>
      </c>
    </row>
    <row r="14013" spans="1:27" x14ac:dyDescent="0.2">
      <c r="A14013" s="1">
        <v>65</v>
      </c>
      <c r="B14013" s="1" t="s">
        <v>164</v>
      </c>
      <c r="C14013" s="1" t="s">
        <v>165</v>
      </c>
      <c r="D14013" s="1">
        <v>1922</v>
      </c>
      <c r="E14013" s="11">
        <v>0</v>
      </c>
      <c r="G14013" s="1">
        <v>0</v>
      </c>
      <c r="H14013" s="1">
        <v>0</v>
      </c>
      <c r="I14013" s="1">
        <v>0.21690000000000001</v>
      </c>
      <c r="J14013" s="1">
        <f t="shared" si="276"/>
        <v>4.6104195481788839</v>
      </c>
      <c r="M14013" s="1" t="s">
        <v>677</v>
      </c>
      <c r="P14013" s="1" t="s">
        <v>470</v>
      </c>
      <c r="Q14013" s="1">
        <v>0</v>
      </c>
      <c r="S14013" s="1">
        <v>0</v>
      </c>
      <c r="T14013" s="1">
        <v>0</v>
      </c>
      <c r="V14013" s="1">
        <f t="shared" si="277"/>
        <v>0</v>
      </c>
      <c r="W14013" s="1">
        <v>0</v>
      </c>
      <c r="X14013" s="39">
        <v>-13.852813852813862</v>
      </c>
      <c r="Y14013" s="1">
        <v>1</v>
      </c>
      <c r="Z14013" s="6">
        <v>0</v>
      </c>
      <c r="AA14013" s="6">
        <v>0</v>
      </c>
    </row>
    <row r="14014" spans="1:27" x14ac:dyDescent="0.2">
      <c r="A14014" s="1">
        <v>65</v>
      </c>
      <c r="B14014" s="1" t="s">
        <v>164</v>
      </c>
      <c r="C14014" s="1" t="s">
        <v>165</v>
      </c>
      <c r="D14014" s="1">
        <v>1923</v>
      </c>
      <c r="E14014" s="11">
        <v>0</v>
      </c>
      <c r="G14014" s="1">
        <v>0</v>
      </c>
      <c r="H14014" s="1">
        <v>0</v>
      </c>
      <c r="I14014" s="1">
        <v>0.2293</v>
      </c>
      <c r="J14014" s="1">
        <f t="shared" si="276"/>
        <v>4.3610989969472307</v>
      </c>
      <c r="M14014" s="1" t="s">
        <v>677</v>
      </c>
      <c r="P14014" s="1" t="s">
        <v>470</v>
      </c>
      <c r="Q14014" s="1">
        <v>0</v>
      </c>
      <c r="S14014" s="1">
        <v>0</v>
      </c>
      <c r="T14014" s="1">
        <v>0</v>
      </c>
      <c r="V14014" s="1">
        <f t="shared" si="277"/>
        <v>0</v>
      </c>
      <c r="W14014" s="1">
        <v>0</v>
      </c>
      <c r="X14014" s="39">
        <v>-6.0301507537688259</v>
      </c>
      <c r="Y14014" s="1">
        <v>1</v>
      </c>
      <c r="Z14014" s="6">
        <v>0</v>
      </c>
      <c r="AA14014" s="6">
        <v>0</v>
      </c>
    </row>
    <row r="14015" spans="1:27" x14ac:dyDescent="0.2">
      <c r="A14015" s="1">
        <v>65</v>
      </c>
      <c r="B14015" s="1" t="s">
        <v>164</v>
      </c>
      <c r="C14015" s="1" t="s">
        <v>165</v>
      </c>
      <c r="D14015" s="1">
        <v>1924</v>
      </c>
      <c r="E14015" s="11">
        <v>0</v>
      </c>
      <c r="G14015" s="1">
        <v>0</v>
      </c>
      <c r="H14015" s="1">
        <v>0</v>
      </c>
      <c r="I14015" s="1">
        <v>0.21290000000000001</v>
      </c>
      <c r="J14015" s="1">
        <f t="shared" si="276"/>
        <v>4.697040864255519</v>
      </c>
      <c r="M14015" s="1" t="s">
        <v>677</v>
      </c>
      <c r="P14015" s="1" t="s">
        <v>470</v>
      </c>
      <c r="Q14015" s="1">
        <v>0</v>
      </c>
      <c r="S14015" s="1">
        <v>0</v>
      </c>
      <c r="T14015" s="1">
        <v>0</v>
      </c>
      <c r="V14015" s="1">
        <f t="shared" si="277"/>
        <v>0</v>
      </c>
      <c r="W14015" s="1">
        <v>0</v>
      </c>
      <c r="X14015" s="39">
        <v>-0.53475935828876109</v>
      </c>
      <c r="Y14015" s="1">
        <v>1</v>
      </c>
      <c r="Z14015" s="6">
        <v>0</v>
      </c>
      <c r="AA14015" s="6">
        <v>0</v>
      </c>
    </row>
    <row r="14016" spans="1:27" x14ac:dyDescent="0.2">
      <c r="A14016" s="1">
        <v>65</v>
      </c>
      <c r="B14016" s="1" t="s">
        <v>164</v>
      </c>
      <c r="C14016" s="1" t="s">
        <v>165</v>
      </c>
      <c r="D14016" s="1">
        <v>1925</v>
      </c>
      <c r="E14016" s="11">
        <v>0</v>
      </c>
      <c r="G14016" s="1">
        <v>0</v>
      </c>
      <c r="H14016" s="1">
        <v>1</v>
      </c>
      <c r="I14016" s="1">
        <v>0.20619999999999999</v>
      </c>
      <c r="J14016" s="1">
        <f t="shared" si="276"/>
        <v>4.8496605237633368</v>
      </c>
      <c r="M14016" s="1" t="s">
        <v>677</v>
      </c>
      <c r="P14016" s="1" t="s">
        <v>470</v>
      </c>
      <c r="Q14016" s="1">
        <v>0</v>
      </c>
      <c r="S14016" s="1">
        <v>0</v>
      </c>
      <c r="T14016" s="1">
        <v>0</v>
      </c>
      <c r="V14016" s="1">
        <f t="shared" si="277"/>
        <v>0</v>
      </c>
      <c r="W14016" s="1">
        <v>0</v>
      </c>
      <c r="X14016" s="39">
        <v>0</v>
      </c>
      <c r="Y14016" s="1">
        <v>1</v>
      </c>
      <c r="Z14016" s="6">
        <v>0</v>
      </c>
      <c r="AA14016" s="6">
        <v>0</v>
      </c>
    </row>
    <row r="14017" spans="1:27" x14ac:dyDescent="0.2">
      <c r="A14017" s="1">
        <v>65</v>
      </c>
      <c r="B14017" s="1" t="s">
        <v>164</v>
      </c>
      <c r="C14017" s="1" t="s">
        <v>165</v>
      </c>
      <c r="D14017" s="1">
        <v>1926</v>
      </c>
      <c r="E14017" s="11">
        <v>0</v>
      </c>
      <c r="G14017" s="1">
        <v>0</v>
      </c>
      <c r="H14017" s="1">
        <v>1</v>
      </c>
      <c r="I14017" s="1">
        <v>0.20610000000000001</v>
      </c>
      <c r="J14017" s="1">
        <f t="shared" si="276"/>
        <v>4.8520135856380397</v>
      </c>
      <c r="M14017" s="1" t="s">
        <v>677</v>
      </c>
      <c r="P14017" s="1" t="s">
        <v>470</v>
      </c>
      <c r="Q14017" s="1">
        <v>0</v>
      </c>
      <c r="S14017" s="1">
        <v>0</v>
      </c>
      <c r="T14017" s="1">
        <v>0</v>
      </c>
      <c r="V14017" s="1">
        <f t="shared" si="277"/>
        <v>0</v>
      </c>
      <c r="W14017" s="1">
        <v>0</v>
      </c>
      <c r="X14017" s="39">
        <v>-0.53763440860218337</v>
      </c>
      <c r="Y14017" s="1">
        <v>1</v>
      </c>
      <c r="Z14017" s="6">
        <v>0</v>
      </c>
      <c r="AA14017" s="6">
        <v>0</v>
      </c>
    </row>
    <row r="14018" spans="1:27" x14ac:dyDescent="0.2">
      <c r="A14018" s="1">
        <v>65</v>
      </c>
      <c r="B14018" s="1" t="s">
        <v>164</v>
      </c>
      <c r="C14018" s="1" t="s">
        <v>165</v>
      </c>
      <c r="D14018" s="1">
        <v>1927</v>
      </c>
      <c r="E14018" s="11">
        <v>0</v>
      </c>
      <c r="G14018" s="1">
        <v>0</v>
      </c>
      <c r="H14018" s="1">
        <v>1</v>
      </c>
      <c r="I14018" s="1">
        <v>0.20480000000000001</v>
      </c>
      <c r="J14018" s="1">
        <f t="shared" si="276"/>
        <v>4.8828125</v>
      </c>
      <c r="M14018" s="1" t="s">
        <v>677</v>
      </c>
      <c r="P14018" s="1" t="s">
        <v>470</v>
      </c>
      <c r="Q14018" s="1">
        <v>0</v>
      </c>
      <c r="S14018" s="1">
        <v>0</v>
      </c>
      <c r="T14018" s="1">
        <v>0</v>
      </c>
      <c r="V14018" s="1">
        <f t="shared" si="277"/>
        <v>0</v>
      </c>
      <c r="W14018" s="1">
        <v>0</v>
      </c>
      <c r="X14018" s="39">
        <v>-2.7027027027027084</v>
      </c>
      <c r="Y14018" s="1">
        <v>1</v>
      </c>
      <c r="Z14018" s="6">
        <v>0</v>
      </c>
      <c r="AA14018" s="6">
        <v>0</v>
      </c>
    </row>
    <row r="14019" spans="1:27" x14ac:dyDescent="0.2">
      <c r="A14019" s="1">
        <v>65</v>
      </c>
      <c r="B14019" s="1" t="s">
        <v>164</v>
      </c>
      <c r="C14019" s="1" t="s">
        <v>165</v>
      </c>
      <c r="D14019" s="1">
        <v>1928</v>
      </c>
      <c r="E14019" s="11">
        <v>0</v>
      </c>
      <c r="G14019" s="1">
        <v>0</v>
      </c>
      <c r="H14019" s="1">
        <v>1</v>
      </c>
      <c r="I14019" s="1">
        <v>0.20610000000000001</v>
      </c>
      <c r="J14019" s="1">
        <f t="shared" ref="J14019:J14082" si="278">1/I14019</f>
        <v>4.8520135856380397</v>
      </c>
      <c r="M14019" s="1" t="s">
        <v>677</v>
      </c>
      <c r="P14019" s="1" t="s">
        <v>470</v>
      </c>
      <c r="Q14019" s="1">
        <v>0</v>
      </c>
      <c r="S14019" s="1">
        <v>0</v>
      </c>
      <c r="T14019" s="1">
        <v>0</v>
      </c>
      <c r="V14019" s="1">
        <f t="shared" ref="V14019:V14082" si="279">8.22*S14019</f>
        <v>0</v>
      </c>
      <c r="W14019" s="1">
        <v>0</v>
      </c>
      <c r="X14019" s="39">
        <v>0</v>
      </c>
      <c r="Y14019" s="1">
        <v>1</v>
      </c>
      <c r="Z14019" s="6">
        <v>0</v>
      </c>
      <c r="AA14019" s="6">
        <v>0</v>
      </c>
    </row>
    <row r="14020" spans="1:27" x14ac:dyDescent="0.2">
      <c r="A14020" s="1">
        <v>65</v>
      </c>
      <c r="B14020" s="1" t="s">
        <v>164</v>
      </c>
      <c r="C14020" s="1" t="s">
        <v>165</v>
      </c>
      <c r="D14020" s="1">
        <v>1929</v>
      </c>
      <c r="E14020" s="11">
        <v>0</v>
      </c>
      <c r="G14020" s="1">
        <v>0</v>
      </c>
      <c r="H14020" s="1">
        <v>1</v>
      </c>
      <c r="I14020" s="1">
        <v>0.20480000000000001</v>
      </c>
      <c r="J14020" s="1">
        <f t="shared" si="278"/>
        <v>4.8828125</v>
      </c>
      <c r="M14020" s="1" t="s">
        <v>677</v>
      </c>
      <c r="P14020" s="1" t="s">
        <v>470</v>
      </c>
      <c r="Q14020" s="1">
        <v>0</v>
      </c>
      <c r="S14020" s="1">
        <v>0</v>
      </c>
      <c r="T14020" s="1">
        <v>0</v>
      </c>
      <c r="V14020" s="1">
        <f t="shared" si="279"/>
        <v>0</v>
      </c>
      <c r="W14020" s="1">
        <v>0</v>
      </c>
      <c r="X14020" s="39">
        <v>-1.1111111111111072</v>
      </c>
      <c r="Y14020" s="1">
        <v>1</v>
      </c>
      <c r="Z14020" s="6">
        <v>0</v>
      </c>
      <c r="AA14020" s="6">
        <v>0</v>
      </c>
    </row>
    <row r="14021" spans="1:27" x14ac:dyDescent="0.2">
      <c r="A14021" s="1">
        <v>65</v>
      </c>
      <c r="B14021" s="1" t="s">
        <v>164</v>
      </c>
      <c r="C14021" s="1" t="s">
        <v>165</v>
      </c>
      <c r="D14021" s="1">
        <v>1930</v>
      </c>
      <c r="E14021" s="11">
        <v>0</v>
      </c>
      <c r="G14021" s="1">
        <v>0</v>
      </c>
      <c r="H14021" s="1">
        <v>1</v>
      </c>
      <c r="I14021" s="1">
        <v>0.2059</v>
      </c>
      <c r="J14021" s="1">
        <f t="shared" si="278"/>
        <v>4.8567265662943173</v>
      </c>
      <c r="M14021" s="1" t="s">
        <v>677</v>
      </c>
      <c r="P14021" s="1" t="s">
        <v>470</v>
      </c>
      <c r="Q14021" s="1">
        <v>0</v>
      </c>
      <c r="S14021" s="1">
        <v>0</v>
      </c>
      <c r="T14021" s="1">
        <v>0</v>
      </c>
      <c r="V14021" s="1">
        <f t="shared" si="279"/>
        <v>0</v>
      </c>
      <c r="W14021" s="1">
        <v>0</v>
      </c>
      <c r="X14021" s="39">
        <v>-2.8089887640449507</v>
      </c>
      <c r="Y14021" s="1">
        <v>1</v>
      </c>
      <c r="Z14021" s="6">
        <v>0</v>
      </c>
      <c r="AA14021" s="6">
        <v>0</v>
      </c>
    </row>
    <row r="14022" spans="1:27" x14ac:dyDescent="0.2">
      <c r="A14022" s="1">
        <v>65</v>
      </c>
      <c r="B14022" s="1" t="s">
        <v>164</v>
      </c>
      <c r="C14022" s="1" t="s">
        <v>165</v>
      </c>
      <c r="D14022" s="1">
        <v>1931</v>
      </c>
      <c r="E14022" s="11">
        <v>0</v>
      </c>
      <c r="F14022" s="1" t="s">
        <v>358</v>
      </c>
      <c r="G14022" s="1">
        <v>1</v>
      </c>
      <c r="H14022" s="1">
        <v>1</v>
      </c>
      <c r="I14022" s="1">
        <v>0.2964</v>
      </c>
      <c r="J14022" s="1">
        <f t="shared" si="278"/>
        <v>3.3738191632928474</v>
      </c>
      <c r="M14022" s="1" t="s">
        <v>677</v>
      </c>
      <c r="P14022" s="1" t="s">
        <v>470</v>
      </c>
      <c r="Q14022" s="1">
        <v>0</v>
      </c>
      <c r="S14022" s="1">
        <v>0</v>
      </c>
      <c r="T14022" s="1">
        <v>0</v>
      </c>
      <c r="V14022" s="1">
        <f t="shared" si="279"/>
        <v>0</v>
      </c>
      <c r="W14022" s="1">
        <v>1</v>
      </c>
      <c r="X14022" s="39">
        <v>-4.0462427745664549</v>
      </c>
      <c r="Y14022" s="1">
        <v>1</v>
      </c>
      <c r="Z14022" s="6">
        <v>1</v>
      </c>
      <c r="AA14022" s="6">
        <v>0</v>
      </c>
    </row>
    <row r="14023" spans="1:27" x14ac:dyDescent="0.2">
      <c r="A14023" s="1">
        <v>65</v>
      </c>
      <c r="B14023" s="1" t="s">
        <v>164</v>
      </c>
      <c r="C14023" s="1" t="s">
        <v>165</v>
      </c>
      <c r="D14023" s="1">
        <v>1932</v>
      </c>
      <c r="E14023" s="11">
        <v>0</v>
      </c>
      <c r="G14023" s="1">
        <v>0</v>
      </c>
      <c r="H14023" s="1">
        <v>0</v>
      </c>
      <c r="I14023" s="1">
        <v>0.30499999999999999</v>
      </c>
      <c r="J14023" s="1">
        <f t="shared" si="278"/>
        <v>3.278688524590164</v>
      </c>
      <c r="M14023" s="1" t="s">
        <v>677</v>
      </c>
      <c r="P14023" s="1" t="s">
        <v>470</v>
      </c>
      <c r="Q14023" s="1">
        <v>1</v>
      </c>
      <c r="S14023" s="1">
        <v>0</v>
      </c>
      <c r="T14023" s="1">
        <v>0</v>
      </c>
      <c r="V14023" s="1">
        <f t="shared" si="279"/>
        <v>0</v>
      </c>
      <c r="W14023" s="1">
        <v>0</v>
      </c>
      <c r="X14023" s="39">
        <v>-2.4096385542168863</v>
      </c>
      <c r="Y14023" s="1">
        <v>1</v>
      </c>
      <c r="Z14023" s="6">
        <v>0</v>
      </c>
      <c r="AA14023" s="6">
        <v>0</v>
      </c>
    </row>
    <row r="14024" spans="1:27" x14ac:dyDescent="0.2">
      <c r="A14024" s="1">
        <v>65</v>
      </c>
      <c r="B14024" s="1" t="s">
        <v>164</v>
      </c>
      <c r="C14024" s="1" t="s">
        <v>165</v>
      </c>
      <c r="D14024" s="1">
        <v>1933</v>
      </c>
      <c r="E14024" s="11">
        <v>0</v>
      </c>
      <c r="G14024" s="1">
        <v>0</v>
      </c>
      <c r="H14024" s="1">
        <v>0</v>
      </c>
      <c r="I14024" s="1">
        <v>0.19550000000000001</v>
      </c>
      <c r="J14024" s="1">
        <f t="shared" si="278"/>
        <v>5.1150895140664963</v>
      </c>
      <c r="M14024" s="1" t="s">
        <v>677</v>
      </c>
      <c r="P14024" s="1" t="s">
        <v>470</v>
      </c>
      <c r="Q14024" s="1">
        <v>0</v>
      </c>
      <c r="S14024" s="1">
        <v>0</v>
      </c>
      <c r="T14024" s="1">
        <v>0</v>
      </c>
      <c r="V14024" s="1">
        <f t="shared" si="279"/>
        <v>0</v>
      </c>
      <c r="W14024" s="1">
        <v>0</v>
      </c>
      <c r="X14024" s="39">
        <v>-2.4691358024691357</v>
      </c>
      <c r="Y14024" s="1">
        <v>1</v>
      </c>
      <c r="Z14024" s="6">
        <v>0</v>
      </c>
      <c r="AA14024" s="6">
        <v>0</v>
      </c>
    </row>
    <row r="14025" spans="1:27" x14ac:dyDescent="0.2">
      <c r="A14025" s="1">
        <v>65</v>
      </c>
      <c r="B14025" s="1" t="s">
        <v>164</v>
      </c>
      <c r="C14025" s="1" t="s">
        <v>165</v>
      </c>
      <c r="D14025" s="1">
        <v>1934</v>
      </c>
      <c r="E14025" s="11">
        <v>0</v>
      </c>
      <c r="G14025" s="1">
        <v>0</v>
      </c>
      <c r="H14025" s="1">
        <v>0</v>
      </c>
      <c r="I14025" s="1">
        <v>0.20219999999999999</v>
      </c>
      <c r="J14025" s="1">
        <f t="shared" si="278"/>
        <v>4.9455984174085064</v>
      </c>
      <c r="M14025" s="1" t="s">
        <v>677</v>
      </c>
      <c r="P14025" s="1" t="s">
        <v>470</v>
      </c>
      <c r="Q14025" s="1">
        <v>0</v>
      </c>
      <c r="S14025" s="1">
        <v>0</v>
      </c>
      <c r="T14025" s="1">
        <v>0</v>
      </c>
      <c r="V14025" s="1">
        <f t="shared" si="279"/>
        <v>0</v>
      </c>
      <c r="W14025" s="1">
        <v>0</v>
      </c>
      <c r="X14025" s="39">
        <v>0</v>
      </c>
      <c r="Y14025" s="1">
        <v>1</v>
      </c>
      <c r="Z14025" s="6">
        <v>0</v>
      </c>
      <c r="AA14025" s="6">
        <v>0</v>
      </c>
    </row>
    <row r="14026" spans="1:27" x14ac:dyDescent="0.2">
      <c r="A14026" s="1">
        <v>65</v>
      </c>
      <c r="B14026" s="1" t="s">
        <v>164</v>
      </c>
      <c r="C14026" s="1" t="s">
        <v>165</v>
      </c>
      <c r="D14026" s="1">
        <v>1935</v>
      </c>
      <c r="E14026" s="11">
        <v>0</v>
      </c>
      <c r="G14026" s="1">
        <v>0</v>
      </c>
      <c r="H14026" s="1">
        <v>0</v>
      </c>
      <c r="I14026" s="1">
        <v>0.2029</v>
      </c>
      <c r="J14026" s="1">
        <f t="shared" si="278"/>
        <v>4.9285362247412516</v>
      </c>
      <c r="M14026" s="1" t="s">
        <v>677</v>
      </c>
      <c r="P14026" s="1" t="s">
        <v>470</v>
      </c>
      <c r="Q14026" s="1">
        <v>0</v>
      </c>
      <c r="S14026" s="1">
        <v>0</v>
      </c>
      <c r="T14026" s="1">
        <v>0</v>
      </c>
      <c r="V14026" s="1">
        <f t="shared" si="279"/>
        <v>0</v>
      </c>
      <c r="W14026" s="1">
        <v>0</v>
      </c>
      <c r="X14026" s="39">
        <v>0.63291139240506666</v>
      </c>
      <c r="Y14026" s="1">
        <v>1</v>
      </c>
      <c r="Z14026" s="6">
        <v>0</v>
      </c>
      <c r="AA14026" s="6">
        <v>0</v>
      </c>
    </row>
    <row r="14027" spans="1:27" x14ac:dyDescent="0.2">
      <c r="A14027" s="1">
        <v>65</v>
      </c>
      <c r="B14027" s="1" t="s">
        <v>164</v>
      </c>
      <c r="C14027" s="1" t="s">
        <v>165</v>
      </c>
      <c r="D14027" s="1">
        <v>1936</v>
      </c>
      <c r="E14027" s="11">
        <v>0</v>
      </c>
      <c r="G14027" s="1">
        <v>0</v>
      </c>
      <c r="H14027" s="1">
        <v>0</v>
      </c>
      <c r="I14027" s="1">
        <v>0.20380000000000001</v>
      </c>
      <c r="J14027" s="1">
        <f t="shared" si="278"/>
        <v>4.9067713444553478</v>
      </c>
      <c r="M14027" s="1" t="s">
        <v>677</v>
      </c>
      <c r="P14027" s="1" t="s">
        <v>470</v>
      </c>
      <c r="Q14027" s="1">
        <v>0</v>
      </c>
      <c r="S14027" s="1">
        <v>0</v>
      </c>
      <c r="T14027" s="1">
        <v>0</v>
      </c>
      <c r="V14027" s="1">
        <f t="shared" si="279"/>
        <v>0</v>
      </c>
      <c r="W14027" s="1">
        <v>0</v>
      </c>
      <c r="X14027" s="39">
        <v>0.62893081761006275</v>
      </c>
      <c r="Y14027" s="1">
        <v>1</v>
      </c>
      <c r="Z14027" s="6">
        <v>0</v>
      </c>
      <c r="AA14027" s="6">
        <v>0</v>
      </c>
    </row>
    <row r="14028" spans="1:27" x14ac:dyDescent="0.2">
      <c r="A14028" s="1">
        <v>65</v>
      </c>
      <c r="B14028" s="1" t="s">
        <v>164</v>
      </c>
      <c r="C14028" s="1" t="s">
        <v>165</v>
      </c>
      <c r="D14028" s="1">
        <v>1937</v>
      </c>
      <c r="E14028" s="11">
        <v>0</v>
      </c>
      <c r="G14028" s="1">
        <v>0</v>
      </c>
      <c r="H14028" s="1">
        <v>0</v>
      </c>
      <c r="I14028" s="1">
        <v>0.2001</v>
      </c>
      <c r="J14028" s="1">
        <f t="shared" si="278"/>
        <v>4.9975012493753121</v>
      </c>
      <c r="M14028" s="1" t="s">
        <v>677</v>
      </c>
      <c r="P14028" s="1" t="s">
        <v>470</v>
      </c>
      <c r="Q14028" s="1">
        <v>0</v>
      </c>
      <c r="S14028" s="1">
        <v>0</v>
      </c>
      <c r="T14028" s="1">
        <v>0</v>
      </c>
      <c r="V14028" s="1">
        <f t="shared" si="279"/>
        <v>0</v>
      </c>
      <c r="W14028" s="1">
        <v>1</v>
      </c>
      <c r="X14028" s="39">
        <v>3.7500000000000089</v>
      </c>
      <c r="Y14028" s="1">
        <v>1</v>
      </c>
      <c r="Z14028" s="6">
        <v>0</v>
      </c>
      <c r="AA14028" s="6">
        <v>0</v>
      </c>
    </row>
    <row r="14029" spans="1:27" x14ac:dyDescent="0.2">
      <c r="A14029" s="1">
        <v>65</v>
      </c>
      <c r="B14029" s="1" t="s">
        <v>164</v>
      </c>
      <c r="C14029" s="1" t="s">
        <v>165</v>
      </c>
      <c r="D14029" s="1">
        <v>1938</v>
      </c>
      <c r="E14029" s="11">
        <v>0</v>
      </c>
      <c r="G14029" s="1">
        <v>0</v>
      </c>
      <c r="H14029" s="1">
        <v>0</v>
      </c>
      <c r="I14029" s="1">
        <v>0.21410000000000001</v>
      </c>
      <c r="J14029" s="1">
        <f t="shared" si="278"/>
        <v>4.6707146193367581</v>
      </c>
      <c r="M14029" s="1" t="s">
        <v>677</v>
      </c>
      <c r="P14029" s="1" t="s">
        <v>470</v>
      </c>
      <c r="Q14029" s="1">
        <v>0</v>
      </c>
      <c r="S14029" s="1">
        <v>0</v>
      </c>
      <c r="T14029" s="1">
        <v>0</v>
      </c>
      <c r="V14029" s="1">
        <f t="shared" si="279"/>
        <v>0</v>
      </c>
      <c r="W14029" s="1">
        <v>0</v>
      </c>
      <c r="X14029" s="39">
        <v>1.2048192771084265</v>
      </c>
      <c r="Y14029" s="1">
        <v>1</v>
      </c>
      <c r="Z14029" s="6">
        <v>0</v>
      </c>
      <c r="AA14029" s="6">
        <v>0</v>
      </c>
    </row>
    <row r="14030" spans="1:27" x14ac:dyDescent="0.2">
      <c r="A14030" s="1">
        <v>65</v>
      </c>
      <c r="B14030" s="1" t="s">
        <v>164</v>
      </c>
      <c r="C14030" s="1" t="s">
        <v>165</v>
      </c>
      <c r="D14030" s="1">
        <v>1939</v>
      </c>
      <c r="E14030" s="11">
        <v>0</v>
      </c>
      <c r="G14030" s="1">
        <v>0</v>
      </c>
      <c r="H14030" s="1">
        <v>0</v>
      </c>
      <c r="I14030" s="1">
        <v>0.25440000000000002</v>
      </c>
      <c r="J14030" s="1">
        <f t="shared" si="278"/>
        <v>3.9308176100628929</v>
      </c>
      <c r="M14030" s="1" t="s">
        <v>677</v>
      </c>
      <c r="P14030" s="1" t="s">
        <v>470</v>
      </c>
      <c r="Q14030" s="1">
        <v>0</v>
      </c>
      <c r="S14030" s="1">
        <v>0</v>
      </c>
      <c r="T14030" s="1">
        <v>0</v>
      </c>
      <c r="V14030" s="1">
        <f t="shared" si="279"/>
        <v>0</v>
      </c>
      <c r="W14030" s="1">
        <v>0</v>
      </c>
      <c r="X14030" s="39">
        <v>2.9761904761904656</v>
      </c>
      <c r="Y14030" s="1">
        <v>1</v>
      </c>
      <c r="Z14030" s="6">
        <v>1</v>
      </c>
      <c r="AA14030" s="6">
        <v>0</v>
      </c>
    </row>
    <row r="14031" spans="1:27" x14ac:dyDescent="0.2">
      <c r="A14031" s="1">
        <v>65</v>
      </c>
      <c r="B14031" s="1" t="s">
        <v>164</v>
      </c>
      <c r="C14031" s="1" t="s">
        <v>165</v>
      </c>
      <c r="D14031" s="1">
        <v>1940</v>
      </c>
      <c r="E14031" s="11">
        <v>0</v>
      </c>
      <c r="G14031" s="1">
        <v>0</v>
      </c>
      <c r="H14031" s="1">
        <v>0</v>
      </c>
      <c r="I14031" s="1">
        <v>0.24779999999999999</v>
      </c>
      <c r="J14031" s="1">
        <f t="shared" si="278"/>
        <v>4.0355125100887816</v>
      </c>
      <c r="M14031" s="1" t="s">
        <v>677</v>
      </c>
      <c r="P14031" s="1" t="s">
        <v>470</v>
      </c>
      <c r="Q14031" s="1">
        <v>0</v>
      </c>
      <c r="S14031" s="1">
        <v>0</v>
      </c>
      <c r="T14031" s="1">
        <v>0</v>
      </c>
      <c r="V14031" s="1">
        <f t="shared" si="279"/>
        <v>0</v>
      </c>
      <c r="W14031" s="1">
        <v>1</v>
      </c>
      <c r="X14031" s="39">
        <v>16.763005780346816</v>
      </c>
      <c r="Y14031" s="1">
        <v>1</v>
      </c>
      <c r="Z14031" s="6">
        <v>0</v>
      </c>
      <c r="AA14031" s="6">
        <v>1</v>
      </c>
    </row>
    <row r="14032" spans="1:27" x14ac:dyDescent="0.2">
      <c r="A14032" s="1">
        <v>65</v>
      </c>
      <c r="B14032" s="1" t="s">
        <v>164</v>
      </c>
      <c r="C14032" s="1" t="s">
        <v>165</v>
      </c>
      <c r="D14032" s="1">
        <v>1941</v>
      </c>
      <c r="E14032" s="11">
        <v>0</v>
      </c>
      <c r="G14032" s="1">
        <v>0</v>
      </c>
      <c r="H14032" s="1">
        <v>0</v>
      </c>
      <c r="I14032" s="1">
        <v>0.24779999999999999</v>
      </c>
      <c r="J14032" s="1">
        <f t="shared" si="278"/>
        <v>4.0355125100887816</v>
      </c>
      <c r="M14032" s="1" t="s">
        <v>677</v>
      </c>
      <c r="P14032" s="1" t="s">
        <v>470</v>
      </c>
      <c r="Q14032" s="1">
        <v>0</v>
      </c>
      <c r="S14032" s="1">
        <v>0</v>
      </c>
      <c r="T14032" s="1">
        <v>0</v>
      </c>
      <c r="V14032" s="1">
        <f t="shared" si="279"/>
        <v>0</v>
      </c>
      <c r="W14032" s="1">
        <v>0</v>
      </c>
      <c r="X14032" s="39">
        <v>10.891089108910901</v>
      </c>
      <c r="Y14032" s="1">
        <v>1</v>
      </c>
      <c r="Z14032" s="6">
        <v>0</v>
      </c>
      <c r="AA14032" s="6">
        <v>0</v>
      </c>
    </row>
    <row r="14033" spans="1:27" x14ac:dyDescent="0.2">
      <c r="A14033" s="1">
        <v>65</v>
      </c>
      <c r="B14033" s="1" t="s">
        <v>164</v>
      </c>
      <c r="C14033" s="1" t="s">
        <v>165</v>
      </c>
      <c r="D14033" s="1">
        <v>1942</v>
      </c>
      <c r="E14033" s="11">
        <v>0</v>
      </c>
      <c r="G14033" s="1">
        <v>0</v>
      </c>
      <c r="H14033" s="1">
        <v>0</v>
      </c>
      <c r="I14033" s="1">
        <v>0.24779999999999999</v>
      </c>
      <c r="J14033" s="1">
        <f t="shared" si="278"/>
        <v>4.0355125100887816</v>
      </c>
      <c r="M14033" s="1" t="s">
        <v>677</v>
      </c>
      <c r="P14033" s="1" t="s">
        <v>470</v>
      </c>
      <c r="Q14033" s="1">
        <v>0</v>
      </c>
      <c r="S14033" s="1">
        <v>0</v>
      </c>
      <c r="T14033" s="1">
        <v>0</v>
      </c>
      <c r="V14033" s="1">
        <f t="shared" si="279"/>
        <v>0</v>
      </c>
      <c r="W14033" s="1">
        <v>0</v>
      </c>
      <c r="X14033" s="39">
        <v>7.1428571428571619</v>
      </c>
      <c r="Y14033" s="1">
        <v>1</v>
      </c>
      <c r="Z14033" s="6">
        <v>0</v>
      </c>
      <c r="AA14033" s="6">
        <v>0</v>
      </c>
    </row>
    <row r="14034" spans="1:27" ht="12.95" customHeight="1" x14ac:dyDescent="0.2">
      <c r="A14034" s="1">
        <v>65</v>
      </c>
      <c r="B14034" s="1" t="s">
        <v>164</v>
      </c>
      <c r="C14034" s="1" t="s">
        <v>165</v>
      </c>
      <c r="D14034" s="1">
        <v>1943</v>
      </c>
      <c r="E14034" s="11">
        <v>0</v>
      </c>
      <c r="G14034" s="1">
        <v>0</v>
      </c>
      <c r="H14034" s="1">
        <v>0</v>
      </c>
      <c r="I14034" s="1">
        <v>0.24779999999999999</v>
      </c>
      <c r="J14034" s="1">
        <f t="shared" si="278"/>
        <v>4.0355125100887816</v>
      </c>
      <c r="M14034" s="1" t="s">
        <v>677</v>
      </c>
      <c r="P14034" s="1" t="s">
        <v>470</v>
      </c>
      <c r="Q14034" s="1">
        <v>0</v>
      </c>
      <c r="S14034" s="1">
        <v>0</v>
      </c>
      <c r="T14034" s="1">
        <v>0</v>
      </c>
      <c r="V14034" s="1">
        <f t="shared" si="279"/>
        <v>0</v>
      </c>
      <c r="W14034" s="1">
        <v>0</v>
      </c>
      <c r="X14034" s="39">
        <v>3.3333333333333215</v>
      </c>
      <c r="Y14034" s="1">
        <v>1</v>
      </c>
      <c r="Z14034" s="6">
        <v>0</v>
      </c>
      <c r="AA14034" s="6">
        <v>0</v>
      </c>
    </row>
    <row r="14035" spans="1:27" ht="12.95" customHeight="1" x14ac:dyDescent="0.2">
      <c r="A14035" s="1">
        <v>65</v>
      </c>
      <c r="B14035" s="1" t="s">
        <v>164</v>
      </c>
      <c r="C14035" s="1" t="s">
        <v>165</v>
      </c>
      <c r="D14035" s="1">
        <v>1944</v>
      </c>
      <c r="E14035" s="11">
        <v>0</v>
      </c>
      <c r="G14035" s="1">
        <v>0</v>
      </c>
      <c r="H14035" s="1">
        <v>0</v>
      </c>
      <c r="I14035" s="1">
        <v>0.24779999999999999</v>
      </c>
      <c r="J14035" s="1">
        <f t="shared" si="278"/>
        <v>4.0355125100887816</v>
      </c>
      <c r="M14035" s="1" t="s">
        <v>677</v>
      </c>
      <c r="P14035" s="1" t="s">
        <v>470</v>
      </c>
      <c r="Q14035" s="1">
        <v>0</v>
      </c>
      <c r="S14035" s="1">
        <v>0</v>
      </c>
      <c r="T14035" s="1">
        <v>0</v>
      </c>
      <c r="V14035" s="1">
        <f t="shared" si="279"/>
        <v>0</v>
      </c>
      <c r="W14035" s="1">
        <v>0</v>
      </c>
      <c r="X14035" s="39">
        <v>2.8225806451612989</v>
      </c>
      <c r="Y14035" s="1">
        <v>1</v>
      </c>
      <c r="Z14035" s="6">
        <v>0</v>
      </c>
      <c r="AA14035" s="6">
        <v>0</v>
      </c>
    </row>
    <row r="14036" spans="1:27" x14ac:dyDescent="0.2">
      <c r="A14036" s="1">
        <v>65</v>
      </c>
      <c r="B14036" s="1" t="s">
        <v>164</v>
      </c>
      <c r="C14036" s="1" t="s">
        <v>165</v>
      </c>
      <c r="D14036" s="1">
        <v>1945</v>
      </c>
      <c r="E14036" s="11">
        <v>0</v>
      </c>
      <c r="G14036" s="1">
        <v>0</v>
      </c>
      <c r="H14036" s="1">
        <v>0</v>
      </c>
      <c r="I14036" s="1">
        <v>0.24790000000000001</v>
      </c>
      <c r="J14036" s="1">
        <f t="shared" si="278"/>
        <v>4.0338846308995562</v>
      </c>
      <c r="M14036" s="1" t="s">
        <v>677</v>
      </c>
      <c r="P14036" s="1" t="s">
        <v>470</v>
      </c>
      <c r="Q14036" s="1">
        <v>0</v>
      </c>
      <c r="S14036" s="1">
        <v>0</v>
      </c>
      <c r="T14036" s="1">
        <v>0</v>
      </c>
      <c r="V14036" s="1">
        <f t="shared" si="279"/>
        <v>0</v>
      </c>
      <c r="W14036" s="1">
        <v>0</v>
      </c>
      <c r="X14036" s="39">
        <v>2.7450980392156987</v>
      </c>
      <c r="Y14036" s="1">
        <v>1</v>
      </c>
      <c r="Z14036" s="6">
        <v>0</v>
      </c>
      <c r="AA14036" s="6">
        <v>0</v>
      </c>
    </row>
    <row r="14037" spans="1:27" x14ac:dyDescent="0.2">
      <c r="A14037" s="1">
        <v>65</v>
      </c>
      <c r="B14037" s="1" t="s">
        <v>164</v>
      </c>
      <c r="C14037" s="1" t="s">
        <v>165</v>
      </c>
      <c r="D14037" s="1">
        <v>1946</v>
      </c>
      <c r="E14037" s="11">
        <v>0</v>
      </c>
      <c r="G14037" s="1">
        <v>0</v>
      </c>
      <c r="H14037" s="1">
        <v>0</v>
      </c>
      <c r="I14037" s="1">
        <v>0.33329999999999999</v>
      </c>
      <c r="J14037" s="1">
        <f t="shared" si="278"/>
        <v>3.0003000300030003</v>
      </c>
      <c r="M14037" s="1" t="s">
        <v>677</v>
      </c>
      <c r="P14037" s="1" t="s">
        <v>470</v>
      </c>
      <c r="Q14037" s="1">
        <v>0</v>
      </c>
      <c r="S14037" s="1">
        <v>0</v>
      </c>
      <c r="T14037" s="1">
        <v>0</v>
      </c>
      <c r="V14037" s="1">
        <f t="shared" si="279"/>
        <v>0</v>
      </c>
      <c r="W14037" s="1">
        <v>0</v>
      </c>
      <c r="X14037" s="39">
        <v>3.0534351145037997</v>
      </c>
      <c r="Y14037" s="1">
        <v>1</v>
      </c>
      <c r="Z14037" s="6">
        <v>1</v>
      </c>
      <c r="AA14037" s="6">
        <v>0</v>
      </c>
    </row>
    <row r="14038" spans="1:27" x14ac:dyDescent="0.2">
      <c r="A14038" s="1">
        <v>65</v>
      </c>
      <c r="B14038" s="1" t="s">
        <v>164</v>
      </c>
      <c r="C14038" s="1" t="s">
        <v>165</v>
      </c>
      <c r="D14038" s="1">
        <v>1947</v>
      </c>
      <c r="E14038" s="11">
        <v>0</v>
      </c>
      <c r="G14038" s="1">
        <v>0</v>
      </c>
      <c r="H14038" s="1">
        <v>0</v>
      </c>
      <c r="I14038" s="1">
        <v>0.4</v>
      </c>
      <c r="J14038" s="1">
        <f t="shared" si="278"/>
        <v>2.5</v>
      </c>
      <c r="M14038" s="1" t="s">
        <v>677</v>
      </c>
      <c r="P14038" s="1" t="s">
        <v>470</v>
      </c>
      <c r="Q14038" s="1">
        <v>0</v>
      </c>
      <c r="S14038" s="1">
        <v>0</v>
      </c>
      <c r="T14038" s="1">
        <v>0</v>
      </c>
      <c r="V14038" s="1">
        <f t="shared" si="279"/>
        <v>0</v>
      </c>
      <c r="W14038" s="1">
        <v>0</v>
      </c>
      <c r="X14038" s="39">
        <v>7.0370370370370416</v>
      </c>
      <c r="Y14038" s="1">
        <v>1</v>
      </c>
      <c r="Z14038" s="6">
        <v>1</v>
      </c>
      <c r="AA14038" s="6">
        <v>0</v>
      </c>
    </row>
    <row r="14039" spans="1:27" x14ac:dyDescent="0.2">
      <c r="A14039" s="1">
        <v>65</v>
      </c>
      <c r="B14039" s="1" t="s">
        <v>164</v>
      </c>
      <c r="C14039" s="1" t="s">
        <v>165</v>
      </c>
      <c r="D14039" s="1">
        <v>1948</v>
      </c>
      <c r="E14039" s="11">
        <v>0</v>
      </c>
      <c r="G14039" s="1">
        <v>0</v>
      </c>
      <c r="H14039" s="1">
        <v>0</v>
      </c>
      <c r="I14039" s="1">
        <v>0.33</v>
      </c>
      <c r="J14039" s="1">
        <f t="shared" si="278"/>
        <v>3.0303030303030303</v>
      </c>
      <c r="M14039" s="1" t="s">
        <v>677</v>
      </c>
      <c r="P14039" s="1" t="s">
        <v>470</v>
      </c>
      <c r="Q14039" s="1">
        <v>0</v>
      </c>
      <c r="S14039" s="1">
        <v>0</v>
      </c>
      <c r="T14039" s="1">
        <v>0</v>
      </c>
      <c r="V14039" s="1">
        <f t="shared" si="279"/>
        <v>0</v>
      </c>
      <c r="W14039" s="1">
        <v>0</v>
      </c>
      <c r="X14039" s="39">
        <v>7.6124567474048499</v>
      </c>
      <c r="Y14039" s="1">
        <v>1</v>
      </c>
      <c r="Z14039" s="6">
        <v>0</v>
      </c>
      <c r="AA14039" s="6">
        <v>0</v>
      </c>
    </row>
    <row r="14040" spans="1:27" x14ac:dyDescent="0.2">
      <c r="A14040" s="1">
        <v>65</v>
      </c>
      <c r="B14040" s="1" t="s">
        <v>164</v>
      </c>
      <c r="C14040" s="1" t="s">
        <v>165</v>
      </c>
      <c r="D14040" s="1">
        <v>1949</v>
      </c>
      <c r="E14040" s="11">
        <v>0</v>
      </c>
      <c r="G14040" s="1">
        <v>0</v>
      </c>
      <c r="H14040" s="1">
        <v>0</v>
      </c>
      <c r="I14040" s="1">
        <v>0.42020000000000002</v>
      </c>
      <c r="J14040" s="1">
        <f t="shared" si="278"/>
        <v>2.3798191337458352</v>
      </c>
      <c r="M14040" s="1" t="s">
        <v>677</v>
      </c>
      <c r="P14040" s="1" t="s">
        <v>470</v>
      </c>
      <c r="Q14040" s="1">
        <v>0</v>
      </c>
      <c r="S14040" s="1">
        <v>0</v>
      </c>
      <c r="T14040" s="1">
        <v>0</v>
      </c>
      <c r="V14040" s="1">
        <f t="shared" si="279"/>
        <v>0</v>
      </c>
      <c r="W14040" s="1">
        <v>0</v>
      </c>
      <c r="X14040" s="39">
        <v>2.893890675241173</v>
      </c>
      <c r="Y14040" s="1">
        <v>1</v>
      </c>
      <c r="Z14040" s="6">
        <v>1</v>
      </c>
      <c r="AA14040" s="6">
        <v>0</v>
      </c>
    </row>
    <row r="14041" spans="1:27" x14ac:dyDescent="0.2">
      <c r="A14041" s="1">
        <v>65</v>
      </c>
      <c r="B14041" s="1" t="s">
        <v>164</v>
      </c>
      <c r="C14041" s="1" t="s">
        <v>165</v>
      </c>
      <c r="D14041" s="1">
        <v>1950</v>
      </c>
      <c r="E14041" s="11">
        <v>0</v>
      </c>
      <c r="G14041" s="1">
        <v>0</v>
      </c>
      <c r="H14041" s="1">
        <v>0</v>
      </c>
      <c r="I14041" s="1">
        <v>0.39679999999999999</v>
      </c>
      <c r="J14041" s="1">
        <f t="shared" si="278"/>
        <v>2.5201612903225805</v>
      </c>
      <c r="M14041" s="1" t="s">
        <v>677</v>
      </c>
      <c r="P14041" s="1" t="s">
        <v>470</v>
      </c>
      <c r="Q14041" s="1">
        <v>0</v>
      </c>
      <c r="S14041" s="1">
        <v>0</v>
      </c>
      <c r="T14041" s="1">
        <v>0</v>
      </c>
      <c r="V14041" s="1">
        <f t="shared" si="279"/>
        <v>0</v>
      </c>
      <c r="W14041" s="1">
        <v>0</v>
      </c>
      <c r="X14041" s="39">
        <v>3.125</v>
      </c>
      <c r="Y14041" s="1">
        <v>1</v>
      </c>
      <c r="Z14041" s="6">
        <v>0</v>
      </c>
      <c r="AA14041" s="6">
        <v>0</v>
      </c>
    </row>
    <row r="14042" spans="1:27" x14ac:dyDescent="0.2">
      <c r="A14042" s="1">
        <v>65</v>
      </c>
      <c r="B14042" s="1" t="s">
        <v>164</v>
      </c>
      <c r="C14042" s="1" t="s">
        <v>165</v>
      </c>
      <c r="D14042" s="1">
        <v>1951</v>
      </c>
      <c r="E14042" s="11">
        <v>0</v>
      </c>
      <c r="G14042" s="1">
        <v>0</v>
      </c>
      <c r="H14042" s="1">
        <v>0</v>
      </c>
      <c r="I14042" s="1">
        <v>0.40820000000000001</v>
      </c>
      <c r="J14042" s="1">
        <f t="shared" si="278"/>
        <v>2.4497795198432142</v>
      </c>
      <c r="M14042" s="1" t="s">
        <v>677</v>
      </c>
      <c r="P14042" s="1" t="s">
        <v>470</v>
      </c>
      <c r="Q14042" s="1">
        <v>0</v>
      </c>
      <c r="S14042" s="1">
        <v>0</v>
      </c>
      <c r="T14042" s="1">
        <v>0</v>
      </c>
      <c r="V14042" s="1">
        <f t="shared" si="279"/>
        <v>0</v>
      </c>
      <c r="W14042" s="1">
        <v>0</v>
      </c>
      <c r="X14042" s="39">
        <v>9.0909090909090828</v>
      </c>
      <c r="Y14042" s="1">
        <v>1</v>
      </c>
      <c r="Z14042" s="6">
        <v>0</v>
      </c>
      <c r="AA14042" s="6">
        <v>0</v>
      </c>
    </row>
    <row r="14043" spans="1:27" x14ac:dyDescent="0.2">
      <c r="A14043" s="1">
        <v>65</v>
      </c>
      <c r="B14043" s="1" t="s">
        <v>164</v>
      </c>
      <c r="C14043" s="1" t="s">
        <v>165</v>
      </c>
      <c r="D14043" s="1">
        <v>1952</v>
      </c>
      <c r="E14043" s="11">
        <v>0</v>
      </c>
      <c r="G14043" s="1">
        <v>0</v>
      </c>
      <c r="H14043" s="1">
        <v>0</v>
      </c>
      <c r="I14043" s="1">
        <v>0.36630000000000001</v>
      </c>
      <c r="J14043" s="1">
        <f t="shared" si="278"/>
        <v>2.7300027300027301</v>
      </c>
      <c r="M14043" s="1" t="s">
        <v>677</v>
      </c>
      <c r="P14043" s="1" t="s">
        <v>470</v>
      </c>
      <c r="Q14043" s="1">
        <v>0</v>
      </c>
      <c r="S14043" s="1">
        <v>0</v>
      </c>
      <c r="T14043" s="1">
        <v>0</v>
      </c>
      <c r="V14043" s="1">
        <f t="shared" si="279"/>
        <v>0</v>
      </c>
      <c r="W14043" s="1">
        <v>0</v>
      </c>
      <c r="X14043" s="39">
        <v>9.1666666666666785</v>
      </c>
      <c r="Y14043" s="1">
        <v>1</v>
      </c>
      <c r="Z14043" s="6">
        <v>0</v>
      </c>
      <c r="AA14043" s="6">
        <v>0</v>
      </c>
    </row>
    <row r="14044" spans="1:27" x14ac:dyDescent="0.2">
      <c r="A14044" s="1">
        <v>65</v>
      </c>
      <c r="B14044" s="1" t="s">
        <v>164</v>
      </c>
      <c r="C14044" s="1" t="s">
        <v>165</v>
      </c>
      <c r="D14044" s="1">
        <v>1953</v>
      </c>
      <c r="E14044" s="11">
        <v>0</v>
      </c>
      <c r="G14044" s="1">
        <v>0</v>
      </c>
      <c r="H14044" s="1">
        <v>0</v>
      </c>
      <c r="I14044" s="1">
        <v>0.35970000000000002</v>
      </c>
      <c r="J14044" s="1">
        <f t="shared" si="278"/>
        <v>2.7800945232137892</v>
      </c>
      <c r="M14044" s="1" t="s">
        <v>677</v>
      </c>
      <c r="P14044" s="1" t="s">
        <v>470</v>
      </c>
      <c r="Q14044" s="1">
        <v>0</v>
      </c>
      <c r="S14044" s="1">
        <v>0</v>
      </c>
      <c r="T14044" s="1">
        <v>0</v>
      </c>
      <c r="V14044" s="1">
        <f t="shared" si="279"/>
        <v>0</v>
      </c>
      <c r="W14044" s="1">
        <v>0</v>
      </c>
      <c r="X14044" s="39">
        <v>3.0534351145038219</v>
      </c>
      <c r="Y14044" s="1">
        <v>1</v>
      </c>
      <c r="Z14044" s="6">
        <v>0</v>
      </c>
      <c r="AA14044" s="6">
        <v>0</v>
      </c>
    </row>
    <row r="14045" spans="1:27" x14ac:dyDescent="0.2">
      <c r="A14045" s="1">
        <v>65</v>
      </c>
      <c r="B14045" s="1" t="s">
        <v>164</v>
      </c>
      <c r="C14045" s="1" t="s">
        <v>165</v>
      </c>
      <c r="D14045" s="1">
        <v>1954</v>
      </c>
      <c r="E14045" s="11">
        <v>0</v>
      </c>
      <c r="G14045" s="1">
        <v>0</v>
      </c>
      <c r="H14045" s="1">
        <v>0</v>
      </c>
      <c r="I14045" s="1">
        <v>0.36759999999999998</v>
      </c>
      <c r="J14045" s="1">
        <f t="shared" si="278"/>
        <v>2.7203482045701852</v>
      </c>
      <c r="M14045" s="1" t="s">
        <v>677</v>
      </c>
      <c r="P14045" s="1" t="s">
        <v>470</v>
      </c>
      <c r="Q14045" s="1">
        <v>0</v>
      </c>
      <c r="S14045" s="1">
        <v>0</v>
      </c>
      <c r="T14045" s="1">
        <v>0</v>
      </c>
      <c r="V14045" s="1">
        <f t="shared" si="279"/>
        <v>0</v>
      </c>
      <c r="W14045" s="1">
        <v>0</v>
      </c>
      <c r="X14045" s="39">
        <v>1.9753086419753041</v>
      </c>
      <c r="Y14045" s="1">
        <v>1</v>
      </c>
      <c r="Z14045" s="6">
        <v>0</v>
      </c>
      <c r="AA14045" s="6">
        <v>0</v>
      </c>
    </row>
    <row r="14046" spans="1:27" x14ac:dyDescent="0.2">
      <c r="A14046" s="1">
        <v>65</v>
      </c>
      <c r="B14046" s="1" t="s">
        <v>164</v>
      </c>
      <c r="C14046" s="1" t="s">
        <v>165</v>
      </c>
      <c r="D14046" s="1">
        <v>1955</v>
      </c>
      <c r="E14046" s="11">
        <v>0</v>
      </c>
      <c r="G14046" s="1">
        <v>0</v>
      </c>
      <c r="H14046" s="1">
        <v>0</v>
      </c>
      <c r="I14046" s="1">
        <v>0.36049999999999999</v>
      </c>
      <c r="J14046" s="1">
        <f t="shared" si="278"/>
        <v>2.7739251040221915</v>
      </c>
      <c r="M14046" s="1" t="s">
        <v>677</v>
      </c>
      <c r="P14046" s="1" t="s">
        <v>470</v>
      </c>
      <c r="Q14046" s="1">
        <v>0</v>
      </c>
      <c r="S14046" s="1">
        <v>0</v>
      </c>
      <c r="T14046" s="1">
        <v>0</v>
      </c>
      <c r="V14046" s="1">
        <f t="shared" si="279"/>
        <v>0</v>
      </c>
      <c r="W14046" s="1">
        <v>0</v>
      </c>
      <c r="X14046" s="39">
        <v>4.3583535108958849</v>
      </c>
      <c r="Y14046" s="1">
        <v>1</v>
      </c>
      <c r="Z14046" s="6">
        <v>0</v>
      </c>
      <c r="AA14046" s="6">
        <v>0</v>
      </c>
    </row>
    <row r="14047" spans="1:27" x14ac:dyDescent="0.2">
      <c r="A14047" s="1">
        <v>65</v>
      </c>
      <c r="B14047" s="1" t="s">
        <v>164</v>
      </c>
      <c r="C14047" s="1" t="s">
        <v>165</v>
      </c>
      <c r="D14047" s="1">
        <v>1956</v>
      </c>
      <c r="E14047" s="11">
        <v>0</v>
      </c>
      <c r="G14047" s="1">
        <v>0</v>
      </c>
      <c r="H14047" s="1">
        <v>0</v>
      </c>
      <c r="I14047" s="1">
        <v>0.36370000000000002</v>
      </c>
      <c r="J14047" s="1">
        <f t="shared" si="278"/>
        <v>2.749518834204014</v>
      </c>
      <c r="M14047" s="1" t="s">
        <v>677</v>
      </c>
      <c r="P14047" s="1" t="s">
        <v>470</v>
      </c>
      <c r="Q14047" s="1">
        <v>0</v>
      </c>
      <c r="R14047" s="1" t="s">
        <v>600</v>
      </c>
      <c r="S14047" s="1">
        <v>0</v>
      </c>
      <c r="T14047" s="1">
        <v>0</v>
      </c>
      <c r="V14047" s="1">
        <f t="shared" si="279"/>
        <v>0</v>
      </c>
      <c r="W14047" s="1">
        <v>0</v>
      </c>
      <c r="X14047" s="39">
        <v>5.1044083526682327</v>
      </c>
      <c r="Y14047" s="1">
        <v>1</v>
      </c>
      <c r="Z14047" s="6">
        <v>0</v>
      </c>
      <c r="AA14047" s="6">
        <v>0</v>
      </c>
    </row>
    <row r="14048" spans="1:27" x14ac:dyDescent="0.2">
      <c r="A14048" s="1">
        <v>65</v>
      </c>
      <c r="B14048" s="1" t="s">
        <v>164</v>
      </c>
      <c r="C14048" s="1" t="s">
        <v>165</v>
      </c>
      <c r="D14048" s="1">
        <v>1957</v>
      </c>
      <c r="E14048" s="11">
        <v>0</v>
      </c>
      <c r="G14048" s="1">
        <v>0</v>
      </c>
      <c r="H14048" s="1">
        <v>0</v>
      </c>
      <c r="I14048" s="1">
        <v>0.34970000000000001</v>
      </c>
      <c r="J14048" s="1">
        <f t="shared" si="278"/>
        <v>2.8595939376608519</v>
      </c>
      <c r="M14048" s="1" t="s">
        <v>677</v>
      </c>
      <c r="P14048" s="1" t="s">
        <v>470</v>
      </c>
      <c r="Q14048" s="1">
        <v>0</v>
      </c>
      <c r="R14048" s="1" t="s">
        <v>600</v>
      </c>
      <c r="S14048" s="1">
        <v>0</v>
      </c>
      <c r="T14048" s="1">
        <v>0</v>
      </c>
      <c r="V14048" s="1">
        <f t="shared" si="279"/>
        <v>0</v>
      </c>
      <c r="W14048" s="1">
        <v>0</v>
      </c>
      <c r="X14048" s="39">
        <v>3.5320088300220709</v>
      </c>
      <c r="Y14048" s="1">
        <v>1</v>
      </c>
      <c r="Z14048" s="6">
        <v>0</v>
      </c>
      <c r="AA14048" s="6">
        <v>0</v>
      </c>
    </row>
    <row r="14049" spans="1:27" x14ac:dyDescent="0.2">
      <c r="A14049" s="1">
        <v>65</v>
      </c>
      <c r="B14049" s="1" t="s">
        <v>164</v>
      </c>
      <c r="C14049" s="1" t="s">
        <v>165</v>
      </c>
      <c r="D14049" s="1">
        <v>1958</v>
      </c>
      <c r="E14049" s="11">
        <v>0</v>
      </c>
      <c r="G14049" s="1">
        <v>0</v>
      </c>
      <c r="H14049" s="1">
        <v>0</v>
      </c>
      <c r="I14049" s="1">
        <v>0.35680000000000001</v>
      </c>
      <c r="J14049" s="1">
        <f t="shared" si="278"/>
        <v>2.8026905829596411</v>
      </c>
      <c r="M14049" s="1" t="s">
        <v>677</v>
      </c>
      <c r="P14049" s="1" t="s">
        <v>470</v>
      </c>
      <c r="Q14049" s="1">
        <v>0</v>
      </c>
      <c r="S14049" s="1">
        <v>0</v>
      </c>
      <c r="T14049" s="1">
        <v>0</v>
      </c>
      <c r="V14049" s="1">
        <f t="shared" si="279"/>
        <v>0</v>
      </c>
      <c r="W14049" s="1">
        <v>0</v>
      </c>
      <c r="X14049" s="39">
        <v>3.1982942430703654</v>
      </c>
      <c r="Y14049" s="1">
        <v>1</v>
      </c>
      <c r="Z14049" s="6">
        <v>0</v>
      </c>
      <c r="AA14049" s="6">
        <v>0</v>
      </c>
    </row>
    <row r="14050" spans="1:27" x14ac:dyDescent="0.2">
      <c r="A14050" s="1">
        <v>65</v>
      </c>
      <c r="B14050" s="1" t="s">
        <v>164</v>
      </c>
      <c r="C14050" s="1" t="s">
        <v>165</v>
      </c>
      <c r="D14050" s="1">
        <v>1959</v>
      </c>
      <c r="E14050" s="11">
        <v>0</v>
      </c>
      <c r="G14050" s="1">
        <v>0</v>
      </c>
      <c r="H14050" s="1">
        <v>0</v>
      </c>
      <c r="I14050" s="1">
        <v>0.35709999999999997</v>
      </c>
      <c r="J14050" s="1">
        <f t="shared" si="278"/>
        <v>2.8003360403248392</v>
      </c>
      <c r="M14050" s="1" t="s">
        <v>677</v>
      </c>
      <c r="P14050" s="1" t="s">
        <v>470</v>
      </c>
      <c r="Q14050" s="1">
        <v>0</v>
      </c>
      <c r="S14050" s="1">
        <v>0</v>
      </c>
      <c r="T14050" s="1">
        <v>0</v>
      </c>
      <c r="V14050" s="1">
        <f t="shared" si="279"/>
        <v>0</v>
      </c>
      <c r="W14050" s="1">
        <v>0</v>
      </c>
      <c r="X14050" s="39">
        <v>0.41322314049585529</v>
      </c>
      <c r="Y14050" s="1">
        <v>1</v>
      </c>
      <c r="Z14050" s="6">
        <v>0</v>
      </c>
      <c r="AA14050" s="6">
        <v>0</v>
      </c>
    </row>
    <row r="14051" spans="1:27" x14ac:dyDescent="0.2">
      <c r="A14051" s="1">
        <v>65</v>
      </c>
      <c r="B14051" s="1" t="s">
        <v>164</v>
      </c>
      <c r="C14051" s="1" t="s">
        <v>165</v>
      </c>
      <c r="D14051" s="1">
        <v>1960</v>
      </c>
      <c r="E14051" s="11">
        <v>0</v>
      </c>
      <c r="G14051" s="1">
        <v>0</v>
      </c>
      <c r="H14051" s="1">
        <v>0</v>
      </c>
      <c r="I14051" s="1">
        <v>0.35670000000000002</v>
      </c>
      <c r="J14051" s="1">
        <f t="shared" si="278"/>
        <v>2.8034763106251752</v>
      </c>
      <c r="M14051" s="1" t="s">
        <v>677</v>
      </c>
      <c r="P14051" s="1" t="s">
        <v>470</v>
      </c>
      <c r="Q14051" s="1">
        <v>0</v>
      </c>
      <c r="S14051" s="1">
        <v>0</v>
      </c>
      <c r="T14051" s="1">
        <v>0</v>
      </c>
      <c r="V14051" s="1">
        <f t="shared" si="279"/>
        <v>0</v>
      </c>
      <c r="W14051" s="1">
        <v>0</v>
      </c>
      <c r="X14051" s="39">
        <v>1.0288065843621519</v>
      </c>
      <c r="Y14051" s="1">
        <v>1</v>
      </c>
      <c r="Z14051" s="6">
        <v>0</v>
      </c>
      <c r="AA14051" s="6">
        <v>0</v>
      </c>
    </row>
    <row r="14052" spans="1:27" x14ac:dyDescent="0.2">
      <c r="A14052" s="1">
        <v>65</v>
      </c>
      <c r="B14052" s="1" t="s">
        <v>164</v>
      </c>
      <c r="C14052" s="1" t="s">
        <v>165</v>
      </c>
      <c r="D14052" s="1">
        <v>1961</v>
      </c>
      <c r="E14052" s="11">
        <v>0</v>
      </c>
      <c r="G14052" s="1">
        <v>0</v>
      </c>
      <c r="H14052" s="1">
        <v>0</v>
      </c>
      <c r="I14052" s="1">
        <v>0.35610000000000003</v>
      </c>
      <c r="J14052" s="1">
        <f t="shared" si="278"/>
        <v>2.808199943836001</v>
      </c>
      <c r="M14052" s="1" t="s">
        <v>677</v>
      </c>
      <c r="P14052" s="1" t="s">
        <v>470</v>
      </c>
      <c r="Q14052" s="1">
        <v>0</v>
      </c>
      <c r="S14052" s="1">
        <v>0</v>
      </c>
      <c r="T14052" s="1">
        <v>0</v>
      </c>
      <c r="V14052" s="1">
        <f t="shared" si="279"/>
        <v>0</v>
      </c>
      <c r="W14052" s="1">
        <v>0</v>
      </c>
      <c r="X14052" s="39">
        <v>3.4623217922606919</v>
      </c>
      <c r="Y14052" s="1">
        <v>1</v>
      </c>
      <c r="Z14052" s="6">
        <v>0</v>
      </c>
      <c r="AA14052" s="6">
        <v>0</v>
      </c>
    </row>
    <row r="14053" spans="1:27" x14ac:dyDescent="0.2">
      <c r="A14053" s="1">
        <v>65</v>
      </c>
      <c r="B14053" s="1" t="s">
        <v>164</v>
      </c>
      <c r="C14053" s="1" t="s">
        <v>165</v>
      </c>
      <c r="D14053" s="1">
        <v>1962</v>
      </c>
      <c r="E14053" s="11">
        <v>0</v>
      </c>
      <c r="G14053" s="1">
        <v>0</v>
      </c>
      <c r="H14053" s="1">
        <v>0</v>
      </c>
      <c r="I14053" s="1">
        <v>0.35680000000000001</v>
      </c>
      <c r="J14053" s="1">
        <f t="shared" si="278"/>
        <v>2.8026905829596411</v>
      </c>
      <c r="M14053" s="1" t="s">
        <v>677</v>
      </c>
      <c r="P14053" s="1" t="s">
        <v>470</v>
      </c>
      <c r="Q14053" s="1">
        <v>0</v>
      </c>
      <c r="S14053" s="1">
        <v>0</v>
      </c>
      <c r="T14053" s="1">
        <v>0</v>
      </c>
      <c r="V14053" s="1">
        <f t="shared" si="279"/>
        <v>0</v>
      </c>
      <c r="W14053" s="1">
        <v>0</v>
      </c>
      <c r="X14053" s="39">
        <v>4.3307086614173151</v>
      </c>
      <c r="Y14053" s="1">
        <v>1</v>
      </c>
      <c r="Z14053" s="6">
        <v>0</v>
      </c>
      <c r="AA14053" s="6">
        <v>0</v>
      </c>
    </row>
    <row r="14054" spans="1:27" x14ac:dyDescent="0.2">
      <c r="A14054" s="1">
        <v>65</v>
      </c>
      <c r="B14054" s="1" t="s">
        <v>164</v>
      </c>
      <c r="C14054" s="1" t="s">
        <v>165</v>
      </c>
      <c r="D14054" s="1">
        <v>1963</v>
      </c>
      <c r="E14054" s="11">
        <v>0</v>
      </c>
      <c r="G14054" s="1">
        <v>0</v>
      </c>
      <c r="H14054" s="1">
        <v>0</v>
      </c>
      <c r="I14054" s="1">
        <v>0.35759999999999997</v>
      </c>
      <c r="J14054" s="1">
        <f t="shared" si="278"/>
        <v>2.796420581655481</v>
      </c>
      <c r="M14054" s="1" t="s">
        <v>677</v>
      </c>
      <c r="P14054" s="1" t="s">
        <v>470</v>
      </c>
      <c r="Q14054" s="1">
        <v>0</v>
      </c>
      <c r="S14054" s="1">
        <v>0</v>
      </c>
      <c r="T14054" s="1">
        <v>0</v>
      </c>
      <c r="V14054" s="1">
        <f t="shared" si="279"/>
        <v>0</v>
      </c>
      <c r="W14054" s="1">
        <v>0</v>
      </c>
      <c r="X14054" s="39">
        <v>1.8867924528301883</v>
      </c>
      <c r="Y14054" s="1">
        <v>1</v>
      </c>
      <c r="Z14054" s="6">
        <v>0</v>
      </c>
      <c r="AA14054" s="6">
        <v>0</v>
      </c>
    </row>
    <row r="14055" spans="1:27" x14ac:dyDescent="0.2">
      <c r="A14055" s="1">
        <v>65</v>
      </c>
      <c r="B14055" s="1" t="s">
        <v>164</v>
      </c>
      <c r="C14055" s="1" t="s">
        <v>165</v>
      </c>
      <c r="D14055" s="1">
        <v>1964</v>
      </c>
      <c r="E14055" s="11">
        <v>0</v>
      </c>
      <c r="G14055" s="1">
        <v>0</v>
      </c>
      <c r="H14055" s="1">
        <v>0</v>
      </c>
      <c r="I14055" s="1">
        <v>0.3584</v>
      </c>
      <c r="J14055" s="1">
        <f t="shared" si="278"/>
        <v>2.7901785714285716</v>
      </c>
      <c r="M14055" s="1" t="s">
        <v>677</v>
      </c>
      <c r="P14055" s="1" t="s">
        <v>470</v>
      </c>
      <c r="Q14055" s="1">
        <v>0</v>
      </c>
      <c r="R14055" s="1" t="s">
        <v>600</v>
      </c>
      <c r="S14055" s="1">
        <v>0</v>
      </c>
      <c r="T14055" s="1">
        <v>0</v>
      </c>
      <c r="V14055" s="1">
        <f t="shared" si="279"/>
        <v>0</v>
      </c>
      <c r="W14055" s="1">
        <v>0</v>
      </c>
      <c r="X14055" s="39">
        <v>3.3333333333333215</v>
      </c>
      <c r="Y14055" s="1">
        <v>1</v>
      </c>
      <c r="Z14055" s="6">
        <v>0</v>
      </c>
      <c r="AA14055" s="6">
        <v>0</v>
      </c>
    </row>
    <row r="14056" spans="1:27" x14ac:dyDescent="0.2">
      <c r="A14056" s="1">
        <v>65</v>
      </c>
      <c r="B14056" s="1" t="s">
        <v>164</v>
      </c>
      <c r="C14056" s="1" t="s">
        <v>165</v>
      </c>
      <c r="D14056" s="1">
        <v>1965</v>
      </c>
      <c r="E14056" s="11">
        <v>0</v>
      </c>
      <c r="G14056" s="1">
        <v>0</v>
      </c>
      <c r="H14056" s="1">
        <v>0</v>
      </c>
      <c r="I14056" s="1">
        <v>0.35680000000000001</v>
      </c>
      <c r="J14056" s="1">
        <f t="shared" si="278"/>
        <v>2.8026905829596411</v>
      </c>
      <c r="M14056" s="1" t="s">
        <v>677</v>
      </c>
      <c r="P14056" s="1" t="s">
        <v>470</v>
      </c>
      <c r="Q14056" s="1">
        <v>0</v>
      </c>
      <c r="R14056" s="1" t="s">
        <v>600</v>
      </c>
      <c r="S14056" s="1">
        <v>0</v>
      </c>
      <c r="T14056" s="1">
        <v>0</v>
      </c>
      <c r="V14056" s="1">
        <f t="shared" si="279"/>
        <v>0</v>
      </c>
      <c r="W14056" s="1">
        <v>0</v>
      </c>
      <c r="X14056" s="39">
        <v>4.6594982078853153</v>
      </c>
      <c r="Y14056" s="1">
        <v>1</v>
      </c>
      <c r="Z14056" s="6">
        <v>0</v>
      </c>
      <c r="AA14056" s="6">
        <v>0</v>
      </c>
    </row>
    <row r="14057" spans="1:27" x14ac:dyDescent="0.2">
      <c r="A14057" s="1">
        <v>65</v>
      </c>
      <c r="B14057" s="1" t="s">
        <v>164</v>
      </c>
      <c r="C14057" s="1" t="s">
        <v>165</v>
      </c>
      <c r="D14057" s="1">
        <v>1966</v>
      </c>
      <c r="E14057" s="11">
        <v>0</v>
      </c>
      <c r="G14057" s="1">
        <v>0</v>
      </c>
      <c r="H14057" s="1">
        <v>0</v>
      </c>
      <c r="I14057" s="1">
        <v>0.3584</v>
      </c>
      <c r="J14057" s="1">
        <f t="shared" si="278"/>
        <v>2.7901785714285716</v>
      </c>
      <c r="M14057" s="1" t="s">
        <v>677</v>
      </c>
      <c r="P14057" s="1" t="s">
        <v>470</v>
      </c>
      <c r="Q14057" s="1">
        <v>0</v>
      </c>
      <c r="S14057" s="1">
        <v>0</v>
      </c>
      <c r="T14057" s="1">
        <v>0</v>
      </c>
      <c r="V14057" s="1">
        <f t="shared" si="279"/>
        <v>0</v>
      </c>
      <c r="W14057" s="1">
        <v>0</v>
      </c>
      <c r="X14057" s="39">
        <v>3.9383561643835607</v>
      </c>
      <c r="Y14057" s="1">
        <v>1</v>
      </c>
      <c r="Z14057" s="6">
        <v>0</v>
      </c>
      <c r="AA14057" s="6">
        <v>0</v>
      </c>
    </row>
    <row r="14058" spans="1:27" x14ac:dyDescent="0.2">
      <c r="A14058" s="1">
        <v>65</v>
      </c>
      <c r="B14058" s="1" t="s">
        <v>164</v>
      </c>
      <c r="C14058" s="1" t="s">
        <v>165</v>
      </c>
      <c r="D14058" s="1">
        <v>1967</v>
      </c>
      <c r="E14058" s="11">
        <v>0</v>
      </c>
      <c r="G14058" s="1">
        <v>0</v>
      </c>
      <c r="H14058" s="1">
        <v>0</v>
      </c>
      <c r="I14058" s="1">
        <v>0.41560000000000002</v>
      </c>
      <c r="J14058" s="1">
        <f t="shared" si="278"/>
        <v>2.4061597690086622</v>
      </c>
      <c r="M14058" s="1" t="s">
        <v>677</v>
      </c>
      <c r="P14058" s="1" t="s">
        <v>470</v>
      </c>
      <c r="Q14058" s="1">
        <v>0</v>
      </c>
      <c r="S14058" s="1">
        <v>0</v>
      </c>
      <c r="T14058" s="1">
        <v>0</v>
      </c>
      <c r="V14058" s="1">
        <f t="shared" si="279"/>
        <v>0</v>
      </c>
      <c r="W14058" s="1">
        <v>0</v>
      </c>
      <c r="X14058" s="39">
        <v>2.6359143327841839</v>
      </c>
      <c r="Y14058" s="1">
        <v>1</v>
      </c>
      <c r="Z14058" s="6">
        <v>1</v>
      </c>
      <c r="AA14058" s="6">
        <v>0</v>
      </c>
    </row>
    <row r="14059" spans="1:27" x14ac:dyDescent="0.2">
      <c r="A14059" s="1">
        <v>65</v>
      </c>
      <c r="B14059" s="1" t="s">
        <v>164</v>
      </c>
      <c r="C14059" s="1" t="s">
        <v>165</v>
      </c>
      <c r="D14059" s="1">
        <v>1968</v>
      </c>
      <c r="E14059" s="11">
        <v>0</v>
      </c>
      <c r="G14059" s="1">
        <v>0</v>
      </c>
      <c r="H14059" s="1">
        <v>0</v>
      </c>
      <c r="I14059" s="1">
        <v>0.4194</v>
      </c>
      <c r="J14059" s="1">
        <f t="shared" si="278"/>
        <v>2.3843586075345731</v>
      </c>
      <c r="M14059" s="1" t="s">
        <v>677</v>
      </c>
      <c r="P14059" s="1" t="s">
        <v>470</v>
      </c>
      <c r="Q14059" s="1">
        <v>0</v>
      </c>
      <c r="R14059" s="1" t="s">
        <v>600</v>
      </c>
      <c r="S14059" s="1">
        <v>0</v>
      </c>
      <c r="T14059" s="1">
        <v>0</v>
      </c>
      <c r="V14059" s="1">
        <f t="shared" si="279"/>
        <v>0</v>
      </c>
      <c r="W14059" s="1">
        <v>0</v>
      </c>
      <c r="X14059" s="39">
        <v>4.6548956661316199</v>
      </c>
      <c r="Y14059" s="1">
        <v>1</v>
      </c>
      <c r="Z14059" s="6">
        <v>0</v>
      </c>
      <c r="AA14059" s="6">
        <v>0</v>
      </c>
    </row>
    <row r="14060" spans="1:27" x14ac:dyDescent="0.2">
      <c r="A14060" s="1">
        <v>65</v>
      </c>
      <c r="B14060" s="1" t="s">
        <v>164</v>
      </c>
      <c r="C14060" s="1" t="s">
        <v>165</v>
      </c>
      <c r="D14060" s="1">
        <v>1969</v>
      </c>
      <c r="E14060" s="11">
        <v>0</v>
      </c>
      <c r="G14060" s="1">
        <v>0</v>
      </c>
      <c r="H14060" s="1">
        <v>0</v>
      </c>
      <c r="I14060" s="1">
        <v>0.41649999999999998</v>
      </c>
      <c r="J14060" s="1">
        <f t="shared" si="278"/>
        <v>2.4009603841536618</v>
      </c>
      <c r="M14060" s="1" t="s">
        <v>677</v>
      </c>
      <c r="P14060" s="1" t="s">
        <v>470</v>
      </c>
      <c r="Q14060" s="1">
        <v>0</v>
      </c>
      <c r="S14060" s="1">
        <v>0</v>
      </c>
      <c r="T14060" s="1">
        <v>0</v>
      </c>
      <c r="V14060" s="1">
        <f t="shared" si="279"/>
        <v>0</v>
      </c>
      <c r="W14060" s="1">
        <v>0</v>
      </c>
      <c r="X14060" s="39">
        <v>5.3680981595092048</v>
      </c>
      <c r="Y14060" s="1">
        <v>1</v>
      </c>
      <c r="Z14060" s="6">
        <v>0</v>
      </c>
      <c r="AA14060" s="6">
        <v>0</v>
      </c>
    </row>
    <row r="14061" spans="1:27" x14ac:dyDescent="0.2">
      <c r="A14061" s="1">
        <v>65</v>
      </c>
      <c r="B14061" s="1" t="s">
        <v>164</v>
      </c>
      <c r="C14061" s="1" t="s">
        <v>165</v>
      </c>
      <c r="D14061" s="1">
        <v>1970</v>
      </c>
      <c r="E14061" s="11">
        <v>0</v>
      </c>
      <c r="G14061" s="1">
        <v>0</v>
      </c>
      <c r="H14061" s="1">
        <v>0</v>
      </c>
      <c r="I14061" s="1">
        <v>0.4178</v>
      </c>
      <c r="J14061" s="1">
        <f t="shared" si="278"/>
        <v>2.3934897079942554</v>
      </c>
      <c r="M14061" s="1" t="s">
        <v>677</v>
      </c>
      <c r="P14061" s="1" t="s">
        <v>470</v>
      </c>
      <c r="Q14061" s="1">
        <v>0</v>
      </c>
      <c r="S14061" s="1">
        <v>0</v>
      </c>
      <c r="T14061" s="1">
        <v>0</v>
      </c>
      <c r="V14061" s="1">
        <f t="shared" si="279"/>
        <v>0</v>
      </c>
      <c r="W14061" s="1">
        <v>0</v>
      </c>
      <c r="X14061" s="39">
        <v>6.4046579330422126</v>
      </c>
      <c r="Y14061" s="1">
        <v>1</v>
      </c>
      <c r="Z14061" s="6">
        <v>0</v>
      </c>
      <c r="AA14061" s="6">
        <v>0</v>
      </c>
    </row>
    <row r="14062" spans="1:27" ht="12.95" customHeight="1" x14ac:dyDescent="0.2">
      <c r="A14062" s="1">
        <v>65</v>
      </c>
      <c r="B14062" s="1" t="s">
        <v>164</v>
      </c>
      <c r="C14062" s="1" t="s">
        <v>165</v>
      </c>
      <c r="D14062" s="1">
        <v>1971</v>
      </c>
      <c r="E14062" s="11">
        <v>0</v>
      </c>
      <c r="G14062" s="1">
        <v>0</v>
      </c>
      <c r="H14062" s="1">
        <v>0</v>
      </c>
      <c r="I14062" s="1">
        <v>0.39179999999999998</v>
      </c>
      <c r="J14062" s="1">
        <f t="shared" si="278"/>
        <v>2.5523226135783563</v>
      </c>
      <c r="M14062" s="1" t="s">
        <v>677</v>
      </c>
      <c r="P14062" s="1" t="s">
        <v>470</v>
      </c>
      <c r="Q14062" s="1">
        <v>0</v>
      </c>
      <c r="S14062" s="1">
        <v>0</v>
      </c>
      <c r="T14062" s="1">
        <v>0</v>
      </c>
      <c r="V14062" s="1">
        <f t="shared" si="279"/>
        <v>0</v>
      </c>
      <c r="W14062" s="1">
        <v>0</v>
      </c>
      <c r="X14062" s="39">
        <v>9.4391244870041024</v>
      </c>
      <c r="Y14062" s="1">
        <v>1</v>
      </c>
      <c r="Z14062" s="6">
        <v>0</v>
      </c>
      <c r="AA14062" s="6">
        <v>0</v>
      </c>
    </row>
    <row r="14063" spans="1:27" ht="12.95" customHeight="1" x14ac:dyDescent="0.2">
      <c r="A14063" s="1">
        <v>65</v>
      </c>
      <c r="B14063" s="1" t="s">
        <v>164</v>
      </c>
      <c r="C14063" s="1" t="s">
        <v>165</v>
      </c>
      <c r="D14063" s="1">
        <v>1972</v>
      </c>
      <c r="E14063" s="11">
        <v>0</v>
      </c>
      <c r="G14063" s="1">
        <v>0</v>
      </c>
      <c r="H14063" s="1">
        <v>0</v>
      </c>
      <c r="I14063" s="1">
        <v>0.4259</v>
      </c>
      <c r="J14063" s="1">
        <f t="shared" si="278"/>
        <v>2.3479690068091101</v>
      </c>
      <c r="M14063" s="1" t="s">
        <v>677</v>
      </c>
      <c r="P14063" s="1" t="s">
        <v>470</v>
      </c>
      <c r="Q14063" s="1">
        <v>0</v>
      </c>
      <c r="S14063" s="1">
        <v>0</v>
      </c>
      <c r="T14063" s="1">
        <v>0</v>
      </c>
      <c r="V14063" s="1">
        <f t="shared" si="279"/>
        <v>0</v>
      </c>
      <c r="W14063" s="1">
        <v>0</v>
      </c>
      <c r="X14063" s="39">
        <v>7.1250000000000036</v>
      </c>
      <c r="Y14063" s="1">
        <v>1</v>
      </c>
      <c r="Z14063" s="6">
        <v>0</v>
      </c>
      <c r="AA14063" s="6">
        <v>0</v>
      </c>
    </row>
    <row r="14064" spans="1:27" x14ac:dyDescent="0.2">
      <c r="A14064" s="1">
        <v>65</v>
      </c>
      <c r="B14064" s="1" t="s">
        <v>164</v>
      </c>
      <c r="C14064" s="1" t="s">
        <v>165</v>
      </c>
      <c r="D14064" s="1">
        <v>1973</v>
      </c>
      <c r="E14064" s="11">
        <v>0</v>
      </c>
      <c r="G14064" s="1">
        <v>0</v>
      </c>
      <c r="H14064" s="1">
        <v>0</v>
      </c>
      <c r="I14064" s="1">
        <v>0.4304</v>
      </c>
      <c r="J14064" s="1">
        <f t="shared" si="278"/>
        <v>2.3234200743494422</v>
      </c>
      <c r="M14064" s="1" t="s">
        <v>677</v>
      </c>
      <c r="P14064" s="1" t="s">
        <v>470</v>
      </c>
      <c r="Q14064" s="1">
        <v>0</v>
      </c>
      <c r="S14064" s="1">
        <v>0</v>
      </c>
      <c r="T14064" s="1">
        <v>0</v>
      </c>
      <c r="V14064" s="1">
        <f t="shared" si="279"/>
        <v>0</v>
      </c>
      <c r="W14064" s="1">
        <v>1</v>
      </c>
      <c r="X14064" s="39">
        <v>9.1015169194865742</v>
      </c>
      <c r="Y14064" s="1">
        <v>1</v>
      </c>
      <c r="Z14064" s="6">
        <v>0</v>
      </c>
      <c r="AA14064" s="6">
        <v>0</v>
      </c>
    </row>
    <row r="14065" spans="1:27" x14ac:dyDescent="0.2">
      <c r="A14065" s="1">
        <v>65</v>
      </c>
      <c r="B14065" s="1" t="s">
        <v>164</v>
      </c>
      <c r="C14065" s="1" t="s">
        <v>165</v>
      </c>
      <c r="D14065" s="1">
        <v>1974</v>
      </c>
      <c r="E14065" s="22">
        <v>1</v>
      </c>
      <c r="F14065" s="1" t="s">
        <v>354</v>
      </c>
      <c r="G14065" s="1">
        <v>0</v>
      </c>
      <c r="H14065" s="1">
        <v>0</v>
      </c>
      <c r="I14065" s="1">
        <v>0.42580000000000001</v>
      </c>
      <c r="J14065" s="1">
        <f t="shared" si="278"/>
        <v>2.3485204321277595</v>
      </c>
      <c r="M14065" s="1" t="s">
        <v>677</v>
      </c>
      <c r="P14065" s="1" t="s">
        <v>470</v>
      </c>
      <c r="Q14065" s="1">
        <v>0</v>
      </c>
      <c r="S14065" s="1">
        <v>0</v>
      </c>
      <c r="T14065" s="1">
        <v>0</v>
      </c>
      <c r="V14065" s="1">
        <f t="shared" si="279"/>
        <v>0</v>
      </c>
      <c r="W14065" s="1">
        <v>1</v>
      </c>
      <c r="X14065" s="39">
        <v>16.042780748663098</v>
      </c>
      <c r="Y14065" s="1">
        <v>1</v>
      </c>
      <c r="Z14065" s="6">
        <v>0</v>
      </c>
      <c r="AA14065" s="6">
        <v>0</v>
      </c>
    </row>
    <row r="14066" spans="1:27" x14ac:dyDescent="0.2">
      <c r="A14066" s="1">
        <v>65</v>
      </c>
      <c r="B14066" s="1" t="s">
        <v>164</v>
      </c>
      <c r="C14066" s="1" t="s">
        <v>165</v>
      </c>
      <c r="D14066" s="1">
        <v>1975</v>
      </c>
      <c r="E14066" s="22">
        <v>1</v>
      </c>
      <c r="F14066" s="1" t="s">
        <v>354</v>
      </c>
      <c r="G14066" s="1">
        <v>0</v>
      </c>
      <c r="H14066" s="1">
        <v>0</v>
      </c>
      <c r="I14066" s="1">
        <v>0.49419999999999997</v>
      </c>
      <c r="J14066" s="1">
        <f t="shared" si="278"/>
        <v>2.0234722784297858</v>
      </c>
      <c r="M14066" s="1" t="s">
        <v>677</v>
      </c>
      <c r="P14066" s="1" t="s">
        <v>470</v>
      </c>
      <c r="Q14066" s="1">
        <v>0</v>
      </c>
      <c r="S14066" s="1">
        <v>0</v>
      </c>
      <c r="T14066" s="1">
        <v>0</v>
      </c>
      <c r="V14066" s="1">
        <f t="shared" si="279"/>
        <v>0</v>
      </c>
      <c r="W14066" s="1">
        <v>0</v>
      </c>
      <c r="X14066" s="39">
        <v>24.239631336405566</v>
      </c>
      <c r="Y14066" s="1">
        <v>1</v>
      </c>
      <c r="Z14066" s="6">
        <v>1</v>
      </c>
      <c r="AA14066" s="6">
        <v>1</v>
      </c>
    </row>
    <row r="14067" spans="1:27" x14ac:dyDescent="0.2">
      <c r="A14067" s="1">
        <v>65</v>
      </c>
      <c r="B14067" s="1" t="s">
        <v>164</v>
      </c>
      <c r="C14067" s="1" t="s">
        <v>165</v>
      </c>
      <c r="D14067" s="1">
        <v>1976</v>
      </c>
      <c r="E14067" s="22">
        <v>1</v>
      </c>
      <c r="F14067" s="1" t="s">
        <v>354</v>
      </c>
      <c r="G14067" s="1">
        <v>0</v>
      </c>
      <c r="H14067" s="1">
        <v>0</v>
      </c>
      <c r="I14067" s="1">
        <v>0.58740000000000003</v>
      </c>
      <c r="J14067" s="1">
        <f t="shared" si="278"/>
        <v>1.7024174327545114</v>
      </c>
      <c r="M14067" s="1" t="s">
        <v>677</v>
      </c>
      <c r="P14067" s="1" t="s">
        <v>470</v>
      </c>
      <c r="Q14067" s="1">
        <v>0</v>
      </c>
      <c r="S14067" s="1">
        <v>0</v>
      </c>
      <c r="T14067" s="1">
        <v>0</v>
      </c>
      <c r="V14067" s="1">
        <f t="shared" si="279"/>
        <v>0</v>
      </c>
      <c r="W14067" s="1">
        <v>0</v>
      </c>
      <c r="X14067" s="39">
        <v>16.543026706231423</v>
      </c>
      <c r="Y14067" s="1">
        <v>1</v>
      </c>
      <c r="Z14067" s="6">
        <v>1</v>
      </c>
      <c r="AA14067" s="6">
        <v>0</v>
      </c>
    </row>
    <row r="14068" spans="1:27" x14ac:dyDescent="0.2">
      <c r="A14068" s="1">
        <v>65</v>
      </c>
      <c r="B14068" s="1" t="s">
        <v>164</v>
      </c>
      <c r="C14068" s="1" t="s">
        <v>165</v>
      </c>
      <c r="D14068" s="1">
        <v>1977</v>
      </c>
      <c r="E14068" s="11">
        <v>0</v>
      </c>
      <c r="G14068" s="1">
        <v>0</v>
      </c>
      <c r="H14068" s="1">
        <v>0</v>
      </c>
      <c r="I14068" s="1">
        <v>0.52470000000000006</v>
      </c>
      <c r="J14068" s="1">
        <f t="shared" si="278"/>
        <v>1.9058509624547357</v>
      </c>
      <c r="M14068" s="1" t="s">
        <v>677</v>
      </c>
      <c r="P14068" s="1" t="s">
        <v>470</v>
      </c>
      <c r="Q14068" s="1">
        <v>0</v>
      </c>
      <c r="S14068" s="1">
        <v>0</v>
      </c>
      <c r="T14068" s="1">
        <v>0</v>
      </c>
      <c r="V14068" s="1">
        <f t="shared" si="279"/>
        <v>0</v>
      </c>
      <c r="W14068" s="1">
        <v>0</v>
      </c>
      <c r="X14068" s="39">
        <v>15.849777211966899</v>
      </c>
      <c r="Y14068" s="1">
        <v>1</v>
      </c>
      <c r="Z14068" s="6">
        <v>0</v>
      </c>
      <c r="AA14068" s="6">
        <v>0</v>
      </c>
    </row>
    <row r="14069" spans="1:27" x14ac:dyDescent="0.2">
      <c r="A14069" s="1">
        <v>65</v>
      </c>
      <c r="B14069" s="1" t="s">
        <v>164</v>
      </c>
      <c r="C14069" s="1" t="s">
        <v>165</v>
      </c>
      <c r="D14069" s="1">
        <v>1978</v>
      </c>
      <c r="E14069" s="11">
        <v>0</v>
      </c>
      <c r="G14069" s="1">
        <v>0</v>
      </c>
      <c r="H14069" s="1">
        <v>0</v>
      </c>
      <c r="I14069" s="1">
        <v>0.521505</v>
      </c>
      <c r="J14069" s="1">
        <f t="shared" si="278"/>
        <v>1.9175271569783607</v>
      </c>
      <c r="M14069" s="1" t="s">
        <v>677</v>
      </c>
      <c r="P14069" s="1" t="s">
        <v>470</v>
      </c>
      <c r="Q14069" s="1">
        <v>0</v>
      </c>
      <c r="S14069" s="1">
        <v>0</v>
      </c>
      <c r="T14069" s="1">
        <v>0</v>
      </c>
      <c r="V14069" s="1">
        <f t="shared" si="279"/>
        <v>0</v>
      </c>
      <c r="W14069" s="1">
        <v>0</v>
      </c>
      <c r="X14069" s="39">
        <v>8.2967032967033116</v>
      </c>
      <c r="Y14069" s="1">
        <v>1</v>
      </c>
      <c r="Z14069" s="6">
        <v>0</v>
      </c>
      <c r="AA14069" s="6">
        <v>0</v>
      </c>
    </row>
    <row r="14070" spans="1:27" x14ac:dyDescent="0.2">
      <c r="A14070" s="1">
        <v>65</v>
      </c>
      <c r="B14070" s="1" t="s">
        <v>164</v>
      </c>
      <c r="C14070" s="1" t="s">
        <v>165</v>
      </c>
      <c r="D14070" s="1">
        <v>1979</v>
      </c>
      <c r="E14070" s="11">
        <v>0</v>
      </c>
      <c r="G14070" s="1">
        <v>0</v>
      </c>
      <c r="H14070" s="1">
        <v>0</v>
      </c>
      <c r="I14070" s="1">
        <v>0.47218100000000002</v>
      </c>
      <c r="J14070" s="1">
        <f t="shared" si="278"/>
        <v>2.1178319330934534</v>
      </c>
      <c r="M14070" s="1" t="s">
        <v>677</v>
      </c>
      <c r="P14070" s="1" t="s">
        <v>470</v>
      </c>
      <c r="Q14070" s="1">
        <v>0</v>
      </c>
      <c r="S14070" s="1">
        <v>0</v>
      </c>
      <c r="T14070" s="1">
        <v>0</v>
      </c>
      <c r="V14070" s="1">
        <f t="shared" si="279"/>
        <v>0</v>
      </c>
      <c r="W14070" s="1">
        <v>0</v>
      </c>
      <c r="X14070" s="39">
        <v>13.394216133942161</v>
      </c>
      <c r="Y14070" s="1">
        <v>1</v>
      </c>
      <c r="Z14070" s="6">
        <v>0</v>
      </c>
      <c r="AA14070" s="6">
        <v>0</v>
      </c>
    </row>
    <row r="14071" spans="1:27" x14ac:dyDescent="0.2">
      <c r="A14071" s="1">
        <v>65</v>
      </c>
      <c r="B14071" s="1" t="s">
        <v>164</v>
      </c>
      <c r="C14071" s="1" t="s">
        <v>165</v>
      </c>
      <c r="D14071" s="1">
        <v>1980</v>
      </c>
      <c r="E14071" s="11">
        <v>0</v>
      </c>
      <c r="G14071" s="1">
        <v>0</v>
      </c>
      <c r="H14071" s="1">
        <v>0</v>
      </c>
      <c r="I14071" s="1">
        <v>0.419287211915844</v>
      </c>
      <c r="J14071" s="1">
        <f t="shared" si="278"/>
        <v>2.3849999989999984</v>
      </c>
      <c r="M14071" s="1" t="s">
        <v>677</v>
      </c>
      <c r="P14071" s="1" t="s">
        <v>470</v>
      </c>
      <c r="Q14071" s="1">
        <v>0</v>
      </c>
      <c r="S14071" s="1">
        <v>0</v>
      </c>
      <c r="T14071" s="1">
        <v>0</v>
      </c>
      <c r="V14071" s="1">
        <f t="shared" si="279"/>
        <v>0</v>
      </c>
      <c r="W14071" s="1">
        <v>0</v>
      </c>
      <c r="X14071" s="39">
        <v>17.986577181208062</v>
      </c>
      <c r="Y14071" s="1">
        <v>1</v>
      </c>
      <c r="Z14071" s="6">
        <v>0</v>
      </c>
      <c r="AA14071" s="6">
        <v>0</v>
      </c>
    </row>
    <row r="14072" spans="1:27" x14ac:dyDescent="0.2">
      <c r="A14072" s="1">
        <v>65</v>
      </c>
      <c r="B14072" s="1" t="s">
        <v>164</v>
      </c>
      <c r="C14072" s="1" t="s">
        <v>165</v>
      </c>
      <c r="D14072" s="1">
        <v>1981</v>
      </c>
      <c r="E14072" s="11">
        <v>0</v>
      </c>
      <c r="G14072" s="1">
        <v>0</v>
      </c>
      <c r="H14072" s="1">
        <v>0</v>
      </c>
      <c r="I14072" s="1">
        <v>0.52410901494974305</v>
      </c>
      <c r="J14072" s="1">
        <f t="shared" si="278"/>
        <v>1.9079999989999987</v>
      </c>
      <c r="M14072" s="1" t="s">
        <v>677</v>
      </c>
      <c r="P14072" s="1" t="s">
        <v>470</v>
      </c>
      <c r="Q14072" s="1">
        <v>0</v>
      </c>
      <c r="S14072" s="1">
        <v>0</v>
      </c>
      <c r="T14072" s="1">
        <v>0</v>
      </c>
      <c r="V14072" s="1">
        <f t="shared" si="279"/>
        <v>0</v>
      </c>
      <c r="W14072" s="1">
        <v>0</v>
      </c>
      <c r="X14072" s="39">
        <v>11.869548729616985</v>
      </c>
      <c r="Y14072" s="1">
        <v>1</v>
      </c>
      <c r="Z14072" s="6">
        <v>1</v>
      </c>
      <c r="AA14072" s="6">
        <v>0</v>
      </c>
    </row>
    <row r="14073" spans="1:27" x14ac:dyDescent="0.2">
      <c r="A14073" s="1">
        <v>65</v>
      </c>
      <c r="B14073" s="1" t="s">
        <v>164</v>
      </c>
      <c r="C14073" s="1" t="s">
        <v>165</v>
      </c>
      <c r="D14073" s="1">
        <v>1982</v>
      </c>
      <c r="E14073" s="11">
        <v>0</v>
      </c>
      <c r="G14073" s="1">
        <v>0</v>
      </c>
      <c r="H14073" s="1">
        <v>0</v>
      </c>
      <c r="I14073" s="1">
        <v>0.61938680744465002</v>
      </c>
      <c r="J14073" s="1">
        <f t="shared" si="278"/>
        <v>1.6144999989999989</v>
      </c>
      <c r="M14073" s="1" t="s">
        <v>677</v>
      </c>
      <c r="P14073" s="1" t="s">
        <v>470</v>
      </c>
      <c r="Q14073" s="1">
        <v>0</v>
      </c>
      <c r="S14073" s="1">
        <v>0</v>
      </c>
      <c r="T14073" s="1">
        <v>0</v>
      </c>
      <c r="V14073" s="1">
        <f t="shared" si="279"/>
        <v>0</v>
      </c>
      <c r="W14073" s="1">
        <v>0</v>
      </c>
      <c r="X14073" s="39">
        <v>8.6101694915254221</v>
      </c>
      <c r="Y14073" s="1">
        <v>1</v>
      </c>
      <c r="Z14073" s="6">
        <v>1</v>
      </c>
      <c r="AA14073" s="6">
        <v>0</v>
      </c>
    </row>
    <row r="14074" spans="1:27" ht="12.75" customHeight="1" x14ac:dyDescent="0.2">
      <c r="A14074" s="1">
        <v>65</v>
      </c>
      <c r="B14074" s="1" t="s">
        <v>164</v>
      </c>
      <c r="C14074" s="1" t="s">
        <v>165</v>
      </c>
      <c r="D14074" s="1">
        <v>1983</v>
      </c>
      <c r="E14074" s="11">
        <v>0</v>
      </c>
      <c r="G14074" s="1">
        <v>0</v>
      </c>
      <c r="H14074" s="1">
        <v>0</v>
      </c>
      <c r="I14074" s="1">
        <v>0.68936991637210099</v>
      </c>
      <c r="J14074" s="1">
        <f t="shared" si="278"/>
        <v>1.4505999990000003</v>
      </c>
      <c r="M14074" s="1" t="s">
        <v>677</v>
      </c>
      <c r="P14074" s="1" t="s">
        <v>470</v>
      </c>
      <c r="Q14074" s="1">
        <v>0</v>
      </c>
      <c r="S14074" s="1">
        <v>0</v>
      </c>
      <c r="T14074" s="1">
        <v>0</v>
      </c>
      <c r="V14074" s="1">
        <f t="shared" si="279"/>
        <v>0</v>
      </c>
      <c r="W14074" s="1">
        <v>0</v>
      </c>
      <c r="X14074" s="39">
        <v>4.5880149812734139</v>
      </c>
      <c r="Y14074" s="1">
        <v>1</v>
      </c>
      <c r="Z14074" s="6">
        <v>1</v>
      </c>
      <c r="AA14074" s="6">
        <v>0</v>
      </c>
    </row>
    <row r="14075" spans="1:27" x14ac:dyDescent="0.2">
      <c r="A14075" s="1">
        <v>65</v>
      </c>
      <c r="B14075" s="1" t="s">
        <v>164</v>
      </c>
      <c r="C14075" s="1" t="s">
        <v>165</v>
      </c>
      <c r="D14075" s="1">
        <v>1984</v>
      </c>
      <c r="E14075" s="22">
        <v>1</v>
      </c>
      <c r="F14075" s="1" t="s">
        <v>355</v>
      </c>
      <c r="G14075" s="1">
        <v>0</v>
      </c>
      <c r="H14075" s="1">
        <v>0</v>
      </c>
      <c r="I14075" s="1">
        <v>0.86467790822713197</v>
      </c>
      <c r="J14075" s="1">
        <f t="shared" si="278"/>
        <v>1.1564999989999998</v>
      </c>
      <c r="M14075" s="1" t="s">
        <v>677</v>
      </c>
      <c r="P14075" s="1" t="s">
        <v>470</v>
      </c>
      <c r="Q14075" s="1">
        <v>0</v>
      </c>
      <c r="S14075" s="1">
        <v>0</v>
      </c>
      <c r="T14075" s="1">
        <v>0</v>
      </c>
      <c r="V14075" s="1">
        <f t="shared" si="279"/>
        <v>0</v>
      </c>
      <c r="W14075" s="1">
        <v>0</v>
      </c>
      <c r="X14075" s="39">
        <v>4.9835869889585327</v>
      </c>
      <c r="Y14075" s="1">
        <v>1</v>
      </c>
      <c r="Z14075" s="6">
        <v>0</v>
      </c>
      <c r="AA14075" s="6">
        <v>0</v>
      </c>
    </row>
    <row r="14076" spans="1:27" x14ac:dyDescent="0.2">
      <c r="A14076" s="1">
        <v>65</v>
      </c>
      <c r="B14076" s="1" t="s">
        <v>164</v>
      </c>
      <c r="C14076" s="1" t="s">
        <v>165</v>
      </c>
      <c r="D14076" s="1">
        <v>1985</v>
      </c>
      <c r="E14076" s="11">
        <v>0</v>
      </c>
      <c r="G14076" s="1">
        <v>0</v>
      </c>
      <c r="H14076" s="1">
        <v>0</v>
      </c>
      <c r="I14076" s="1">
        <v>0.69228106659209498</v>
      </c>
      <c r="J14076" s="1">
        <f t="shared" si="278"/>
        <v>1.4444999989999998</v>
      </c>
      <c r="M14076" s="1" t="s">
        <v>677</v>
      </c>
      <c r="P14076" s="1" t="s">
        <v>470</v>
      </c>
      <c r="Q14076" s="1">
        <v>0</v>
      </c>
      <c r="S14076" s="1">
        <v>0</v>
      </c>
      <c r="T14076" s="1">
        <v>0</v>
      </c>
      <c r="V14076" s="1">
        <f t="shared" si="279"/>
        <v>0</v>
      </c>
      <c r="W14076" s="1">
        <v>0</v>
      </c>
      <c r="X14076" s="39">
        <v>6.0830017055145014</v>
      </c>
      <c r="Y14076" s="1">
        <v>1</v>
      </c>
      <c r="Z14076" s="6">
        <v>0</v>
      </c>
      <c r="AA14076" s="6">
        <v>0</v>
      </c>
    </row>
    <row r="14077" spans="1:27" x14ac:dyDescent="0.2">
      <c r="A14077" s="1">
        <v>65</v>
      </c>
      <c r="B14077" s="1" t="s">
        <v>164</v>
      </c>
      <c r="C14077" s="1" t="s">
        <v>165</v>
      </c>
      <c r="D14077" s="1">
        <v>1986</v>
      </c>
      <c r="E14077" s="11">
        <v>0</v>
      </c>
      <c r="G14077" s="1">
        <v>0</v>
      </c>
      <c r="H14077" s="1">
        <v>0</v>
      </c>
      <c r="I14077" s="1">
        <v>0.67819599864360802</v>
      </c>
      <c r="J14077" s="1">
        <f t="shared" si="278"/>
        <v>1.4744999999999999</v>
      </c>
      <c r="M14077" s="1" t="s">
        <v>677</v>
      </c>
      <c r="P14077" s="1" t="s">
        <v>470</v>
      </c>
      <c r="Q14077" s="1">
        <v>0</v>
      </c>
      <c r="S14077" s="1">
        <v>0</v>
      </c>
      <c r="T14077" s="1">
        <v>0</v>
      </c>
      <c r="V14077" s="1">
        <f t="shared" si="279"/>
        <v>0</v>
      </c>
      <c r="W14077" s="1">
        <v>0</v>
      </c>
      <c r="X14077" s="39">
        <v>3.4030010718113513</v>
      </c>
      <c r="Y14077" s="1">
        <v>1</v>
      </c>
      <c r="Z14077" s="6">
        <v>0</v>
      </c>
      <c r="AA14077" s="6">
        <v>0</v>
      </c>
    </row>
    <row r="14078" spans="1:27" x14ac:dyDescent="0.2">
      <c r="A14078" s="1">
        <v>65</v>
      </c>
      <c r="B14078" s="1" t="s">
        <v>164</v>
      </c>
      <c r="C14078" s="1" t="s">
        <v>165</v>
      </c>
      <c r="D14078" s="1">
        <v>1987</v>
      </c>
      <c r="E14078" s="11">
        <v>0</v>
      </c>
      <c r="G14078" s="1">
        <v>0</v>
      </c>
      <c r="H14078" s="1">
        <v>0</v>
      </c>
      <c r="I14078" s="1">
        <v>0.53433075073470504</v>
      </c>
      <c r="J14078" s="1">
        <f t="shared" si="278"/>
        <v>1.8714999999999991</v>
      </c>
      <c r="M14078" s="1" t="s">
        <v>677</v>
      </c>
      <c r="P14078" s="1" t="s">
        <v>470</v>
      </c>
      <c r="Q14078" s="1">
        <v>0</v>
      </c>
      <c r="S14078" s="1">
        <v>0</v>
      </c>
      <c r="T14078" s="1">
        <v>0</v>
      </c>
      <c r="V14078" s="1">
        <f t="shared" si="279"/>
        <v>0</v>
      </c>
      <c r="W14078" s="1">
        <v>0</v>
      </c>
      <c r="X14078" s="39">
        <v>4.172065301891692</v>
      </c>
      <c r="Y14078" s="1">
        <v>1</v>
      </c>
      <c r="Z14078" s="6">
        <v>0</v>
      </c>
      <c r="AA14078" s="6">
        <v>0</v>
      </c>
    </row>
    <row r="14079" spans="1:27" x14ac:dyDescent="0.2">
      <c r="A14079" s="1">
        <v>65</v>
      </c>
      <c r="B14079" s="1" t="s">
        <v>164</v>
      </c>
      <c r="C14079" s="1" t="s">
        <v>165</v>
      </c>
      <c r="D14079" s="1">
        <v>1988</v>
      </c>
      <c r="E14079" s="11">
        <v>0</v>
      </c>
      <c r="G14079" s="1">
        <v>0</v>
      </c>
      <c r="H14079" s="1">
        <v>0</v>
      </c>
      <c r="I14079" s="1">
        <v>0.55263885051119099</v>
      </c>
      <c r="J14079" s="1">
        <f t="shared" si="278"/>
        <v>1.8094999999999999</v>
      </c>
      <c r="M14079" s="1" t="s">
        <v>677</v>
      </c>
      <c r="P14079" s="1" t="s">
        <v>470</v>
      </c>
      <c r="Q14079" s="1">
        <v>0</v>
      </c>
      <c r="S14079" s="1">
        <v>0</v>
      </c>
      <c r="T14079" s="1">
        <v>0</v>
      </c>
      <c r="V14079" s="1">
        <f t="shared" si="279"/>
        <v>0</v>
      </c>
      <c r="W14079" s="1">
        <v>0</v>
      </c>
      <c r="X14079" s="39">
        <v>4.9004975124378181</v>
      </c>
      <c r="Y14079" s="1">
        <v>1</v>
      </c>
      <c r="Z14079" s="6">
        <v>0</v>
      </c>
      <c r="AA14079" s="6">
        <v>0</v>
      </c>
    </row>
    <row r="14080" spans="1:27" x14ac:dyDescent="0.2">
      <c r="A14080" s="1">
        <v>65</v>
      </c>
      <c r="B14080" s="1" t="s">
        <v>164</v>
      </c>
      <c r="C14080" s="1" t="s">
        <v>165</v>
      </c>
      <c r="D14080" s="1">
        <v>1989</v>
      </c>
      <c r="E14080" s="11">
        <v>0</v>
      </c>
      <c r="G14080" s="1">
        <v>0</v>
      </c>
      <c r="H14080" s="1">
        <v>0</v>
      </c>
      <c r="I14080" s="1">
        <v>0.62285892245406405</v>
      </c>
      <c r="J14080" s="1">
        <f t="shared" si="278"/>
        <v>1.6055000000000004</v>
      </c>
      <c r="M14080" s="1" t="s">
        <v>677</v>
      </c>
      <c r="P14080" s="1" t="s">
        <v>470</v>
      </c>
      <c r="Q14080" s="1">
        <v>0</v>
      </c>
      <c r="S14080" s="1">
        <v>0</v>
      </c>
      <c r="T14080" s="1">
        <v>0</v>
      </c>
      <c r="V14080" s="1">
        <f t="shared" si="279"/>
        <v>0</v>
      </c>
      <c r="W14080" s="1">
        <v>0</v>
      </c>
      <c r="X14080" s="39">
        <v>7.7780412615603423</v>
      </c>
      <c r="Y14080" s="1">
        <v>1</v>
      </c>
      <c r="Z14080" s="6">
        <v>0</v>
      </c>
      <c r="AA14080" s="6">
        <v>0</v>
      </c>
    </row>
    <row r="14081" spans="1:27" x14ac:dyDescent="0.2">
      <c r="A14081" s="1">
        <v>65</v>
      </c>
      <c r="B14081" s="1" t="s">
        <v>164</v>
      </c>
      <c r="C14081" s="1" t="s">
        <v>165</v>
      </c>
      <c r="D14081" s="1">
        <v>1990</v>
      </c>
      <c r="E14081" s="11">
        <v>0</v>
      </c>
      <c r="G14081" s="1">
        <v>0</v>
      </c>
      <c r="H14081" s="1">
        <v>0</v>
      </c>
      <c r="I14081" s="1">
        <v>0.51867219917012497</v>
      </c>
      <c r="J14081" s="1">
        <f t="shared" si="278"/>
        <v>1.9279999999999982</v>
      </c>
      <c r="M14081" s="1" t="s">
        <v>677</v>
      </c>
      <c r="P14081" s="1" t="s">
        <v>470</v>
      </c>
      <c r="Q14081" s="1">
        <v>0</v>
      </c>
      <c r="S14081" s="1">
        <v>0</v>
      </c>
      <c r="T14081" s="1">
        <v>0</v>
      </c>
      <c r="V14081" s="1">
        <f t="shared" si="279"/>
        <v>0</v>
      </c>
      <c r="W14081" s="1">
        <v>1</v>
      </c>
      <c r="X14081" s="39">
        <v>9.4609460946094579</v>
      </c>
      <c r="Y14081" s="1">
        <v>1</v>
      </c>
      <c r="Z14081" s="6">
        <v>0</v>
      </c>
      <c r="AA14081" s="6">
        <v>0</v>
      </c>
    </row>
    <row r="14082" spans="1:27" x14ac:dyDescent="0.2">
      <c r="A14082" s="1">
        <v>65</v>
      </c>
      <c r="B14082" s="1" t="s">
        <v>164</v>
      </c>
      <c r="C14082" s="1" t="s">
        <v>165</v>
      </c>
      <c r="D14082" s="1">
        <v>1991</v>
      </c>
      <c r="E14082" s="22">
        <v>1</v>
      </c>
      <c r="F14082" s="1" t="s">
        <v>356</v>
      </c>
      <c r="G14082" s="1">
        <v>0</v>
      </c>
      <c r="H14082" s="1">
        <v>0</v>
      </c>
      <c r="I14082" s="1">
        <v>0.53455925589351605</v>
      </c>
      <c r="J14082" s="1">
        <f t="shared" si="278"/>
        <v>1.8706999999999991</v>
      </c>
      <c r="M14082" s="1" t="s">
        <v>677</v>
      </c>
      <c r="P14082" s="1" t="s">
        <v>470</v>
      </c>
      <c r="Q14082" s="1">
        <v>0</v>
      </c>
      <c r="S14082" s="1">
        <v>0</v>
      </c>
      <c r="T14082" s="1">
        <v>0</v>
      </c>
      <c r="V14082" s="1">
        <f t="shared" si="279"/>
        <v>0</v>
      </c>
      <c r="W14082" s="1">
        <v>0</v>
      </c>
      <c r="X14082" s="39">
        <v>5.8693467336683458</v>
      </c>
      <c r="Y14082" s="1">
        <v>1</v>
      </c>
      <c r="Z14082" s="6">
        <v>0</v>
      </c>
      <c r="AA14082" s="6">
        <v>0</v>
      </c>
    </row>
    <row r="14083" spans="1:27" x14ac:dyDescent="0.2">
      <c r="A14083" s="1">
        <v>65</v>
      </c>
      <c r="B14083" s="1" t="s">
        <v>164</v>
      </c>
      <c r="C14083" s="1" t="s">
        <v>165</v>
      </c>
      <c r="D14083" s="1">
        <v>1992</v>
      </c>
      <c r="E14083" s="11">
        <v>0</v>
      </c>
      <c r="G14083" s="1">
        <v>0</v>
      </c>
      <c r="H14083" s="1">
        <v>0</v>
      </c>
      <c r="I14083" s="1">
        <v>0.66137566137566095</v>
      </c>
      <c r="J14083" s="1">
        <f t="shared" ref="J14083:J14106" si="280">1/I14083</f>
        <v>1.5120000000000009</v>
      </c>
      <c r="M14083" s="1" t="s">
        <v>677</v>
      </c>
      <c r="P14083" s="1" t="s">
        <v>470</v>
      </c>
      <c r="Q14083" s="1">
        <v>0</v>
      </c>
      <c r="S14083" s="1">
        <v>0</v>
      </c>
      <c r="T14083" s="1">
        <v>0</v>
      </c>
      <c r="V14083" s="1">
        <f t="shared" ref="V14083:V14107" si="281">8.22*S14083</f>
        <v>0</v>
      </c>
      <c r="W14083" s="1">
        <v>0</v>
      </c>
      <c r="X14083" s="39">
        <v>3.7402696031896721</v>
      </c>
      <c r="Y14083" s="1">
        <v>1</v>
      </c>
      <c r="Z14083" s="6">
        <v>0</v>
      </c>
      <c r="AA14083" s="6">
        <v>0</v>
      </c>
    </row>
    <row r="14084" spans="1:27" x14ac:dyDescent="0.2">
      <c r="A14084" s="1">
        <v>65</v>
      </c>
      <c r="B14084" s="1" t="s">
        <v>164</v>
      </c>
      <c r="C14084" s="1" t="s">
        <v>165</v>
      </c>
      <c r="D14084" s="1">
        <v>1993</v>
      </c>
      <c r="E14084" s="11">
        <v>0</v>
      </c>
      <c r="G14084" s="1">
        <v>0</v>
      </c>
      <c r="H14084" s="1">
        <v>0</v>
      </c>
      <c r="I14084" s="1">
        <v>0.67512827437213097</v>
      </c>
      <c r="J14084" s="1">
        <f t="shared" si="280"/>
        <v>1.4811999999999994</v>
      </c>
      <c r="M14084" s="1" t="s">
        <v>677</v>
      </c>
      <c r="P14084" s="1" t="s">
        <v>470</v>
      </c>
      <c r="Q14084" s="1">
        <v>0</v>
      </c>
      <c r="S14084" s="1">
        <v>0</v>
      </c>
      <c r="T14084" s="1">
        <v>0</v>
      </c>
      <c r="V14084" s="1">
        <f t="shared" si="281"/>
        <v>0</v>
      </c>
      <c r="W14084" s="1">
        <v>0</v>
      </c>
      <c r="X14084" s="39">
        <v>1.5922401171303058</v>
      </c>
      <c r="Y14084" s="1">
        <v>1</v>
      </c>
      <c r="Z14084" s="6">
        <v>1</v>
      </c>
      <c r="AA14084" s="6">
        <v>0</v>
      </c>
    </row>
    <row r="14085" spans="1:27" x14ac:dyDescent="0.2">
      <c r="A14085" s="1">
        <v>65</v>
      </c>
      <c r="B14085" s="1" t="s">
        <v>164</v>
      </c>
      <c r="C14085" s="1" t="s">
        <v>165</v>
      </c>
      <c r="D14085" s="1">
        <v>1994</v>
      </c>
      <c r="E14085" s="11">
        <v>0</v>
      </c>
      <c r="G14085" s="1">
        <v>0</v>
      </c>
      <c r="H14085" s="1">
        <v>0</v>
      </c>
      <c r="I14085" s="1">
        <v>0.64</v>
      </c>
      <c r="J14085" s="1">
        <f t="shared" si="280"/>
        <v>1.5625</v>
      </c>
      <c r="M14085" s="1" t="s">
        <v>677</v>
      </c>
      <c r="P14085" s="1" t="s">
        <v>470</v>
      </c>
      <c r="Q14085" s="1">
        <v>0</v>
      </c>
      <c r="S14085" s="1">
        <v>0</v>
      </c>
      <c r="T14085" s="1">
        <v>0</v>
      </c>
      <c r="V14085" s="1">
        <f t="shared" si="281"/>
        <v>0</v>
      </c>
      <c r="W14085" s="1">
        <v>0</v>
      </c>
      <c r="X14085" s="39">
        <v>2.4139794631597988</v>
      </c>
      <c r="Y14085" s="1">
        <v>1</v>
      </c>
      <c r="Z14085" s="6">
        <v>0</v>
      </c>
      <c r="AA14085" s="6">
        <v>0</v>
      </c>
    </row>
    <row r="14086" spans="1:27" x14ac:dyDescent="0.2">
      <c r="A14086" s="1">
        <v>65</v>
      </c>
      <c r="B14086" s="1" t="s">
        <v>164</v>
      </c>
      <c r="C14086" s="1" t="s">
        <v>165</v>
      </c>
      <c r="D14086" s="1">
        <v>1995</v>
      </c>
      <c r="E14086" s="22">
        <v>1</v>
      </c>
      <c r="F14086" s="1" t="s">
        <v>357</v>
      </c>
      <c r="G14086" s="1">
        <v>0</v>
      </c>
      <c r="H14086" s="1">
        <v>0</v>
      </c>
      <c r="I14086" s="1">
        <v>0.64516129032258096</v>
      </c>
      <c r="J14086" s="1">
        <f t="shared" si="280"/>
        <v>1.5499999999999992</v>
      </c>
      <c r="M14086" s="1" t="s">
        <v>677</v>
      </c>
      <c r="P14086" s="1" t="s">
        <v>470</v>
      </c>
      <c r="Q14086" s="1">
        <v>0</v>
      </c>
      <c r="S14086" s="1">
        <v>0</v>
      </c>
      <c r="T14086" s="1">
        <v>0</v>
      </c>
      <c r="V14086" s="1">
        <f t="shared" si="281"/>
        <v>0</v>
      </c>
      <c r="W14086" s="1">
        <v>0</v>
      </c>
      <c r="X14086" s="39">
        <v>3.4652594547053717</v>
      </c>
      <c r="Y14086" s="1">
        <v>1</v>
      </c>
      <c r="Z14086" s="6">
        <v>0</v>
      </c>
      <c r="AA14086" s="6">
        <v>0</v>
      </c>
    </row>
    <row r="14087" spans="1:27" x14ac:dyDescent="0.2">
      <c r="A14087" s="1">
        <v>65</v>
      </c>
      <c r="B14087" s="1" t="s">
        <v>164</v>
      </c>
      <c r="C14087" s="1" t="s">
        <v>165</v>
      </c>
      <c r="D14087" s="1">
        <v>1996</v>
      </c>
      <c r="E14087" s="11">
        <v>0</v>
      </c>
      <c r="G14087" s="1">
        <v>0</v>
      </c>
      <c r="H14087" s="1">
        <v>0</v>
      </c>
      <c r="I14087" s="1">
        <v>0.58892815076560701</v>
      </c>
      <c r="J14087" s="1">
        <f t="shared" si="280"/>
        <v>1.6979999999999988</v>
      </c>
      <c r="M14087" s="1" t="s">
        <v>677</v>
      </c>
      <c r="P14087" s="1" t="s">
        <v>470</v>
      </c>
      <c r="Q14087" s="1">
        <v>0</v>
      </c>
      <c r="S14087" s="1">
        <v>0</v>
      </c>
      <c r="T14087" s="1">
        <v>0</v>
      </c>
      <c r="V14087" s="1">
        <f t="shared" si="281"/>
        <v>0</v>
      </c>
      <c r="W14087" s="1">
        <v>0</v>
      </c>
      <c r="X14087" s="39">
        <v>2.4141448486909134</v>
      </c>
      <c r="Y14087" s="1">
        <v>1</v>
      </c>
      <c r="Z14087" s="6">
        <v>0</v>
      </c>
      <c r="AA14087" s="6">
        <v>0</v>
      </c>
    </row>
    <row r="14088" spans="1:27" x14ac:dyDescent="0.2">
      <c r="A14088" s="1">
        <v>65</v>
      </c>
      <c r="B14088" s="1" t="s">
        <v>164</v>
      </c>
      <c r="C14088" s="1" t="s">
        <v>165</v>
      </c>
      <c r="D14088" s="1">
        <v>1997</v>
      </c>
      <c r="E14088" s="11">
        <v>0</v>
      </c>
      <c r="G14088" s="1">
        <v>0</v>
      </c>
      <c r="H14088" s="1">
        <v>0</v>
      </c>
      <c r="I14088" s="1">
        <v>0.60466803724755103</v>
      </c>
      <c r="J14088" s="1">
        <f t="shared" si="280"/>
        <v>1.6538000000000002</v>
      </c>
      <c r="M14088" s="1" t="s">
        <v>677</v>
      </c>
      <c r="P14088" s="1" t="s">
        <v>470</v>
      </c>
      <c r="Q14088" s="1">
        <v>0</v>
      </c>
      <c r="S14088" s="1">
        <v>0</v>
      </c>
      <c r="T14088" s="1">
        <v>0</v>
      </c>
      <c r="V14088" s="1">
        <f t="shared" si="281"/>
        <v>0</v>
      </c>
      <c r="W14088" s="1">
        <v>0</v>
      </c>
      <c r="X14088" s="39">
        <v>3.1374501992031734</v>
      </c>
      <c r="Y14088" s="1">
        <v>1</v>
      </c>
      <c r="Z14088" s="6">
        <v>0</v>
      </c>
      <c r="AA14088" s="6">
        <v>0</v>
      </c>
    </row>
    <row r="14089" spans="1:27" x14ac:dyDescent="0.2">
      <c r="A14089" s="1">
        <v>65</v>
      </c>
      <c r="B14089" s="1" t="s">
        <v>164</v>
      </c>
      <c r="C14089" s="1" t="s">
        <v>165</v>
      </c>
      <c r="D14089" s="1">
        <v>1998</v>
      </c>
      <c r="E14089" s="11">
        <v>0</v>
      </c>
      <c r="G14089" s="1">
        <v>0</v>
      </c>
      <c r="H14089" s="1">
        <v>0</v>
      </c>
      <c r="I14089" s="1">
        <v>0.60114217012323401</v>
      </c>
      <c r="J14089" s="1">
        <f t="shared" si="280"/>
        <v>1.6635000000000004</v>
      </c>
      <c r="M14089" s="1" t="s">
        <v>677</v>
      </c>
      <c r="P14089" s="1" t="s">
        <v>470</v>
      </c>
      <c r="Q14089" s="1">
        <v>0</v>
      </c>
      <c r="S14089" s="1">
        <v>0</v>
      </c>
      <c r="T14089" s="1">
        <v>0</v>
      </c>
      <c r="V14089" s="1">
        <f t="shared" si="281"/>
        <v>0</v>
      </c>
      <c r="W14089" s="1">
        <v>0</v>
      </c>
      <c r="X14089" s="39">
        <v>3.4282955094157463</v>
      </c>
      <c r="Y14089" s="1">
        <v>1</v>
      </c>
      <c r="Z14089" s="6">
        <v>0</v>
      </c>
      <c r="AA14089" s="6">
        <v>0</v>
      </c>
    </row>
    <row r="14090" spans="1:27" x14ac:dyDescent="0.2">
      <c r="A14090" s="1">
        <v>65</v>
      </c>
      <c r="B14090" s="1" t="s">
        <v>164</v>
      </c>
      <c r="C14090" s="1" t="s">
        <v>165</v>
      </c>
      <c r="D14090" s="1">
        <v>1999</v>
      </c>
      <c r="E14090" s="11">
        <v>0</v>
      </c>
      <c r="G14090" s="1">
        <v>0</v>
      </c>
      <c r="H14090" s="1">
        <v>0</v>
      </c>
      <c r="I14090" s="1">
        <v>0.61865874783469399</v>
      </c>
      <c r="J14090" s="1">
        <f t="shared" si="280"/>
        <v>1.6164000000000009</v>
      </c>
      <c r="M14090" s="1" t="s">
        <v>677</v>
      </c>
      <c r="P14090" s="1" t="s">
        <v>470</v>
      </c>
      <c r="Q14090" s="1">
        <v>0</v>
      </c>
      <c r="S14090" s="1">
        <v>0</v>
      </c>
      <c r="T14090" s="1">
        <v>0</v>
      </c>
      <c r="V14090" s="1">
        <f t="shared" si="281"/>
        <v>0</v>
      </c>
      <c r="W14090" s="1">
        <v>0</v>
      </c>
      <c r="X14090" s="39">
        <v>1.540616246498594</v>
      </c>
      <c r="Y14090" s="1">
        <v>1</v>
      </c>
      <c r="Z14090" s="6">
        <v>0</v>
      </c>
      <c r="AA14090" s="6">
        <v>0</v>
      </c>
    </row>
    <row r="14091" spans="1:27" x14ac:dyDescent="0.2">
      <c r="A14091" s="1">
        <v>65</v>
      </c>
      <c r="B14091" s="1" t="s">
        <v>164</v>
      </c>
      <c r="C14091" s="1" t="s">
        <v>165</v>
      </c>
      <c r="D14091" s="1">
        <v>2000</v>
      </c>
      <c r="E14091" s="11">
        <v>0</v>
      </c>
      <c r="G14091" s="1">
        <v>0</v>
      </c>
      <c r="H14091" s="1">
        <v>0</v>
      </c>
      <c r="I14091" s="1">
        <v>0.67015145422865596</v>
      </c>
      <c r="J14091" s="1">
        <f t="shared" si="280"/>
        <v>1.4921999999999993</v>
      </c>
      <c r="M14091" s="1" t="s">
        <v>677</v>
      </c>
      <c r="P14091" s="1" t="s">
        <v>470</v>
      </c>
      <c r="Q14091" s="1">
        <v>0</v>
      </c>
      <c r="S14091" s="1">
        <v>0</v>
      </c>
      <c r="T14091" s="1">
        <v>0</v>
      </c>
      <c r="V14091" s="1">
        <f t="shared" si="281"/>
        <v>0</v>
      </c>
      <c r="W14091" s="1">
        <v>0</v>
      </c>
      <c r="X14091" s="39">
        <v>2.9578544061302781</v>
      </c>
      <c r="Y14091" s="1">
        <v>1</v>
      </c>
      <c r="Z14091" s="6">
        <v>0</v>
      </c>
      <c r="AA14091" s="6">
        <v>0</v>
      </c>
    </row>
    <row r="14092" spans="1:27" x14ac:dyDescent="0.2">
      <c r="A14092" s="1">
        <v>65</v>
      </c>
      <c r="B14092" s="1" t="s">
        <v>164</v>
      </c>
      <c r="C14092" s="1" t="s">
        <v>165</v>
      </c>
      <c r="D14092" s="1">
        <v>2001</v>
      </c>
      <c r="E14092" s="11">
        <v>0</v>
      </c>
      <c r="G14092" s="1">
        <v>0</v>
      </c>
      <c r="H14092" s="1">
        <v>0</v>
      </c>
      <c r="I14092" s="1">
        <v>0.68946497517926097</v>
      </c>
      <c r="J14092" s="1">
        <f t="shared" si="280"/>
        <v>1.4503999999999999</v>
      </c>
      <c r="M14092" s="1" t="s">
        <v>677</v>
      </c>
      <c r="P14092" s="1" t="s">
        <v>470</v>
      </c>
      <c r="Q14092" s="1">
        <v>0</v>
      </c>
      <c r="S14092" s="1">
        <v>0</v>
      </c>
      <c r="T14092" s="1">
        <v>0</v>
      </c>
      <c r="V14092" s="1">
        <f t="shared" si="281"/>
        <v>0</v>
      </c>
      <c r="W14092" s="1">
        <v>0</v>
      </c>
      <c r="X14092" s="39">
        <v>1.7713605239654706</v>
      </c>
      <c r="Y14092" s="1">
        <v>1</v>
      </c>
      <c r="Z14092" s="6">
        <v>0</v>
      </c>
      <c r="AA14092" s="6">
        <v>0</v>
      </c>
    </row>
    <row r="14093" spans="1:27" x14ac:dyDescent="0.2">
      <c r="A14093" s="1">
        <v>65</v>
      </c>
      <c r="B14093" s="1" t="s">
        <v>164</v>
      </c>
      <c r="C14093" s="1" t="s">
        <v>165</v>
      </c>
      <c r="D14093" s="1">
        <v>2002</v>
      </c>
      <c r="E14093" s="11">
        <v>0</v>
      </c>
      <c r="G14093" s="1">
        <v>0</v>
      </c>
      <c r="H14093" s="1">
        <v>0</v>
      </c>
      <c r="I14093" s="1">
        <v>0.620424370269264</v>
      </c>
      <c r="J14093" s="1">
        <f t="shared" si="280"/>
        <v>1.6118000000000003</v>
      </c>
      <c r="M14093" s="1" t="s">
        <v>677</v>
      </c>
      <c r="P14093" s="1" t="s">
        <v>470</v>
      </c>
      <c r="Q14093" s="1">
        <v>0</v>
      </c>
      <c r="S14093" s="1">
        <v>0</v>
      </c>
      <c r="T14093" s="1">
        <v>0</v>
      </c>
      <c r="V14093" s="1">
        <f t="shared" si="281"/>
        <v>0</v>
      </c>
      <c r="W14093" s="1">
        <v>1</v>
      </c>
      <c r="X14093" s="39">
        <v>1.6673979815708506</v>
      </c>
      <c r="Y14093" s="1">
        <v>1</v>
      </c>
      <c r="Z14093" s="6">
        <v>0</v>
      </c>
      <c r="AA14093" s="6">
        <v>0</v>
      </c>
    </row>
    <row r="14094" spans="1:27" x14ac:dyDescent="0.2">
      <c r="A14094" s="1">
        <v>65</v>
      </c>
      <c r="B14094" s="1" t="s">
        <v>164</v>
      </c>
      <c r="C14094" s="1" t="s">
        <v>165</v>
      </c>
      <c r="D14094" s="1">
        <v>2003</v>
      </c>
      <c r="E14094" s="11">
        <v>0</v>
      </c>
      <c r="G14094" s="1">
        <v>0</v>
      </c>
      <c r="H14094" s="1">
        <v>0</v>
      </c>
      <c r="I14094" s="1">
        <v>0.56031826077211899</v>
      </c>
      <c r="J14094" s="1">
        <f t="shared" si="280"/>
        <v>1.7846999999999986</v>
      </c>
      <c r="M14094" s="1" t="s">
        <v>677</v>
      </c>
      <c r="P14094" s="1" t="s">
        <v>470</v>
      </c>
      <c r="Q14094" s="1">
        <v>0</v>
      </c>
      <c r="S14094" s="1">
        <v>0</v>
      </c>
      <c r="T14094" s="1">
        <v>0</v>
      </c>
      <c r="V14094" s="1">
        <f t="shared" si="281"/>
        <v>0</v>
      </c>
      <c r="W14094" s="1">
        <v>0</v>
      </c>
      <c r="X14094" s="39">
        <v>2.8916702632714841</v>
      </c>
      <c r="Y14094" s="1">
        <v>1</v>
      </c>
      <c r="Z14094" s="6">
        <v>0</v>
      </c>
      <c r="AA14094" s="6">
        <v>0</v>
      </c>
    </row>
    <row r="14095" spans="1:27" x14ac:dyDescent="0.2">
      <c r="A14095" s="1">
        <v>65</v>
      </c>
      <c r="B14095" s="1" t="s">
        <v>164</v>
      </c>
      <c r="C14095" s="1" t="s">
        <v>165</v>
      </c>
      <c r="D14095" s="1">
        <v>2004</v>
      </c>
      <c r="E14095" s="11">
        <v>0</v>
      </c>
      <c r="G14095" s="1">
        <v>0</v>
      </c>
      <c r="H14095" s="1">
        <v>0</v>
      </c>
      <c r="I14095" s="1">
        <v>0.51775913844879395</v>
      </c>
      <c r="J14095" s="1">
        <f t="shared" si="280"/>
        <v>1.9313999999999987</v>
      </c>
      <c r="M14095" s="1" t="s">
        <v>677</v>
      </c>
      <c r="P14095" s="1" t="s">
        <v>470</v>
      </c>
      <c r="Q14095" s="1">
        <v>0</v>
      </c>
      <c r="S14095" s="1">
        <v>0</v>
      </c>
      <c r="T14095" s="1">
        <v>0</v>
      </c>
      <c r="V14095" s="1">
        <f t="shared" si="281"/>
        <v>0</v>
      </c>
      <c r="W14095" s="1">
        <v>0</v>
      </c>
      <c r="X14095" s="39">
        <v>2.9781879194630712</v>
      </c>
      <c r="Y14095" s="1">
        <v>1</v>
      </c>
      <c r="Z14095" s="6">
        <v>0</v>
      </c>
      <c r="AA14095" s="6">
        <v>0</v>
      </c>
    </row>
    <row r="14096" spans="1:27" x14ac:dyDescent="0.2">
      <c r="A14096" s="1">
        <v>65</v>
      </c>
      <c r="B14096" s="1" t="s">
        <v>164</v>
      </c>
      <c r="C14096" s="1" t="s">
        <v>165</v>
      </c>
      <c r="D14096" s="1">
        <v>2005</v>
      </c>
      <c r="E14096" s="11">
        <v>0</v>
      </c>
      <c r="G14096" s="1">
        <v>0</v>
      </c>
      <c r="H14096" s="1">
        <v>0</v>
      </c>
      <c r="I14096" s="1">
        <v>0.58075381845635599</v>
      </c>
      <c r="J14096" s="1">
        <f t="shared" si="280"/>
        <v>1.7219000000000011</v>
      </c>
      <c r="M14096" s="1" t="s">
        <v>677</v>
      </c>
      <c r="P14096" s="1" t="s">
        <v>470</v>
      </c>
      <c r="Q14096" s="1">
        <v>0</v>
      </c>
      <c r="S14096" s="1">
        <v>0</v>
      </c>
      <c r="T14096" s="1">
        <v>0</v>
      </c>
      <c r="V14096" s="1">
        <f t="shared" si="281"/>
        <v>0</v>
      </c>
      <c r="W14096" s="1">
        <v>0</v>
      </c>
      <c r="X14096" s="26">
        <v>2.8241683638832393</v>
      </c>
      <c r="Y14096" s="1">
        <v>1</v>
      </c>
      <c r="Z14096" s="6">
        <v>0</v>
      </c>
      <c r="AA14096" s="6">
        <v>0</v>
      </c>
    </row>
    <row r="14097" spans="1:27" x14ac:dyDescent="0.2">
      <c r="A14097" s="1">
        <v>65</v>
      </c>
      <c r="B14097" s="1" t="s">
        <v>164</v>
      </c>
      <c r="C14097" s="1" t="s">
        <v>165</v>
      </c>
      <c r="D14097" s="1">
        <v>2006</v>
      </c>
      <c r="E14097" s="11">
        <v>0</v>
      </c>
      <c r="G14097" s="1">
        <v>0</v>
      </c>
      <c r="H14097" s="1">
        <v>0</v>
      </c>
      <c r="I14097" s="1">
        <v>0.50942435048395296</v>
      </c>
      <c r="J14097" s="1">
        <f t="shared" si="280"/>
        <v>1.9630000000000007</v>
      </c>
      <c r="M14097" s="1" t="s">
        <v>677</v>
      </c>
      <c r="P14097" s="1" t="s">
        <v>470</v>
      </c>
      <c r="Q14097" s="1">
        <v>0</v>
      </c>
      <c r="S14097" s="1">
        <v>0</v>
      </c>
      <c r="T14097" s="1">
        <v>0</v>
      </c>
      <c r="V14097" s="1">
        <f t="shared" si="281"/>
        <v>0</v>
      </c>
      <c r="W14097" s="1">
        <v>0</v>
      </c>
      <c r="X14097" s="29">
        <v>3.1955631849993393</v>
      </c>
      <c r="Y14097" s="1">
        <v>1</v>
      </c>
      <c r="Z14097" s="6">
        <v>0</v>
      </c>
      <c r="AA14097" s="6">
        <v>0</v>
      </c>
    </row>
    <row r="14098" spans="1:27" x14ac:dyDescent="0.2">
      <c r="A14098" s="1">
        <v>65</v>
      </c>
      <c r="B14098" s="1" t="s">
        <v>164</v>
      </c>
      <c r="C14098" s="1" t="s">
        <v>165</v>
      </c>
      <c r="D14098" s="1">
        <v>2007</v>
      </c>
      <c r="E14098" s="19">
        <v>1</v>
      </c>
      <c r="G14098" s="1">
        <v>0</v>
      </c>
      <c r="H14098" s="1">
        <v>0</v>
      </c>
      <c r="I14098" s="1">
        <v>0.49915144254766902</v>
      </c>
      <c r="J14098" s="1">
        <f t="shared" si="280"/>
        <v>2.0033999999999996</v>
      </c>
      <c r="M14098" s="1" t="s">
        <v>677</v>
      </c>
      <c r="P14098" s="1" t="s">
        <v>470</v>
      </c>
      <c r="Q14098" s="1">
        <v>0</v>
      </c>
      <c r="S14098" s="1">
        <v>0</v>
      </c>
      <c r="T14098" s="1">
        <v>0</v>
      </c>
      <c r="V14098" s="1">
        <f t="shared" si="281"/>
        <v>0</v>
      </c>
      <c r="W14098" s="1">
        <v>0</v>
      </c>
      <c r="X14098" s="29">
        <v>4.2866282789507215</v>
      </c>
      <c r="Y14098" s="1">
        <v>1</v>
      </c>
      <c r="Z14098" s="6">
        <v>0</v>
      </c>
      <c r="AA14098" s="6">
        <v>0</v>
      </c>
    </row>
    <row r="14099" spans="1:27" x14ac:dyDescent="0.2">
      <c r="A14099" s="1">
        <v>65</v>
      </c>
      <c r="B14099" s="1" t="s">
        <v>164</v>
      </c>
      <c r="C14099" s="1" t="s">
        <v>165</v>
      </c>
      <c r="D14099" s="1">
        <v>2008</v>
      </c>
      <c r="E14099" s="19">
        <v>1</v>
      </c>
      <c r="G14099" s="1">
        <v>0</v>
      </c>
      <c r="H14099" s="1">
        <v>0</v>
      </c>
      <c r="I14099" s="1">
        <v>0.68596515297022898</v>
      </c>
      <c r="J14099" s="1">
        <f t="shared" si="280"/>
        <v>1.4578000000000002</v>
      </c>
      <c r="M14099" s="1" t="s">
        <v>677</v>
      </c>
      <c r="P14099" s="1" t="s">
        <v>470</v>
      </c>
      <c r="Q14099" s="1">
        <v>0</v>
      </c>
      <c r="S14099" s="1">
        <v>0</v>
      </c>
      <c r="T14099" s="1">
        <v>0</v>
      </c>
      <c r="V14099" s="1">
        <f t="shared" si="281"/>
        <v>0</v>
      </c>
      <c r="W14099" s="1">
        <v>1</v>
      </c>
      <c r="X14099" s="29">
        <v>3.9877300613496924</v>
      </c>
      <c r="Y14099" s="1">
        <v>1</v>
      </c>
      <c r="Z14099" s="6">
        <v>1</v>
      </c>
      <c r="AA14099" s="6">
        <v>0</v>
      </c>
    </row>
    <row r="14100" spans="1:27" x14ac:dyDescent="0.2">
      <c r="A14100" s="1">
        <v>65</v>
      </c>
      <c r="B14100" s="1" t="s">
        <v>164</v>
      </c>
      <c r="C14100" s="1" t="s">
        <v>165</v>
      </c>
      <c r="D14100" s="1">
        <v>2009</v>
      </c>
      <c r="E14100" s="19">
        <v>1</v>
      </c>
      <c r="G14100" s="1">
        <v>0</v>
      </c>
      <c r="H14100" s="1">
        <v>0</v>
      </c>
      <c r="I14100" s="1">
        <v>0.61747452917567103</v>
      </c>
      <c r="J14100" s="1">
        <f t="shared" si="280"/>
        <v>1.6195000000000013</v>
      </c>
      <c r="M14100" s="1" t="s">
        <v>677</v>
      </c>
      <c r="P14100" s="1" t="s">
        <v>470</v>
      </c>
      <c r="Q14100" s="1">
        <v>0</v>
      </c>
      <c r="S14100" s="1">
        <v>0</v>
      </c>
      <c r="T14100" s="1">
        <v>0</v>
      </c>
      <c r="V14100" s="1">
        <f t="shared" si="281"/>
        <v>0</v>
      </c>
      <c r="W14100" s="1">
        <v>0</v>
      </c>
      <c r="X14100" s="29">
        <v>-0.53097345132743223</v>
      </c>
      <c r="Y14100" s="1">
        <v>1</v>
      </c>
      <c r="Z14100" s="57">
        <v>0</v>
      </c>
      <c r="AA14100" s="6">
        <v>0</v>
      </c>
    </row>
    <row r="14101" spans="1:27" x14ac:dyDescent="0.2">
      <c r="A14101" s="1">
        <v>65</v>
      </c>
      <c r="B14101" s="1" t="s">
        <v>164</v>
      </c>
      <c r="C14101" s="1" t="s">
        <v>165</v>
      </c>
      <c r="D14101" s="1">
        <v>2010</v>
      </c>
      <c r="E14101" s="19">
        <v>1</v>
      </c>
      <c r="G14101" s="1">
        <v>0</v>
      </c>
      <c r="H14101" s="1">
        <v>0</v>
      </c>
      <c r="I14101" s="1">
        <v>0.64717934556016499</v>
      </c>
      <c r="J14101" s="1">
        <f t="shared" si="280"/>
        <v>1.5451667406574165</v>
      </c>
      <c r="M14101" s="1" t="s">
        <v>677</v>
      </c>
      <c r="P14101" s="1" t="s">
        <v>470</v>
      </c>
      <c r="Q14101" s="1">
        <v>0</v>
      </c>
      <c r="S14101" s="1">
        <v>0</v>
      </c>
      <c r="T14101" s="1">
        <v>0</v>
      </c>
      <c r="V14101" s="1">
        <f t="shared" si="281"/>
        <v>0</v>
      </c>
      <c r="W14101" s="1">
        <v>0</v>
      </c>
      <c r="X14101" s="29">
        <v>4.6144721233689179</v>
      </c>
      <c r="Y14101" s="1">
        <v>1</v>
      </c>
      <c r="Z14101" s="57">
        <v>0</v>
      </c>
      <c r="AA14101" s="57">
        <v>0</v>
      </c>
    </row>
    <row r="14102" spans="1:27" x14ac:dyDescent="0.2">
      <c r="A14102" s="1">
        <v>65</v>
      </c>
      <c r="B14102" s="1" t="s">
        <v>164</v>
      </c>
      <c r="C14102" s="1" t="s">
        <v>165</v>
      </c>
      <c r="D14102" s="1">
        <v>2011</v>
      </c>
      <c r="E14102" s="19">
        <v>1</v>
      </c>
      <c r="G14102" s="1">
        <v>0</v>
      </c>
      <c r="H14102" s="1">
        <v>0</v>
      </c>
      <c r="I14102" s="1">
        <v>0.62414083574049495</v>
      </c>
      <c r="J14102" s="1">
        <f t="shared" si="280"/>
        <v>1.6022024881829389</v>
      </c>
      <c r="M14102" s="1" t="s">
        <v>677</v>
      </c>
      <c r="P14102" s="1" t="s">
        <v>470</v>
      </c>
      <c r="Q14102" s="1">
        <v>0</v>
      </c>
      <c r="S14102" s="1">
        <v>0</v>
      </c>
      <c r="T14102" s="1">
        <v>0</v>
      </c>
      <c r="V14102" s="1">
        <f t="shared" si="281"/>
        <v>0</v>
      </c>
      <c r="W14102" s="1">
        <v>0</v>
      </c>
      <c r="X14102" s="29">
        <v>5.2046717314888413</v>
      </c>
      <c r="Y14102" s="1">
        <v>1</v>
      </c>
      <c r="Z14102" s="57">
        <v>0</v>
      </c>
      <c r="AA14102" s="57">
        <v>0</v>
      </c>
    </row>
    <row r="14103" spans="1:27" ht="12.95" customHeight="1" x14ac:dyDescent="0.25">
      <c r="A14103" s="1">
        <v>65</v>
      </c>
      <c r="B14103" s="1" t="s">
        <v>164</v>
      </c>
      <c r="C14103" s="1" t="s">
        <v>165</v>
      </c>
      <c r="D14103" s="1">
        <v>2012</v>
      </c>
      <c r="E14103" s="19">
        <v>1</v>
      </c>
      <c r="G14103" s="1">
        <v>0</v>
      </c>
      <c r="H14103" s="1">
        <v>0</v>
      </c>
      <c r="I14103" s="1">
        <v>0.63304698885732702</v>
      </c>
      <c r="J14103" s="1">
        <f t="shared" si="280"/>
        <v>1.5796615695227247</v>
      </c>
      <c r="M14103" s="1" t="s">
        <v>677</v>
      </c>
      <c r="P14103" s="1" t="s">
        <v>470</v>
      </c>
      <c r="Q14103" s="1">
        <v>0</v>
      </c>
      <c r="S14103" s="1">
        <v>0</v>
      </c>
      <c r="T14103" s="1">
        <v>0</v>
      </c>
      <c r="V14103" s="1">
        <f t="shared" si="281"/>
        <v>0</v>
      </c>
      <c r="W14103" s="1">
        <v>0</v>
      </c>
      <c r="X14103" s="42">
        <v>2.8010000000000002</v>
      </c>
      <c r="Y14103" s="1">
        <v>1</v>
      </c>
      <c r="Z14103" s="57">
        <v>0</v>
      </c>
      <c r="AA14103" s="57">
        <v>0</v>
      </c>
    </row>
    <row r="14104" spans="1:27" ht="15" customHeight="1" x14ac:dyDescent="0.25">
      <c r="A14104" s="1">
        <v>65</v>
      </c>
      <c r="B14104" s="1" t="s">
        <v>164</v>
      </c>
      <c r="C14104" s="1" t="s">
        <v>165</v>
      </c>
      <c r="D14104" s="1">
        <v>2013</v>
      </c>
      <c r="E14104" s="19">
        <v>1</v>
      </c>
      <c r="G14104" s="1">
        <v>0</v>
      </c>
      <c r="H14104" s="1">
        <v>0</v>
      </c>
      <c r="I14104" s="1">
        <v>0.63966057761347705</v>
      </c>
      <c r="J14104" s="1">
        <f t="shared" si="280"/>
        <v>1.5633291076509994</v>
      </c>
      <c r="M14104" s="1" t="s">
        <v>677</v>
      </c>
      <c r="P14104" s="1" t="s">
        <v>470</v>
      </c>
      <c r="Q14104" s="1">
        <v>0</v>
      </c>
      <c r="S14104" s="1">
        <v>0</v>
      </c>
      <c r="T14104" s="1">
        <v>0</v>
      </c>
      <c r="V14104" s="1">
        <f t="shared" si="281"/>
        <v>0</v>
      </c>
      <c r="W14104" s="1">
        <v>0</v>
      </c>
      <c r="X14104" s="42">
        <v>2.5680000000000001</v>
      </c>
      <c r="Y14104" s="1">
        <v>1</v>
      </c>
      <c r="Z14104" s="57">
        <v>0</v>
      </c>
      <c r="AA14104" s="57">
        <v>0</v>
      </c>
    </row>
    <row r="14105" spans="1:27" ht="15" customHeight="1" x14ac:dyDescent="0.25">
      <c r="A14105" s="1">
        <v>65</v>
      </c>
      <c r="B14105" s="1" t="s">
        <v>164</v>
      </c>
      <c r="C14105" s="1" t="s">
        <v>165</v>
      </c>
      <c r="D14105" s="1">
        <v>2014</v>
      </c>
      <c r="E14105" s="19">
        <v>1</v>
      </c>
      <c r="G14105" s="1">
        <v>0</v>
      </c>
      <c r="H14105" s="1">
        <v>0</v>
      </c>
      <c r="I14105" s="1">
        <v>0.60772962687825505</v>
      </c>
      <c r="J14105" s="1">
        <f t="shared" si="280"/>
        <v>1.6454685698584965</v>
      </c>
      <c r="M14105" s="1" t="s">
        <v>677</v>
      </c>
      <c r="P14105" s="1" t="s">
        <v>470</v>
      </c>
      <c r="Q14105" s="1">
        <v>0</v>
      </c>
      <c r="S14105" s="1">
        <v>0</v>
      </c>
      <c r="T14105" s="1">
        <v>0</v>
      </c>
      <c r="V14105" s="1">
        <f t="shared" si="281"/>
        <v>0</v>
      </c>
      <c r="W14105" s="1">
        <v>0</v>
      </c>
      <c r="X14105" s="42">
        <v>1.472</v>
      </c>
      <c r="Y14105" s="1">
        <v>1</v>
      </c>
      <c r="Z14105" s="57">
        <v>0</v>
      </c>
      <c r="AA14105" s="57">
        <v>0</v>
      </c>
    </row>
    <row r="14106" spans="1:27" ht="15" customHeight="1" x14ac:dyDescent="0.25">
      <c r="A14106" s="1">
        <v>65</v>
      </c>
      <c r="B14106" s="1" t="s">
        <v>164</v>
      </c>
      <c r="C14106" s="1" t="s">
        <v>165</v>
      </c>
      <c r="D14106" s="1">
        <v>2015</v>
      </c>
      <c r="E14106" s="1" t="s">
        <v>5</v>
      </c>
      <c r="G14106" s="1">
        <v>0</v>
      </c>
      <c r="H14106" s="1">
        <v>0</v>
      </c>
      <c r="I14106" s="1">
        <v>0.64</v>
      </c>
      <c r="J14106" s="1">
        <f t="shared" si="280"/>
        <v>1.5625</v>
      </c>
      <c r="M14106" s="1" t="s">
        <v>677</v>
      </c>
      <c r="P14106" s="1" t="s">
        <v>470</v>
      </c>
      <c r="Q14106" s="1">
        <v>0</v>
      </c>
      <c r="S14106" s="1">
        <v>0</v>
      </c>
      <c r="T14106" s="1">
        <v>0</v>
      </c>
      <c r="V14106" s="1">
        <f t="shared" si="281"/>
        <v>0</v>
      </c>
      <c r="W14106" s="1">
        <v>1</v>
      </c>
      <c r="X14106" s="42">
        <v>0.05</v>
      </c>
      <c r="Y14106" s="1">
        <v>1</v>
      </c>
      <c r="Z14106" s="1">
        <v>0</v>
      </c>
      <c r="AA14106" s="1">
        <v>0</v>
      </c>
    </row>
    <row r="14107" spans="1:27" ht="15" customHeight="1" x14ac:dyDescent="0.25">
      <c r="A14107" s="1">
        <v>65</v>
      </c>
      <c r="B14107" s="1" t="s">
        <v>164</v>
      </c>
      <c r="C14107" s="1" t="s">
        <v>165</v>
      </c>
      <c r="D14107" s="1">
        <v>2016</v>
      </c>
      <c r="E14107" s="1" t="s">
        <v>5</v>
      </c>
      <c r="G14107" s="1">
        <v>0</v>
      </c>
      <c r="H14107" s="1">
        <v>0</v>
      </c>
      <c r="I14107" s="1">
        <v>0.7</v>
      </c>
      <c r="M14107" s="1" t="s">
        <v>677</v>
      </c>
      <c r="O14107" s="1" t="s">
        <v>671</v>
      </c>
      <c r="P14107" s="1" t="s">
        <v>684</v>
      </c>
      <c r="Q14107" s="1" t="s">
        <v>5</v>
      </c>
      <c r="S14107" s="1">
        <v>0</v>
      </c>
      <c r="T14107" s="1">
        <v>0</v>
      </c>
      <c r="V14107" s="1">
        <f t="shared" si="281"/>
        <v>0</v>
      </c>
      <c r="W14107" s="1" t="s">
        <v>5</v>
      </c>
      <c r="X14107" s="42">
        <v>0.77600000000000002</v>
      </c>
      <c r="Y14107" s="1">
        <v>1</v>
      </c>
      <c r="Z14107" s="1">
        <v>0</v>
      </c>
      <c r="AA14107" s="1">
        <v>0</v>
      </c>
    </row>
    <row r="14108" spans="1:27" ht="15" customHeight="1" x14ac:dyDescent="0.2">
      <c r="A14108" s="1">
        <v>66</v>
      </c>
      <c r="B14108" s="1" t="s">
        <v>166</v>
      </c>
      <c r="C14108" s="1" t="s">
        <v>167</v>
      </c>
      <c r="D14108" s="1">
        <v>1800</v>
      </c>
      <c r="E14108" s="6">
        <v>0</v>
      </c>
      <c r="G14108" s="1">
        <v>0</v>
      </c>
      <c r="H14108" s="1">
        <v>0</v>
      </c>
      <c r="I14108" s="1">
        <v>4.4622936189201248</v>
      </c>
      <c r="M14108" s="1" t="s">
        <v>677</v>
      </c>
      <c r="P14108" s="1" t="s">
        <v>471</v>
      </c>
      <c r="Q14108" s="1">
        <v>0</v>
      </c>
      <c r="S14108" s="1">
        <v>0</v>
      </c>
      <c r="T14108" s="1">
        <v>0</v>
      </c>
      <c r="V14108" s="1">
        <f t="shared" ref="V14108:V14171" si="282">18.93*S14108</f>
        <v>0</v>
      </c>
      <c r="W14108" s="1">
        <v>1</v>
      </c>
      <c r="X14108" s="26">
        <v>2.0270270270270174</v>
      </c>
      <c r="Y14108" s="1">
        <v>1</v>
      </c>
      <c r="Z14108" s="11">
        <v>0</v>
      </c>
      <c r="AA14108" s="11">
        <v>0</v>
      </c>
    </row>
    <row r="14109" spans="1:27" ht="12.75" customHeight="1" x14ac:dyDescent="0.2">
      <c r="A14109" s="1">
        <v>66</v>
      </c>
      <c r="B14109" s="1" t="s">
        <v>166</v>
      </c>
      <c r="C14109" s="1" t="s">
        <v>167</v>
      </c>
      <c r="D14109" s="1">
        <v>1801</v>
      </c>
      <c r="E14109" s="6">
        <v>0</v>
      </c>
      <c r="G14109" s="1">
        <v>0</v>
      </c>
      <c r="H14109" s="1">
        <v>0</v>
      </c>
      <c r="I14109" s="1">
        <v>4.3630017452006982</v>
      </c>
      <c r="M14109" s="1" t="s">
        <v>677</v>
      </c>
      <c r="P14109" s="1" t="s">
        <v>471</v>
      </c>
      <c r="Q14109" s="1">
        <v>0</v>
      </c>
      <c r="S14109" s="1">
        <v>0</v>
      </c>
      <c r="T14109" s="1">
        <v>0</v>
      </c>
      <c r="V14109" s="1">
        <f t="shared" si="282"/>
        <v>0</v>
      </c>
      <c r="W14109" s="1">
        <v>0</v>
      </c>
      <c r="X14109" s="26">
        <v>1.3245033112582849</v>
      </c>
      <c r="Y14109" s="1">
        <v>1</v>
      </c>
      <c r="Z14109" s="11">
        <v>0</v>
      </c>
      <c r="AA14109" s="11">
        <v>0</v>
      </c>
    </row>
    <row r="14110" spans="1:27" ht="12.75" customHeight="1" x14ac:dyDescent="0.2">
      <c r="A14110" s="1">
        <v>66</v>
      </c>
      <c r="B14110" s="1" t="s">
        <v>166</v>
      </c>
      <c r="C14110" s="1" t="s">
        <v>167</v>
      </c>
      <c r="D14110" s="1">
        <v>1802</v>
      </c>
      <c r="E14110" s="6">
        <v>0</v>
      </c>
      <c r="G14110" s="1">
        <v>0</v>
      </c>
      <c r="H14110" s="1">
        <v>0</v>
      </c>
      <c r="I14110" s="1">
        <v>4.4742729306487696</v>
      </c>
      <c r="M14110" s="1" t="s">
        <v>677</v>
      </c>
      <c r="P14110" s="1" t="s">
        <v>471</v>
      </c>
      <c r="Q14110" s="1">
        <v>0</v>
      </c>
      <c r="S14110" s="1">
        <v>0</v>
      </c>
      <c r="T14110" s="1">
        <v>0</v>
      </c>
      <c r="V14110" s="1">
        <f t="shared" si="282"/>
        <v>0</v>
      </c>
      <c r="W14110" s="1">
        <v>0</v>
      </c>
      <c r="X14110" s="26">
        <v>-15.686274509803921</v>
      </c>
      <c r="Y14110" s="1">
        <v>1</v>
      </c>
      <c r="Z14110" s="11">
        <v>0</v>
      </c>
      <c r="AA14110" s="11">
        <v>0</v>
      </c>
    </row>
    <row r="14111" spans="1:27" ht="12.75" customHeight="1" x14ac:dyDescent="0.2">
      <c r="A14111" s="1">
        <v>66</v>
      </c>
      <c r="B14111" s="1" t="s">
        <v>166</v>
      </c>
      <c r="C14111" s="1" t="s">
        <v>167</v>
      </c>
      <c r="D14111" s="1">
        <v>1803</v>
      </c>
      <c r="E14111" s="6">
        <v>0</v>
      </c>
      <c r="G14111" s="1">
        <v>0</v>
      </c>
      <c r="H14111" s="1">
        <v>0</v>
      </c>
      <c r="I14111" s="1">
        <v>4.6620046620046622</v>
      </c>
      <c r="M14111" s="1" t="s">
        <v>677</v>
      </c>
      <c r="P14111" s="1" t="s">
        <v>471</v>
      </c>
      <c r="Q14111" s="1">
        <v>0</v>
      </c>
      <c r="S14111" s="1">
        <v>0</v>
      </c>
      <c r="T14111" s="1">
        <v>0</v>
      </c>
      <c r="V14111" s="1">
        <f t="shared" si="282"/>
        <v>0</v>
      </c>
      <c r="W14111" s="1">
        <v>0</v>
      </c>
      <c r="X14111" s="26">
        <v>5.4263565891472965</v>
      </c>
      <c r="Y14111" s="1">
        <v>1</v>
      </c>
      <c r="Z14111" s="11">
        <v>0</v>
      </c>
      <c r="AA14111" s="11">
        <v>0</v>
      </c>
    </row>
    <row r="14112" spans="1:27" ht="12.75" customHeight="1" x14ac:dyDescent="0.2">
      <c r="A14112" s="1">
        <v>66</v>
      </c>
      <c r="B14112" s="1" t="s">
        <v>166</v>
      </c>
      <c r="C14112" s="1" t="s">
        <v>167</v>
      </c>
      <c r="D14112" s="1">
        <v>1804</v>
      </c>
      <c r="E14112" s="6">
        <v>0</v>
      </c>
      <c r="G14112" s="1">
        <v>0</v>
      </c>
      <c r="H14112" s="1">
        <v>0</v>
      </c>
      <c r="I14112" s="1">
        <v>4.5289855072463769</v>
      </c>
      <c r="M14112" s="1" t="s">
        <v>677</v>
      </c>
      <c r="P14112" s="1" t="s">
        <v>471</v>
      </c>
      <c r="Q14112" s="1">
        <v>0</v>
      </c>
      <c r="S14112" s="1">
        <v>0</v>
      </c>
      <c r="T14112" s="1">
        <v>0</v>
      </c>
      <c r="V14112" s="1">
        <f t="shared" si="282"/>
        <v>0</v>
      </c>
      <c r="W14112" s="1">
        <v>0</v>
      </c>
      <c r="X14112" s="26">
        <v>4.4117647058823595</v>
      </c>
      <c r="Y14112" s="1">
        <v>1</v>
      </c>
      <c r="Z14112" s="11">
        <v>0</v>
      </c>
      <c r="AA14112" s="11">
        <v>0</v>
      </c>
    </row>
    <row r="14113" spans="1:27" ht="12.75" customHeight="1" x14ac:dyDescent="0.2">
      <c r="A14113" s="1">
        <v>66</v>
      </c>
      <c r="B14113" s="1" t="s">
        <v>166</v>
      </c>
      <c r="C14113" s="1" t="s">
        <v>167</v>
      </c>
      <c r="D14113" s="1">
        <v>1805</v>
      </c>
      <c r="E14113" s="6">
        <v>0</v>
      </c>
      <c r="G14113" s="1">
        <v>0</v>
      </c>
      <c r="H14113" s="1">
        <v>0</v>
      </c>
      <c r="I14113" s="1">
        <v>4.3956043956043951</v>
      </c>
      <c r="M14113" s="1" t="s">
        <v>677</v>
      </c>
      <c r="P14113" s="1" t="s">
        <v>471</v>
      </c>
      <c r="Q14113" s="1">
        <v>0</v>
      </c>
      <c r="S14113" s="1">
        <v>0</v>
      </c>
      <c r="T14113" s="1">
        <v>0</v>
      </c>
      <c r="V14113" s="1">
        <f t="shared" si="282"/>
        <v>0</v>
      </c>
      <c r="W14113" s="1">
        <v>0</v>
      </c>
      <c r="X14113" s="26">
        <v>-0.70422535211267512</v>
      </c>
      <c r="Y14113" s="1">
        <v>1</v>
      </c>
      <c r="Z14113" s="11">
        <v>0</v>
      </c>
      <c r="AA14113" s="11">
        <v>0</v>
      </c>
    </row>
    <row r="14114" spans="1:27" x14ac:dyDescent="0.2">
      <c r="A14114" s="1">
        <v>66</v>
      </c>
      <c r="B14114" s="1" t="s">
        <v>166</v>
      </c>
      <c r="C14114" s="1" t="s">
        <v>167</v>
      </c>
      <c r="D14114" s="1">
        <v>1806</v>
      </c>
      <c r="E14114" s="6">
        <v>0</v>
      </c>
      <c r="G14114" s="1">
        <v>0</v>
      </c>
      <c r="H14114" s="1">
        <v>0</v>
      </c>
      <c r="I14114" s="1">
        <v>4.3956043956043951</v>
      </c>
      <c r="M14114" s="1" t="s">
        <v>677</v>
      </c>
      <c r="P14114" s="1" t="s">
        <v>471</v>
      </c>
      <c r="Q14114" s="1">
        <v>0</v>
      </c>
      <c r="S14114" s="1">
        <v>0</v>
      </c>
      <c r="T14114" s="1">
        <v>0</v>
      </c>
      <c r="V14114" s="1">
        <f t="shared" si="282"/>
        <v>0</v>
      </c>
      <c r="W14114" s="1">
        <v>0</v>
      </c>
      <c r="X14114" s="26">
        <v>4.2553191489361764</v>
      </c>
      <c r="Y14114" s="1">
        <v>1</v>
      </c>
      <c r="Z14114" s="11">
        <v>0</v>
      </c>
      <c r="AA14114" s="11">
        <v>0</v>
      </c>
    </row>
    <row r="14115" spans="1:27" x14ac:dyDescent="0.2">
      <c r="A14115" s="1">
        <v>66</v>
      </c>
      <c r="B14115" s="1" t="s">
        <v>166</v>
      </c>
      <c r="C14115" s="1" t="s">
        <v>167</v>
      </c>
      <c r="D14115" s="1">
        <v>1807</v>
      </c>
      <c r="E14115" s="6">
        <v>0</v>
      </c>
      <c r="G14115" s="1">
        <v>0</v>
      </c>
      <c r="H14115" s="1">
        <v>0</v>
      </c>
      <c r="I14115" s="1">
        <v>4.4622936189201248</v>
      </c>
      <c r="M14115" s="1" t="s">
        <v>677</v>
      </c>
      <c r="P14115" s="1" t="s">
        <v>471</v>
      </c>
      <c r="Q14115" s="1">
        <v>0</v>
      </c>
      <c r="S14115" s="1">
        <v>0</v>
      </c>
      <c r="T14115" s="1">
        <v>0</v>
      </c>
      <c r="V14115" s="1">
        <f t="shared" si="282"/>
        <v>0</v>
      </c>
      <c r="W14115" s="1">
        <v>0</v>
      </c>
      <c r="X14115" s="26">
        <v>-5.4421768707482947</v>
      </c>
      <c r="Y14115" s="1">
        <v>1</v>
      </c>
      <c r="Z14115" s="11">
        <v>0</v>
      </c>
      <c r="AA14115" s="11">
        <v>0</v>
      </c>
    </row>
    <row r="14116" spans="1:27" x14ac:dyDescent="0.2">
      <c r="A14116" s="1">
        <v>66</v>
      </c>
      <c r="B14116" s="1" t="s">
        <v>166</v>
      </c>
      <c r="C14116" s="1" t="s">
        <v>167</v>
      </c>
      <c r="D14116" s="1">
        <v>1808</v>
      </c>
      <c r="E14116" s="6">
        <v>0</v>
      </c>
      <c r="G14116" s="1">
        <v>0</v>
      </c>
      <c r="H14116" s="1">
        <v>0</v>
      </c>
      <c r="I14116" s="1">
        <v>4.8828125</v>
      </c>
      <c r="M14116" s="1" t="s">
        <v>677</v>
      </c>
      <c r="P14116" s="1" t="s">
        <v>471</v>
      </c>
      <c r="Q14116" s="1">
        <v>0</v>
      </c>
      <c r="S14116" s="1">
        <v>0</v>
      </c>
      <c r="T14116" s="1">
        <v>0</v>
      </c>
      <c r="V14116" s="1">
        <f t="shared" si="282"/>
        <v>0</v>
      </c>
      <c r="W14116" s="1">
        <v>0</v>
      </c>
      <c r="X14116" s="26">
        <v>8.6330935251798468</v>
      </c>
      <c r="Y14116" s="1">
        <v>1</v>
      </c>
      <c r="Z14116" s="11">
        <v>0</v>
      </c>
      <c r="AA14116" s="11">
        <v>0</v>
      </c>
    </row>
    <row r="14117" spans="1:27" x14ac:dyDescent="0.2">
      <c r="A14117" s="1">
        <v>66</v>
      </c>
      <c r="B14117" s="1" t="s">
        <v>166</v>
      </c>
      <c r="C14117" s="1" t="s">
        <v>167</v>
      </c>
      <c r="D14117" s="1">
        <v>1809</v>
      </c>
      <c r="E14117" s="6">
        <v>0</v>
      </c>
      <c r="G14117" s="1">
        <v>0</v>
      </c>
      <c r="H14117" s="1">
        <v>0</v>
      </c>
      <c r="I14117" s="1">
        <v>4.4404973357015987</v>
      </c>
      <c r="M14117" s="1" t="s">
        <v>677</v>
      </c>
      <c r="P14117" s="1" t="s">
        <v>471</v>
      </c>
      <c r="Q14117" s="1">
        <v>0</v>
      </c>
      <c r="S14117" s="1">
        <v>0</v>
      </c>
      <c r="T14117" s="1">
        <v>0</v>
      </c>
      <c r="V14117" s="1">
        <f t="shared" si="282"/>
        <v>0</v>
      </c>
      <c r="W14117" s="1">
        <v>0</v>
      </c>
      <c r="X14117" s="26">
        <v>-1.9867549668874163</v>
      </c>
      <c r="Y14117" s="1">
        <v>1</v>
      </c>
      <c r="Z14117" s="11">
        <v>0</v>
      </c>
      <c r="AA14117" s="11">
        <v>0</v>
      </c>
    </row>
    <row r="14118" spans="1:27" x14ac:dyDescent="0.2">
      <c r="A14118" s="1">
        <v>66</v>
      </c>
      <c r="B14118" s="1" t="s">
        <v>166</v>
      </c>
      <c r="C14118" s="1" t="s">
        <v>167</v>
      </c>
      <c r="D14118" s="1">
        <v>1810</v>
      </c>
      <c r="E14118" s="6">
        <v>0</v>
      </c>
      <c r="G14118" s="1">
        <v>0</v>
      </c>
      <c r="H14118" s="1">
        <v>0</v>
      </c>
      <c r="I14118" s="1">
        <v>4.1067761806981524</v>
      </c>
      <c r="M14118" s="1" t="s">
        <v>677</v>
      </c>
      <c r="P14118" s="1" t="s">
        <v>471</v>
      </c>
      <c r="Q14118" s="1">
        <v>0</v>
      </c>
      <c r="S14118" s="1">
        <v>0</v>
      </c>
      <c r="T14118" s="1">
        <v>0</v>
      </c>
      <c r="V14118" s="1">
        <f t="shared" si="282"/>
        <v>0</v>
      </c>
      <c r="W14118" s="1">
        <v>0</v>
      </c>
      <c r="X14118" s="26">
        <v>0</v>
      </c>
      <c r="Y14118" s="1">
        <v>1</v>
      </c>
      <c r="Z14118" s="11">
        <v>0</v>
      </c>
      <c r="AA14118" s="11">
        <v>0</v>
      </c>
    </row>
    <row r="14119" spans="1:27" x14ac:dyDescent="0.2">
      <c r="A14119" s="1">
        <v>66</v>
      </c>
      <c r="B14119" s="1" t="s">
        <v>166</v>
      </c>
      <c r="C14119" s="1" t="s">
        <v>167</v>
      </c>
      <c r="D14119" s="1">
        <v>1811</v>
      </c>
      <c r="E14119" s="6">
        <v>0</v>
      </c>
      <c r="G14119" s="1">
        <v>0</v>
      </c>
      <c r="H14119" s="1">
        <v>0</v>
      </c>
      <c r="I14119" s="1">
        <v>3.7299515106303618</v>
      </c>
      <c r="M14119" s="1" t="s">
        <v>677</v>
      </c>
      <c r="P14119" s="1" t="s">
        <v>471</v>
      </c>
      <c r="Q14119" s="1">
        <v>0</v>
      </c>
      <c r="S14119" s="1">
        <v>0</v>
      </c>
      <c r="T14119" s="1">
        <v>0</v>
      </c>
      <c r="V14119" s="1">
        <f t="shared" si="282"/>
        <v>0</v>
      </c>
      <c r="W14119" s="1">
        <v>0</v>
      </c>
      <c r="X14119" s="26">
        <v>6.7583783783783824</v>
      </c>
      <c r="Y14119" s="1">
        <v>1</v>
      </c>
      <c r="Z14119" s="11">
        <v>0</v>
      </c>
      <c r="AA14119" s="11">
        <v>0</v>
      </c>
    </row>
    <row r="14120" spans="1:27" x14ac:dyDescent="0.2">
      <c r="A14120" s="1">
        <v>66</v>
      </c>
      <c r="B14120" s="1" t="s">
        <v>166</v>
      </c>
      <c r="C14120" s="1" t="s">
        <v>167</v>
      </c>
      <c r="D14120" s="1">
        <v>1812</v>
      </c>
      <c r="E14120" s="6">
        <v>0</v>
      </c>
      <c r="G14120" s="1">
        <v>0</v>
      </c>
      <c r="H14120" s="1">
        <v>0</v>
      </c>
      <c r="I14120" s="1">
        <v>3.773584905660377</v>
      </c>
      <c r="M14120" s="1" t="s">
        <v>677</v>
      </c>
      <c r="P14120" s="1" t="s">
        <v>471</v>
      </c>
      <c r="Q14120" s="1">
        <v>0</v>
      </c>
      <c r="S14120" s="1">
        <v>0</v>
      </c>
      <c r="T14120" s="1">
        <v>0</v>
      </c>
      <c r="V14120" s="1">
        <f t="shared" si="282"/>
        <v>0</v>
      </c>
      <c r="W14120" s="1">
        <v>0</v>
      </c>
      <c r="X14120" s="26">
        <v>1.2679113924050633</v>
      </c>
      <c r="Y14120" s="1">
        <v>1</v>
      </c>
      <c r="Z14120" s="11">
        <v>0</v>
      </c>
      <c r="AA14120" s="11">
        <v>0</v>
      </c>
    </row>
    <row r="14121" spans="1:27" x14ac:dyDescent="0.2">
      <c r="A14121" s="1">
        <v>66</v>
      </c>
      <c r="B14121" s="1" t="s">
        <v>166</v>
      </c>
      <c r="C14121" s="1" t="s">
        <v>167</v>
      </c>
      <c r="D14121" s="1">
        <v>1813</v>
      </c>
      <c r="E14121" s="6">
        <v>0</v>
      </c>
      <c r="G14121" s="1">
        <v>0</v>
      </c>
      <c r="H14121" s="1">
        <v>0</v>
      </c>
      <c r="I14121" s="1">
        <v>3.8955979742890534</v>
      </c>
      <c r="M14121" s="1" t="s">
        <v>677</v>
      </c>
      <c r="P14121" s="1" t="s">
        <v>471</v>
      </c>
      <c r="Q14121" s="1">
        <v>0</v>
      </c>
      <c r="S14121" s="1">
        <v>0</v>
      </c>
      <c r="T14121" s="1">
        <v>0</v>
      </c>
      <c r="V14121" s="1">
        <f t="shared" si="282"/>
        <v>0</v>
      </c>
      <c r="W14121" s="1">
        <v>0</v>
      </c>
      <c r="X14121" s="26">
        <v>20</v>
      </c>
      <c r="Y14121" s="1">
        <v>1</v>
      </c>
      <c r="Z14121" s="11">
        <v>0</v>
      </c>
      <c r="AA14121" s="47">
        <v>1</v>
      </c>
    </row>
    <row r="14122" spans="1:27" x14ac:dyDescent="0.2">
      <c r="A14122" s="1">
        <v>66</v>
      </c>
      <c r="B14122" s="1" t="s">
        <v>166</v>
      </c>
      <c r="C14122" s="1" t="s">
        <v>167</v>
      </c>
      <c r="D14122" s="1">
        <v>1814</v>
      </c>
      <c r="E14122" s="5">
        <v>1</v>
      </c>
      <c r="F14122" s="1" t="s">
        <v>371</v>
      </c>
      <c r="G14122" s="1">
        <v>1</v>
      </c>
      <c r="H14122" s="1">
        <v>0</v>
      </c>
      <c r="I14122" s="1">
        <v>4.4843049327354256</v>
      </c>
      <c r="M14122" s="1" t="s">
        <v>677</v>
      </c>
      <c r="P14122" s="1" t="s">
        <v>471</v>
      </c>
      <c r="Q14122" s="1">
        <v>0</v>
      </c>
      <c r="S14122" s="1">
        <v>0</v>
      </c>
      <c r="T14122" s="1">
        <v>0</v>
      </c>
      <c r="V14122" s="1">
        <f t="shared" si="282"/>
        <v>0</v>
      </c>
      <c r="W14122" s="1">
        <v>1</v>
      </c>
      <c r="X14122" s="26">
        <v>9.8979166666666618</v>
      </c>
      <c r="Y14122" s="1">
        <v>1</v>
      </c>
      <c r="Z14122" s="52">
        <v>1</v>
      </c>
      <c r="AA14122" s="11">
        <v>0</v>
      </c>
    </row>
    <row r="14123" spans="1:27" x14ac:dyDescent="0.2">
      <c r="A14123" s="1">
        <v>66</v>
      </c>
      <c r="B14123" s="1" t="s">
        <v>166</v>
      </c>
      <c r="C14123" s="1" t="s">
        <v>167</v>
      </c>
      <c r="D14123" s="1">
        <v>1815</v>
      </c>
      <c r="E14123" s="6">
        <v>0</v>
      </c>
      <c r="F14123" s="1" t="s">
        <v>371</v>
      </c>
      <c r="G14123" s="1">
        <v>1</v>
      </c>
      <c r="H14123" s="1">
        <v>0</v>
      </c>
      <c r="I14123" s="1">
        <v>4.7505938242280283</v>
      </c>
      <c r="M14123" s="1" t="s">
        <v>677</v>
      </c>
      <c r="P14123" s="1" t="s">
        <v>471</v>
      </c>
      <c r="Q14123" s="1">
        <v>0</v>
      </c>
      <c r="S14123" s="1">
        <v>0</v>
      </c>
      <c r="T14123" s="1">
        <v>0</v>
      </c>
      <c r="V14123" s="1">
        <f t="shared" si="282"/>
        <v>0</v>
      </c>
      <c r="W14123" s="1">
        <v>0</v>
      </c>
      <c r="X14123" s="26">
        <v>-12.321137440758296</v>
      </c>
      <c r="Y14123" s="1">
        <v>1</v>
      </c>
      <c r="Z14123" s="11">
        <v>0</v>
      </c>
      <c r="AA14123" s="11">
        <v>0</v>
      </c>
    </row>
    <row r="14124" spans="1:27" x14ac:dyDescent="0.2">
      <c r="A14124" s="1">
        <v>66</v>
      </c>
      <c r="B14124" s="1" t="s">
        <v>166</v>
      </c>
      <c r="C14124" s="1" t="s">
        <v>167</v>
      </c>
      <c r="D14124" s="1">
        <v>1816</v>
      </c>
      <c r="E14124" s="6">
        <v>0</v>
      </c>
      <c r="F14124" s="1" t="s">
        <v>371</v>
      </c>
      <c r="G14124" s="1">
        <v>1</v>
      </c>
      <c r="H14124" s="1">
        <v>0</v>
      </c>
      <c r="I14124" s="1">
        <v>4.5724737082761777</v>
      </c>
      <c r="M14124" s="1" t="s">
        <v>677</v>
      </c>
      <c r="P14124" s="1" t="s">
        <v>471</v>
      </c>
      <c r="Q14124" s="1">
        <v>0</v>
      </c>
      <c r="S14124" s="1">
        <v>0</v>
      </c>
      <c r="T14124" s="1">
        <v>0</v>
      </c>
      <c r="V14124" s="1">
        <f t="shared" si="282"/>
        <v>0</v>
      </c>
      <c r="W14124" s="1">
        <v>0</v>
      </c>
      <c r="X14124" s="26">
        <v>-8.6493243243243256</v>
      </c>
      <c r="Y14124" s="1">
        <v>1</v>
      </c>
      <c r="Z14124" s="11">
        <v>0</v>
      </c>
      <c r="AA14124" s="11">
        <v>0</v>
      </c>
    </row>
    <row r="14125" spans="1:27" x14ac:dyDescent="0.2">
      <c r="A14125" s="1">
        <v>66</v>
      </c>
      <c r="B14125" s="1" t="s">
        <v>166</v>
      </c>
      <c r="C14125" s="1" t="s">
        <v>167</v>
      </c>
      <c r="D14125" s="1">
        <v>1817</v>
      </c>
      <c r="E14125" s="5">
        <v>1</v>
      </c>
      <c r="F14125" s="1" t="s">
        <v>372</v>
      </c>
      <c r="G14125" s="1">
        <v>1</v>
      </c>
      <c r="H14125" s="1">
        <v>0</v>
      </c>
      <c r="I14125" s="1">
        <v>4.5289855072463769</v>
      </c>
      <c r="M14125" s="1" t="s">
        <v>677</v>
      </c>
      <c r="P14125" s="1" t="s">
        <v>471</v>
      </c>
      <c r="Q14125" s="1">
        <v>0</v>
      </c>
      <c r="S14125" s="1">
        <v>0</v>
      </c>
      <c r="T14125" s="1">
        <v>0</v>
      </c>
      <c r="V14125" s="1">
        <f t="shared" si="282"/>
        <v>0</v>
      </c>
      <c r="W14125" s="1">
        <v>0</v>
      </c>
      <c r="X14125" s="26">
        <v>-5.32772239349113</v>
      </c>
      <c r="Y14125" s="1">
        <v>1</v>
      </c>
      <c r="Z14125" s="11">
        <v>0</v>
      </c>
      <c r="AA14125" s="11">
        <v>0</v>
      </c>
    </row>
    <row r="14126" spans="1:27" x14ac:dyDescent="0.2">
      <c r="A14126" s="1">
        <v>66</v>
      </c>
      <c r="B14126" s="1" t="s">
        <v>166</v>
      </c>
      <c r="C14126" s="1" t="s">
        <v>167</v>
      </c>
      <c r="D14126" s="1">
        <v>1818</v>
      </c>
      <c r="E14126" s="5">
        <v>1</v>
      </c>
      <c r="F14126" s="1" t="s">
        <v>372</v>
      </c>
      <c r="G14126" s="1">
        <v>1</v>
      </c>
      <c r="H14126" s="1">
        <v>0</v>
      </c>
      <c r="I14126" s="1">
        <v>4.3402777777777777</v>
      </c>
      <c r="M14126" s="1" t="s">
        <v>677</v>
      </c>
      <c r="P14126" s="1" t="s">
        <v>471</v>
      </c>
      <c r="Q14126" s="1">
        <v>0</v>
      </c>
      <c r="S14126" s="1">
        <v>0</v>
      </c>
      <c r="T14126" s="1">
        <v>0</v>
      </c>
      <c r="V14126" s="1">
        <f t="shared" si="282"/>
        <v>0</v>
      </c>
      <c r="W14126" s="1">
        <v>0</v>
      </c>
      <c r="X14126" s="26">
        <v>-4.3775000000000004</v>
      </c>
      <c r="Y14126" s="1">
        <v>1</v>
      </c>
      <c r="Z14126" s="11">
        <v>0</v>
      </c>
      <c r="AA14126" s="11">
        <v>0</v>
      </c>
    </row>
    <row r="14127" spans="1:27" x14ac:dyDescent="0.2">
      <c r="A14127" s="1">
        <v>66</v>
      </c>
      <c r="B14127" s="1" t="s">
        <v>166</v>
      </c>
      <c r="C14127" s="1" t="s">
        <v>167</v>
      </c>
      <c r="D14127" s="1">
        <v>1819</v>
      </c>
      <c r="E14127" s="5">
        <v>1</v>
      </c>
      <c r="F14127" s="1" t="s">
        <v>372</v>
      </c>
      <c r="G14127" s="1">
        <v>1</v>
      </c>
      <c r="H14127" s="1">
        <v>0</v>
      </c>
      <c r="I14127" s="1">
        <v>4.5289855072463769</v>
      </c>
      <c r="M14127" s="1" t="s">
        <v>677</v>
      </c>
      <c r="P14127" s="1" t="s">
        <v>471</v>
      </c>
      <c r="Q14127" s="1">
        <v>0</v>
      </c>
      <c r="S14127" s="1">
        <v>0</v>
      </c>
      <c r="T14127" s="1">
        <v>0</v>
      </c>
      <c r="V14127" s="1">
        <f t="shared" si="282"/>
        <v>0</v>
      </c>
      <c r="W14127" s="1">
        <v>0</v>
      </c>
      <c r="X14127" s="26">
        <v>0</v>
      </c>
      <c r="Y14127" s="1">
        <v>1</v>
      </c>
      <c r="Z14127" s="11">
        <v>0</v>
      </c>
      <c r="AA14127" s="11">
        <v>0</v>
      </c>
    </row>
    <row r="14128" spans="1:27" x14ac:dyDescent="0.2">
      <c r="A14128" s="1">
        <v>66</v>
      </c>
      <c r="B14128" s="1" t="s">
        <v>166</v>
      </c>
      <c r="C14128" s="1" t="s">
        <v>167</v>
      </c>
      <c r="D14128" s="1">
        <v>1820</v>
      </c>
      <c r="E14128" s="6">
        <v>0</v>
      </c>
      <c r="G14128" s="1">
        <v>0</v>
      </c>
      <c r="H14128" s="1">
        <v>0</v>
      </c>
      <c r="I14128" s="1">
        <v>4.6232085067036524</v>
      </c>
      <c r="M14128" s="1" t="s">
        <v>677</v>
      </c>
      <c r="P14128" s="1" t="s">
        <v>471</v>
      </c>
      <c r="Q14128" s="1">
        <v>0</v>
      </c>
      <c r="S14128" s="1">
        <v>0</v>
      </c>
      <c r="T14128" s="1">
        <v>0</v>
      </c>
      <c r="V14128" s="1">
        <f t="shared" si="282"/>
        <v>0</v>
      </c>
      <c r="W14128" s="1">
        <v>0</v>
      </c>
      <c r="X14128" s="26">
        <v>-7.8415686274509842</v>
      </c>
      <c r="Y14128" s="1">
        <v>1</v>
      </c>
      <c r="Z14128" s="11">
        <v>0</v>
      </c>
      <c r="AA14128" s="11">
        <v>0</v>
      </c>
    </row>
    <row r="14129" spans="1:27" x14ac:dyDescent="0.2">
      <c r="A14129" s="1">
        <v>66</v>
      </c>
      <c r="B14129" s="1" t="s">
        <v>166</v>
      </c>
      <c r="C14129" s="1" t="s">
        <v>167</v>
      </c>
      <c r="D14129" s="1">
        <v>1821</v>
      </c>
      <c r="E14129" s="6">
        <v>0</v>
      </c>
      <c r="G14129" s="1">
        <v>0</v>
      </c>
      <c r="H14129" s="1">
        <v>0</v>
      </c>
      <c r="I14129" s="1">
        <v>4.9285362247412516</v>
      </c>
      <c r="M14129" s="1" t="s">
        <v>677</v>
      </c>
      <c r="P14129" s="1" t="s">
        <v>471</v>
      </c>
      <c r="Q14129" s="1">
        <v>0</v>
      </c>
      <c r="S14129" s="1">
        <v>0</v>
      </c>
      <c r="T14129" s="1">
        <v>0</v>
      </c>
      <c r="V14129" s="1">
        <f t="shared" si="282"/>
        <v>0</v>
      </c>
      <c r="W14129" s="1">
        <v>0</v>
      </c>
      <c r="X14129" s="26">
        <v>-3.9040175389781755</v>
      </c>
      <c r="Y14129" s="1">
        <v>1</v>
      </c>
      <c r="Z14129" s="11">
        <v>0</v>
      </c>
      <c r="AA14129" s="11">
        <v>0</v>
      </c>
    </row>
    <row r="14130" spans="1:27" x14ac:dyDescent="0.2">
      <c r="A14130" s="1">
        <v>66</v>
      </c>
      <c r="B14130" s="1" t="s">
        <v>166</v>
      </c>
      <c r="C14130" s="1" t="s">
        <v>167</v>
      </c>
      <c r="D14130" s="1">
        <v>1822</v>
      </c>
      <c r="E14130" s="6">
        <v>0</v>
      </c>
      <c r="G14130" s="1">
        <v>0</v>
      </c>
      <c r="H14130" s="1">
        <v>0</v>
      </c>
      <c r="I14130" s="1">
        <v>4.9850448654037889</v>
      </c>
      <c r="M14130" s="1" t="s">
        <v>677</v>
      </c>
      <c r="P14130" s="1" t="s">
        <v>471</v>
      </c>
      <c r="Q14130" s="1">
        <v>0</v>
      </c>
      <c r="S14130" s="1">
        <v>0</v>
      </c>
      <c r="T14130" s="1">
        <v>0</v>
      </c>
      <c r="V14130" s="1">
        <f t="shared" si="282"/>
        <v>0</v>
      </c>
      <c r="W14130" s="1">
        <v>0</v>
      </c>
      <c r="X14130" s="26">
        <v>3.5271901415966056</v>
      </c>
      <c r="Y14130" s="1">
        <v>1</v>
      </c>
      <c r="Z14130" s="11">
        <v>0</v>
      </c>
      <c r="AA14130" s="11">
        <v>0</v>
      </c>
    </row>
    <row r="14131" spans="1:27" x14ac:dyDescent="0.2">
      <c r="A14131" s="1">
        <v>66</v>
      </c>
      <c r="B14131" s="1" t="s">
        <v>166</v>
      </c>
      <c r="C14131" s="1" t="s">
        <v>167</v>
      </c>
      <c r="D14131" s="1">
        <v>1823</v>
      </c>
      <c r="E14131" s="6">
        <v>0</v>
      </c>
      <c r="G14131" s="1">
        <v>0</v>
      </c>
      <c r="H14131" s="1">
        <v>0</v>
      </c>
      <c r="I14131" s="1">
        <v>4.7892720306513406</v>
      </c>
      <c r="M14131" s="1" t="s">
        <v>677</v>
      </c>
      <c r="P14131" s="1" t="s">
        <v>471</v>
      </c>
      <c r="Q14131" s="1">
        <v>0</v>
      </c>
      <c r="S14131" s="1">
        <v>0</v>
      </c>
      <c r="T14131" s="1">
        <v>0</v>
      </c>
      <c r="V14131" s="1">
        <f t="shared" si="282"/>
        <v>0</v>
      </c>
      <c r="W14131" s="1">
        <v>0</v>
      </c>
      <c r="X14131" s="26">
        <v>-8.6549343843415745</v>
      </c>
      <c r="Y14131" s="1">
        <v>1</v>
      </c>
      <c r="Z14131" s="11">
        <v>0</v>
      </c>
      <c r="AA14131" s="11">
        <v>0</v>
      </c>
    </row>
    <row r="14132" spans="1:27" ht="12.95" customHeight="1" x14ac:dyDescent="0.2">
      <c r="A14132" s="1">
        <v>66</v>
      </c>
      <c r="B14132" s="1" t="s">
        <v>166</v>
      </c>
      <c r="C14132" s="1" t="s">
        <v>167</v>
      </c>
      <c r="D14132" s="1">
        <v>1824</v>
      </c>
      <c r="E14132" s="6">
        <v>0</v>
      </c>
      <c r="G14132" s="1">
        <v>0</v>
      </c>
      <c r="H14132" s="1">
        <v>0</v>
      </c>
      <c r="I14132" s="1">
        <v>4.8614487117160916</v>
      </c>
      <c r="M14132" s="1" t="s">
        <v>677</v>
      </c>
      <c r="P14132" s="1" t="s">
        <v>471</v>
      </c>
      <c r="Q14132" s="1">
        <v>0</v>
      </c>
      <c r="S14132" s="1">
        <v>0</v>
      </c>
      <c r="T14132" s="1">
        <v>0</v>
      </c>
      <c r="V14132" s="1">
        <f t="shared" si="282"/>
        <v>0</v>
      </c>
      <c r="W14132" s="1">
        <v>0</v>
      </c>
      <c r="X14132" s="26">
        <v>-7.4780458892087625</v>
      </c>
      <c r="Y14132" s="1">
        <v>1</v>
      </c>
      <c r="Z14132" s="11">
        <v>0</v>
      </c>
      <c r="AA14132" s="11">
        <v>0</v>
      </c>
    </row>
    <row r="14133" spans="1:27" ht="12.95" customHeight="1" x14ac:dyDescent="0.2">
      <c r="A14133" s="1">
        <v>66</v>
      </c>
      <c r="B14133" s="1" t="s">
        <v>166</v>
      </c>
      <c r="C14133" s="1" t="s">
        <v>167</v>
      </c>
      <c r="D14133" s="1">
        <v>1825</v>
      </c>
      <c r="E14133" s="5">
        <v>1</v>
      </c>
      <c r="F14133" s="1" t="s">
        <v>373</v>
      </c>
      <c r="G14133" s="1">
        <v>1</v>
      </c>
      <c r="H14133" s="1">
        <v>0</v>
      </c>
      <c r="I14133" s="1">
        <v>4.8449612403100772</v>
      </c>
      <c r="M14133" s="1" t="s">
        <v>677</v>
      </c>
      <c r="P14133" s="1" t="s">
        <v>471</v>
      </c>
      <c r="Q14133" s="1">
        <v>0</v>
      </c>
      <c r="S14133" s="1">
        <v>0</v>
      </c>
      <c r="T14133" s="1">
        <v>0</v>
      </c>
      <c r="V14133" s="1">
        <f t="shared" si="282"/>
        <v>0</v>
      </c>
      <c r="W14133" s="1">
        <v>0</v>
      </c>
      <c r="X14133" s="26">
        <v>2.3100690021734649</v>
      </c>
      <c r="Y14133" s="1">
        <v>1</v>
      </c>
      <c r="Z14133" s="11">
        <v>0</v>
      </c>
      <c r="AA14133" s="11">
        <v>0</v>
      </c>
    </row>
    <row r="14134" spans="1:27" x14ac:dyDescent="0.2">
      <c r="A14134" s="1">
        <v>66</v>
      </c>
      <c r="B14134" s="1" t="s">
        <v>166</v>
      </c>
      <c r="C14134" s="1" t="s">
        <v>167</v>
      </c>
      <c r="D14134" s="1">
        <v>1826</v>
      </c>
      <c r="E14134" s="6">
        <v>0</v>
      </c>
      <c r="G14134" s="1">
        <v>0</v>
      </c>
      <c r="H14134" s="1">
        <v>0</v>
      </c>
      <c r="I14134" s="1">
        <v>4.9652432969215496</v>
      </c>
      <c r="M14134" s="1" t="s">
        <v>677</v>
      </c>
      <c r="P14134" s="1" t="s">
        <v>471</v>
      </c>
      <c r="Q14134" s="1">
        <v>0</v>
      </c>
      <c r="S14134" s="1">
        <v>0</v>
      </c>
      <c r="T14134" s="1">
        <v>0</v>
      </c>
      <c r="V14134" s="1">
        <f t="shared" si="282"/>
        <v>0</v>
      </c>
      <c r="W14134" s="1">
        <v>0</v>
      </c>
      <c r="X14134" s="26">
        <v>-1.723765265319354</v>
      </c>
      <c r="Y14134" s="1">
        <v>1</v>
      </c>
      <c r="Z14134" s="11">
        <v>0</v>
      </c>
      <c r="AA14134" s="11">
        <v>0</v>
      </c>
    </row>
    <row r="14135" spans="1:27" x14ac:dyDescent="0.2">
      <c r="A14135" s="1">
        <v>66</v>
      </c>
      <c r="B14135" s="1" t="s">
        <v>166</v>
      </c>
      <c r="C14135" s="1" t="s">
        <v>167</v>
      </c>
      <c r="D14135" s="1">
        <v>1827</v>
      </c>
      <c r="E14135" s="6">
        <v>0</v>
      </c>
      <c r="G14135" s="1">
        <v>0</v>
      </c>
      <c r="H14135" s="1">
        <v>0</v>
      </c>
      <c r="I14135" s="1">
        <v>4.9431537320810675</v>
      </c>
      <c r="M14135" s="1" t="s">
        <v>677</v>
      </c>
      <c r="P14135" s="1" t="s">
        <v>471</v>
      </c>
      <c r="Q14135" s="1">
        <v>0</v>
      </c>
      <c r="S14135" s="1">
        <v>0</v>
      </c>
      <c r="T14135" s="1">
        <v>0</v>
      </c>
      <c r="V14135" s="1">
        <f t="shared" si="282"/>
        <v>0</v>
      </c>
      <c r="W14135" s="1">
        <v>0</v>
      </c>
      <c r="X14135" s="26">
        <v>1.7719569742536061</v>
      </c>
      <c r="Y14135" s="1">
        <v>1</v>
      </c>
      <c r="Z14135" s="11">
        <v>0</v>
      </c>
      <c r="AA14135" s="11">
        <v>0</v>
      </c>
    </row>
    <row r="14136" spans="1:27" x14ac:dyDescent="0.2">
      <c r="A14136" s="1">
        <v>66</v>
      </c>
      <c r="B14136" s="1" t="s">
        <v>166</v>
      </c>
      <c r="C14136" s="1" t="s">
        <v>167</v>
      </c>
      <c r="D14136" s="1">
        <v>1828</v>
      </c>
      <c r="E14136" s="6">
        <v>0</v>
      </c>
      <c r="G14136" s="1">
        <v>0</v>
      </c>
      <c r="H14136" s="1">
        <v>0</v>
      </c>
      <c r="I14136" s="1">
        <v>4.8661800486618008</v>
      </c>
      <c r="M14136" s="1" t="s">
        <v>677</v>
      </c>
      <c r="P14136" s="1" t="s">
        <v>471</v>
      </c>
      <c r="Q14136" s="1">
        <v>0</v>
      </c>
      <c r="S14136" s="1">
        <v>0</v>
      </c>
      <c r="T14136" s="1">
        <v>0</v>
      </c>
      <c r="V14136" s="1">
        <f t="shared" si="282"/>
        <v>0</v>
      </c>
      <c r="W14136" s="1">
        <v>0</v>
      </c>
      <c r="X14136" s="26">
        <v>-3.3333333333333406</v>
      </c>
      <c r="Y14136" s="1">
        <v>1</v>
      </c>
      <c r="Z14136" s="11">
        <v>0</v>
      </c>
      <c r="AA14136" s="11">
        <v>0</v>
      </c>
    </row>
    <row r="14137" spans="1:27" x14ac:dyDescent="0.2">
      <c r="A14137" s="1">
        <v>66</v>
      </c>
      <c r="B14137" s="1" t="s">
        <v>166</v>
      </c>
      <c r="C14137" s="1" t="s">
        <v>167</v>
      </c>
      <c r="D14137" s="1">
        <v>1829</v>
      </c>
      <c r="E14137" s="6">
        <v>0</v>
      </c>
      <c r="G14137" s="1">
        <v>0</v>
      </c>
      <c r="H14137" s="1">
        <v>0</v>
      </c>
      <c r="I14137" s="1">
        <v>4.8614487117160916</v>
      </c>
      <c r="M14137" s="1" t="s">
        <v>677</v>
      </c>
      <c r="P14137" s="1" t="s">
        <v>471</v>
      </c>
      <c r="Q14137" s="1">
        <v>0</v>
      </c>
      <c r="S14137" s="1">
        <v>0</v>
      </c>
      <c r="T14137" s="1">
        <v>0</v>
      </c>
      <c r="V14137" s="1">
        <f t="shared" si="282"/>
        <v>0</v>
      </c>
      <c r="W14137" s="1">
        <v>0</v>
      </c>
      <c r="X14137" s="26">
        <v>-0.58346195164787129</v>
      </c>
      <c r="Y14137" s="1">
        <v>1</v>
      </c>
      <c r="Z14137" s="11">
        <v>0</v>
      </c>
      <c r="AA14137" s="11">
        <v>0</v>
      </c>
    </row>
    <row r="14138" spans="1:27" x14ac:dyDescent="0.2">
      <c r="A14138" s="1">
        <v>66</v>
      </c>
      <c r="B14138" s="1" t="s">
        <v>166</v>
      </c>
      <c r="C14138" s="1" t="s">
        <v>167</v>
      </c>
      <c r="D14138" s="1">
        <v>1830</v>
      </c>
      <c r="E14138" s="6">
        <v>0</v>
      </c>
      <c r="G14138" s="1">
        <v>0</v>
      </c>
      <c r="H14138" s="1">
        <v>0</v>
      </c>
      <c r="I14138" s="1">
        <v>4.7281323877068555</v>
      </c>
      <c r="M14138" s="1" t="s">
        <v>677</v>
      </c>
      <c r="P14138" s="1" t="s">
        <v>471</v>
      </c>
      <c r="Q14138" s="1">
        <v>0</v>
      </c>
      <c r="S14138" s="1">
        <v>0</v>
      </c>
      <c r="T14138" s="1">
        <v>0</v>
      </c>
      <c r="V14138" s="1">
        <f t="shared" si="282"/>
        <v>0</v>
      </c>
      <c r="W14138" s="1">
        <v>0</v>
      </c>
      <c r="X14138" s="26">
        <v>-2.8932398072525571</v>
      </c>
      <c r="Y14138" s="1">
        <v>1</v>
      </c>
      <c r="Z14138" s="11">
        <v>0</v>
      </c>
      <c r="AA14138" s="11">
        <v>0</v>
      </c>
    </row>
    <row r="14139" spans="1:27" x14ac:dyDescent="0.2">
      <c r="A14139" s="1">
        <v>66</v>
      </c>
      <c r="B14139" s="1" t="s">
        <v>166</v>
      </c>
      <c r="C14139" s="1" t="s">
        <v>167</v>
      </c>
      <c r="D14139" s="1">
        <v>1831</v>
      </c>
      <c r="E14139" s="6">
        <v>0</v>
      </c>
      <c r="G14139" s="1">
        <v>0</v>
      </c>
      <c r="H14139" s="1">
        <v>0</v>
      </c>
      <c r="I14139" s="1">
        <v>4.8756704046806432</v>
      </c>
      <c r="M14139" s="1" t="s">
        <v>677</v>
      </c>
      <c r="P14139" s="1" t="s">
        <v>471</v>
      </c>
      <c r="Q14139" s="1">
        <v>0</v>
      </c>
      <c r="S14139" s="1">
        <v>0</v>
      </c>
      <c r="T14139" s="1">
        <v>0</v>
      </c>
      <c r="V14139" s="1">
        <f t="shared" si="282"/>
        <v>0</v>
      </c>
      <c r="W14139" s="1">
        <v>0</v>
      </c>
      <c r="X14139" s="26">
        <v>-2.9704853815877428</v>
      </c>
      <c r="Y14139" s="1">
        <v>1</v>
      </c>
      <c r="Z14139" s="11">
        <v>0</v>
      </c>
      <c r="AA14139" s="11">
        <v>0</v>
      </c>
    </row>
    <row r="14140" spans="1:27" x14ac:dyDescent="0.2">
      <c r="A14140" s="1">
        <v>66</v>
      </c>
      <c r="B14140" s="1" t="s">
        <v>166</v>
      </c>
      <c r="C14140" s="1" t="s">
        <v>167</v>
      </c>
      <c r="D14140" s="1">
        <v>1832</v>
      </c>
      <c r="E14140" s="6">
        <v>0</v>
      </c>
      <c r="G14140" s="1">
        <v>0</v>
      </c>
      <c r="H14140" s="1">
        <v>0</v>
      </c>
      <c r="I14140" s="1">
        <v>4.8285852245292125</v>
      </c>
      <c r="M14140" s="1" t="s">
        <v>677</v>
      </c>
      <c r="P14140" s="1" t="s">
        <v>471</v>
      </c>
      <c r="Q14140" s="1">
        <v>0</v>
      </c>
      <c r="S14140" s="1">
        <v>0</v>
      </c>
      <c r="T14140" s="1">
        <v>0</v>
      </c>
      <c r="V14140" s="1">
        <f t="shared" si="282"/>
        <v>0</v>
      </c>
      <c r="W14140" s="1">
        <v>0</v>
      </c>
      <c r="X14140" s="26">
        <v>-4.5407977590651814E-2</v>
      </c>
      <c r="Y14140" s="1">
        <v>1</v>
      </c>
      <c r="Z14140" s="11">
        <v>0</v>
      </c>
      <c r="AA14140" s="11">
        <v>0</v>
      </c>
    </row>
    <row r="14141" spans="1:27" x14ac:dyDescent="0.2">
      <c r="A14141" s="1">
        <v>66</v>
      </c>
      <c r="B14141" s="1" t="s">
        <v>166</v>
      </c>
      <c r="C14141" s="1" t="s">
        <v>167</v>
      </c>
      <c r="D14141" s="1">
        <v>1833</v>
      </c>
      <c r="E14141" s="6">
        <v>0</v>
      </c>
      <c r="G14141" s="1">
        <v>0</v>
      </c>
      <c r="H14141" s="1">
        <v>0</v>
      </c>
      <c r="I14141" s="1">
        <v>4.6620046620046622</v>
      </c>
      <c r="M14141" s="1" t="s">
        <v>677</v>
      </c>
      <c r="P14141" s="1" t="s">
        <v>471</v>
      </c>
      <c r="Q14141" s="1">
        <v>0</v>
      </c>
      <c r="S14141" s="1">
        <v>0</v>
      </c>
      <c r="T14141" s="1">
        <v>0</v>
      </c>
      <c r="V14141" s="1">
        <f t="shared" si="282"/>
        <v>0</v>
      </c>
      <c r="W14141" s="1">
        <v>0</v>
      </c>
      <c r="X14141" s="26">
        <v>-0.70924915428229107</v>
      </c>
      <c r="Y14141" s="1">
        <v>1</v>
      </c>
      <c r="Z14141" s="11">
        <v>0</v>
      </c>
      <c r="AA14141" s="11">
        <v>0</v>
      </c>
    </row>
    <row r="14142" spans="1:27" x14ac:dyDescent="0.2">
      <c r="A14142" s="1">
        <v>66</v>
      </c>
      <c r="B14142" s="1" t="s">
        <v>166</v>
      </c>
      <c r="C14142" s="1" t="s">
        <v>167</v>
      </c>
      <c r="D14142" s="1">
        <v>1834</v>
      </c>
      <c r="E14142" s="6">
        <v>0</v>
      </c>
      <c r="G14142" s="1">
        <v>0</v>
      </c>
      <c r="H14142" s="1">
        <v>0</v>
      </c>
      <c r="I14142" s="1">
        <v>4.7125353440150803</v>
      </c>
      <c r="M14142" s="1" t="s">
        <v>677</v>
      </c>
      <c r="P14142" s="1" t="s">
        <v>471</v>
      </c>
      <c r="Q14142" s="1">
        <v>0</v>
      </c>
      <c r="S14142" s="1">
        <v>0</v>
      </c>
      <c r="T14142" s="1">
        <v>0</v>
      </c>
      <c r="V14142" s="1">
        <f t="shared" si="282"/>
        <v>0</v>
      </c>
      <c r="W14142" s="1">
        <v>0</v>
      </c>
      <c r="X14142" s="26">
        <v>-2.7026533516855458</v>
      </c>
      <c r="Y14142" s="1">
        <v>1</v>
      </c>
      <c r="Z14142" s="11">
        <v>0</v>
      </c>
      <c r="AA14142" s="11">
        <v>0</v>
      </c>
    </row>
    <row r="14143" spans="1:27" x14ac:dyDescent="0.2">
      <c r="A14143" s="1">
        <v>66</v>
      </c>
      <c r="B14143" s="1" t="s">
        <v>166</v>
      </c>
      <c r="C14143" s="1" t="s">
        <v>167</v>
      </c>
      <c r="D14143" s="1">
        <v>1835</v>
      </c>
      <c r="E14143" s="6">
        <v>0</v>
      </c>
      <c r="G14143" s="1">
        <v>0</v>
      </c>
      <c r="H14143" s="1">
        <v>0</v>
      </c>
      <c r="I14143" s="1">
        <v>4.8402710551790902</v>
      </c>
      <c r="M14143" s="1" t="s">
        <v>677</v>
      </c>
      <c r="P14143" s="1" t="s">
        <v>471</v>
      </c>
      <c r="Q14143" s="1">
        <v>0</v>
      </c>
      <c r="S14143" s="1">
        <v>0</v>
      </c>
      <c r="T14143" s="1">
        <v>0</v>
      </c>
      <c r="V14143" s="1">
        <f t="shared" si="282"/>
        <v>0</v>
      </c>
      <c r="W14143" s="1">
        <v>0</v>
      </c>
      <c r="X14143" s="26">
        <v>7.8232668927756279</v>
      </c>
      <c r="Y14143" s="1">
        <v>1</v>
      </c>
      <c r="Z14143" s="11">
        <v>0</v>
      </c>
      <c r="AA14143" s="11">
        <v>0</v>
      </c>
    </row>
    <row r="14144" spans="1:27" ht="12.75" customHeight="1" x14ac:dyDescent="0.2">
      <c r="A14144" s="1">
        <v>66</v>
      </c>
      <c r="B14144" s="1" t="s">
        <v>166</v>
      </c>
      <c r="C14144" s="1" t="s">
        <v>167</v>
      </c>
      <c r="D14144" s="1">
        <v>1836</v>
      </c>
      <c r="E14144" s="6">
        <v>0</v>
      </c>
      <c r="G14144" s="1">
        <v>0</v>
      </c>
      <c r="H14144" s="1">
        <v>0</v>
      </c>
      <c r="I14144" s="1">
        <v>4.7892720306513406</v>
      </c>
      <c r="M14144" s="1" t="s">
        <v>677</v>
      </c>
      <c r="P14144" s="1" t="s">
        <v>471</v>
      </c>
      <c r="Q14144" s="1">
        <v>0</v>
      </c>
      <c r="S14144" s="1">
        <v>0</v>
      </c>
      <c r="T14144" s="1">
        <v>0</v>
      </c>
      <c r="V14144" s="1">
        <f t="shared" si="282"/>
        <v>0</v>
      </c>
      <c r="W14144" s="1">
        <v>0</v>
      </c>
      <c r="X14144" s="26">
        <v>8.217477947232366</v>
      </c>
      <c r="Y14144" s="1">
        <v>1</v>
      </c>
      <c r="Z14144" s="11">
        <v>0</v>
      </c>
      <c r="AA14144" s="11">
        <v>0</v>
      </c>
    </row>
    <row r="14145" spans="1:27" x14ac:dyDescent="0.2">
      <c r="A14145" s="1">
        <v>66</v>
      </c>
      <c r="B14145" s="1" t="s">
        <v>166</v>
      </c>
      <c r="C14145" s="1" t="s">
        <v>167</v>
      </c>
      <c r="D14145" s="1">
        <v>1837</v>
      </c>
      <c r="E14145" s="5">
        <v>1</v>
      </c>
      <c r="F14145" s="1" t="s">
        <v>374</v>
      </c>
      <c r="G14145" s="1">
        <v>1</v>
      </c>
      <c r="H14145" s="1">
        <v>0</v>
      </c>
      <c r="I14145" s="1">
        <v>5.0735667174023336</v>
      </c>
      <c r="M14145" s="1" t="s">
        <v>677</v>
      </c>
      <c r="P14145" s="1" t="s">
        <v>471</v>
      </c>
      <c r="Q14145" s="1">
        <v>0</v>
      </c>
      <c r="S14145" s="1">
        <v>0</v>
      </c>
      <c r="T14145" s="1">
        <v>0</v>
      </c>
      <c r="V14145" s="1">
        <f t="shared" si="282"/>
        <v>0</v>
      </c>
      <c r="W14145" s="1">
        <v>0</v>
      </c>
      <c r="X14145" s="26">
        <v>3.7470651625222131</v>
      </c>
      <c r="Y14145" s="1">
        <v>1</v>
      </c>
      <c r="Z14145" s="11">
        <v>0</v>
      </c>
      <c r="AA14145" s="11">
        <v>0</v>
      </c>
    </row>
    <row r="14146" spans="1:27" x14ac:dyDescent="0.2">
      <c r="A14146" s="1">
        <v>66</v>
      </c>
      <c r="B14146" s="1" t="s">
        <v>166</v>
      </c>
      <c r="C14146" s="1" t="s">
        <v>167</v>
      </c>
      <c r="D14146" s="1">
        <v>1838</v>
      </c>
      <c r="E14146" s="5">
        <v>1</v>
      </c>
      <c r="F14146" s="1" t="s">
        <v>374</v>
      </c>
      <c r="G14146" s="1">
        <v>1</v>
      </c>
      <c r="H14146" s="1">
        <v>0</v>
      </c>
      <c r="I14146" s="1">
        <v>4.8899755501222497</v>
      </c>
      <c r="M14146" s="1" t="s">
        <v>677</v>
      </c>
      <c r="P14146" s="1" t="s">
        <v>471</v>
      </c>
      <c r="Q14146" s="1">
        <v>0</v>
      </c>
      <c r="S14146" s="1">
        <v>0</v>
      </c>
      <c r="T14146" s="1">
        <v>0</v>
      </c>
      <c r="V14146" s="1">
        <f t="shared" si="282"/>
        <v>0</v>
      </c>
      <c r="W14146" s="1">
        <v>0</v>
      </c>
      <c r="X14146" s="26">
        <v>-2.2024274179455805</v>
      </c>
      <c r="Y14146" s="1">
        <v>1</v>
      </c>
      <c r="Z14146" s="11">
        <v>0</v>
      </c>
      <c r="AA14146" s="11">
        <v>0</v>
      </c>
    </row>
    <row r="14147" spans="1:27" x14ac:dyDescent="0.2">
      <c r="A14147" s="1">
        <v>66</v>
      </c>
      <c r="B14147" s="1" t="s">
        <v>166</v>
      </c>
      <c r="C14147" s="1" t="s">
        <v>167</v>
      </c>
      <c r="D14147" s="1">
        <v>1839</v>
      </c>
      <c r="E14147" s="6">
        <v>0</v>
      </c>
      <c r="G14147" s="1">
        <v>0</v>
      </c>
      <c r="H14147" s="1">
        <v>0</v>
      </c>
      <c r="I14147" s="1">
        <v>4.8496605237633368</v>
      </c>
      <c r="M14147" s="1" t="s">
        <v>677</v>
      </c>
      <c r="P14147" s="1" t="s">
        <v>471</v>
      </c>
      <c r="Q14147" s="1">
        <v>0</v>
      </c>
      <c r="S14147" s="1">
        <v>0</v>
      </c>
      <c r="T14147" s="1">
        <v>0</v>
      </c>
      <c r="V14147" s="1">
        <f t="shared" si="282"/>
        <v>0</v>
      </c>
      <c r="W14147" s="1">
        <v>0</v>
      </c>
      <c r="X14147" s="26">
        <v>0</v>
      </c>
      <c r="Y14147" s="1">
        <v>1</v>
      </c>
      <c r="Z14147" s="11">
        <v>0</v>
      </c>
      <c r="AA14147" s="11">
        <v>0</v>
      </c>
    </row>
    <row r="14148" spans="1:27" x14ac:dyDescent="0.2">
      <c r="A14148" s="1">
        <v>66</v>
      </c>
      <c r="B14148" s="1" t="s">
        <v>166</v>
      </c>
      <c r="C14148" s="1" t="s">
        <v>167</v>
      </c>
      <c r="D14148" s="1">
        <v>1840</v>
      </c>
      <c r="E14148" s="6">
        <v>0</v>
      </c>
      <c r="G14148" s="1">
        <v>0</v>
      </c>
      <c r="H14148" s="1">
        <v>0</v>
      </c>
      <c r="I14148" s="1">
        <v>4.8239266763145201</v>
      </c>
      <c r="M14148" s="1" t="s">
        <v>677</v>
      </c>
      <c r="P14148" s="1" t="s">
        <v>471</v>
      </c>
      <c r="Q14148" s="1">
        <v>0</v>
      </c>
      <c r="S14148" s="1">
        <v>0</v>
      </c>
      <c r="T14148" s="1">
        <v>0</v>
      </c>
      <c r="V14148" s="1">
        <f t="shared" si="282"/>
        <v>0</v>
      </c>
      <c r="W14148" s="1">
        <v>0</v>
      </c>
      <c r="X14148" s="26">
        <v>-9.925112745077433</v>
      </c>
      <c r="Y14148" s="1">
        <v>1</v>
      </c>
      <c r="Z14148" s="11">
        <v>0</v>
      </c>
      <c r="AA14148" s="11">
        <v>0</v>
      </c>
    </row>
    <row r="14149" spans="1:27" x14ac:dyDescent="0.2">
      <c r="A14149" s="1">
        <v>66</v>
      </c>
      <c r="B14149" s="1" t="s">
        <v>166</v>
      </c>
      <c r="C14149" s="1" t="s">
        <v>167</v>
      </c>
      <c r="D14149" s="1">
        <v>1841</v>
      </c>
      <c r="E14149" s="5">
        <v>1</v>
      </c>
      <c r="F14149" s="1" t="s">
        <v>375</v>
      </c>
      <c r="G14149" s="1">
        <v>0</v>
      </c>
      <c r="H14149" s="1">
        <v>0</v>
      </c>
      <c r="I14149" s="1">
        <v>4.8449612403100772</v>
      </c>
      <c r="M14149" s="1" t="s">
        <v>677</v>
      </c>
      <c r="P14149" s="1" t="s">
        <v>471</v>
      </c>
      <c r="Q14149" s="1">
        <v>0</v>
      </c>
      <c r="R14149" s="1" t="s">
        <v>601</v>
      </c>
      <c r="S14149" s="1">
        <v>0</v>
      </c>
      <c r="T14149" s="1">
        <v>0</v>
      </c>
      <c r="V14149" s="1">
        <f t="shared" si="282"/>
        <v>0</v>
      </c>
      <c r="W14149" s="1">
        <v>0</v>
      </c>
      <c r="X14149" s="26">
        <v>0.6405128205128211</v>
      </c>
      <c r="Y14149" s="1">
        <v>1</v>
      </c>
      <c r="Z14149" s="11">
        <v>0</v>
      </c>
      <c r="AA14149" s="11">
        <v>0</v>
      </c>
    </row>
    <row r="14150" spans="1:27" x14ac:dyDescent="0.2">
      <c r="A14150" s="1">
        <v>66</v>
      </c>
      <c r="B14150" s="1" t="s">
        <v>166</v>
      </c>
      <c r="C14150" s="1" t="s">
        <v>167</v>
      </c>
      <c r="D14150" s="1">
        <v>1842</v>
      </c>
      <c r="E14150" s="6">
        <v>0</v>
      </c>
      <c r="G14150" s="1">
        <v>0</v>
      </c>
      <c r="H14150" s="1">
        <v>0</v>
      </c>
      <c r="I14150" s="1">
        <v>4.7236655644780345</v>
      </c>
      <c r="M14150" s="1" t="s">
        <v>677</v>
      </c>
      <c r="P14150" s="1" t="s">
        <v>471</v>
      </c>
      <c r="Q14150" s="1">
        <v>0</v>
      </c>
      <c r="R14150" s="1" t="s">
        <v>601</v>
      </c>
      <c r="S14150" s="1">
        <v>0</v>
      </c>
      <c r="T14150" s="1">
        <v>0</v>
      </c>
      <c r="V14150" s="1">
        <f t="shared" si="282"/>
        <v>0</v>
      </c>
      <c r="W14150" s="1">
        <v>0</v>
      </c>
      <c r="X14150" s="26">
        <v>-7.223284967798218</v>
      </c>
      <c r="Y14150" s="1">
        <v>1</v>
      </c>
      <c r="Z14150" s="11">
        <v>0</v>
      </c>
      <c r="AA14150" s="11">
        <v>0</v>
      </c>
    </row>
    <row r="14151" spans="1:27" x14ac:dyDescent="0.2">
      <c r="A14151" s="1">
        <v>66</v>
      </c>
      <c r="B14151" s="1" t="s">
        <v>166</v>
      </c>
      <c r="C14151" s="1" t="s">
        <v>167</v>
      </c>
      <c r="D14151" s="1">
        <v>1843</v>
      </c>
      <c r="E14151" s="6">
        <v>0</v>
      </c>
      <c r="G14151" s="1">
        <v>0</v>
      </c>
      <c r="H14151" s="1">
        <v>0</v>
      </c>
      <c r="I14151" s="1">
        <v>4.8239266763145201</v>
      </c>
      <c r="M14151" s="1" t="s">
        <v>677</v>
      </c>
      <c r="P14151" s="1" t="s">
        <v>471</v>
      </c>
      <c r="Q14151" s="1">
        <v>0</v>
      </c>
      <c r="S14151" s="1">
        <v>0</v>
      </c>
      <c r="T14151" s="1">
        <v>0</v>
      </c>
      <c r="V14151" s="1">
        <f t="shared" si="282"/>
        <v>0</v>
      </c>
      <c r="W14151" s="1">
        <v>0</v>
      </c>
      <c r="X14151" s="26">
        <v>-8.5455474964882949</v>
      </c>
      <c r="Y14151" s="1">
        <v>1</v>
      </c>
      <c r="Z14151" s="11">
        <v>0</v>
      </c>
      <c r="AA14151" s="11">
        <v>0</v>
      </c>
    </row>
    <row r="14152" spans="1:27" x14ac:dyDescent="0.2">
      <c r="A14152" s="1">
        <v>66</v>
      </c>
      <c r="B14152" s="1" t="s">
        <v>166</v>
      </c>
      <c r="C14152" s="1" t="s">
        <v>167</v>
      </c>
      <c r="D14152" s="1">
        <v>1844</v>
      </c>
      <c r="E14152" s="6">
        <v>0</v>
      </c>
      <c r="G14152" s="1">
        <v>0</v>
      </c>
      <c r="H14152" s="1">
        <v>0</v>
      </c>
      <c r="I14152" s="1">
        <v>4.8828125</v>
      </c>
      <c r="M14152" s="1" t="s">
        <v>677</v>
      </c>
      <c r="P14152" s="1" t="s">
        <v>471</v>
      </c>
      <c r="Q14152" s="1">
        <v>0</v>
      </c>
      <c r="S14152" s="1">
        <v>0</v>
      </c>
      <c r="T14152" s="1">
        <v>0</v>
      </c>
      <c r="V14152" s="1">
        <f t="shared" si="282"/>
        <v>0</v>
      </c>
      <c r="W14152" s="1">
        <v>0</v>
      </c>
      <c r="X14152" s="26">
        <v>1.401312667412703</v>
      </c>
      <c r="Y14152" s="1">
        <v>1</v>
      </c>
      <c r="Z14152" s="11">
        <v>0</v>
      </c>
      <c r="AA14152" s="11">
        <v>0</v>
      </c>
    </row>
    <row r="14153" spans="1:27" x14ac:dyDescent="0.2">
      <c r="A14153" s="1">
        <v>66</v>
      </c>
      <c r="B14153" s="1" t="s">
        <v>166</v>
      </c>
      <c r="C14153" s="1" t="s">
        <v>167</v>
      </c>
      <c r="D14153" s="1">
        <v>1845</v>
      </c>
      <c r="E14153" s="6">
        <v>0</v>
      </c>
      <c r="G14153" s="1">
        <v>0</v>
      </c>
      <c r="H14153" s="1">
        <v>0</v>
      </c>
      <c r="I14153" s="1">
        <v>4.7961630695443649</v>
      </c>
      <c r="M14153" s="1" t="s">
        <v>677</v>
      </c>
      <c r="P14153" s="1" t="s">
        <v>471</v>
      </c>
      <c r="Q14153" s="1">
        <v>0</v>
      </c>
      <c r="S14153" s="1">
        <v>0</v>
      </c>
      <c r="T14153" s="1">
        <v>0</v>
      </c>
      <c r="V14153" s="1">
        <f t="shared" si="282"/>
        <v>0</v>
      </c>
      <c r="W14153" s="1">
        <v>0</v>
      </c>
      <c r="X14153" s="26">
        <v>2.0221383261714765</v>
      </c>
      <c r="Y14153" s="1">
        <v>1</v>
      </c>
      <c r="Z14153" s="11">
        <v>0</v>
      </c>
      <c r="AA14153" s="11">
        <v>0</v>
      </c>
    </row>
    <row r="14154" spans="1:27" x14ac:dyDescent="0.2">
      <c r="A14154" s="1">
        <v>66</v>
      </c>
      <c r="B14154" s="1" t="s">
        <v>166</v>
      </c>
      <c r="C14154" s="1" t="s">
        <v>167</v>
      </c>
      <c r="D14154" s="1">
        <v>1846</v>
      </c>
      <c r="E14154" s="6">
        <v>0</v>
      </c>
      <c r="G14154" s="1">
        <v>0</v>
      </c>
      <c r="H14154" s="1">
        <v>0</v>
      </c>
      <c r="I14154" s="1">
        <v>4.716981132075472</v>
      </c>
      <c r="M14154" s="1" t="s">
        <v>677</v>
      </c>
      <c r="P14154" s="1" t="s">
        <v>471</v>
      </c>
      <c r="Q14154" s="1">
        <v>0</v>
      </c>
      <c r="S14154" s="1">
        <v>0</v>
      </c>
      <c r="T14154" s="1">
        <v>0</v>
      </c>
      <c r="V14154" s="1">
        <f t="shared" si="282"/>
        <v>0</v>
      </c>
      <c r="W14154" s="1">
        <v>0</v>
      </c>
      <c r="X14154" s="26">
        <v>3.2022222581277595</v>
      </c>
      <c r="Y14154" s="1">
        <v>1</v>
      </c>
      <c r="Z14154" s="11">
        <v>0</v>
      </c>
      <c r="AA14154" s="11">
        <v>0</v>
      </c>
    </row>
    <row r="14155" spans="1:27" x14ac:dyDescent="0.2">
      <c r="A14155" s="1">
        <v>66</v>
      </c>
      <c r="B14155" s="1" t="s">
        <v>166</v>
      </c>
      <c r="C14155" s="1" t="s">
        <v>167</v>
      </c>
      <c r="D14155" s="1">
        <v>1847</v>
      </c>
      <c r="E14155" s="6">
        <v>0</v>
      </c>
      <c r="G14155" s="1">
        <v>0</v>
      </c>
      <c r="H14155" s="1">
        <v>0</v>
      </c>
      <c r="I14155" s="1">
        <v>4.8899755501222497</v>
      </c>
      <c r="M14155" s="1" t="s">
        <v>677</v>
      </c>
      <c r="P14155" s="1" t="s">
        <v>471</v>
      </c>
      <c r="Q14155" s="1">
        <v>0</v>
      </c>
      <c r="S14155" s="1">
        <v>0</v>
      </c>
      <c r="T14155" s="1">
        <v>0</v>
      </c>
      <c r="V14155" s="1">
        <f t="shared" si="282"/>
        <v>0</v>
      </c>
      <c r="W14155" s="1">
        <v>0</v>
      </c>
      <c r="X14155" s="26">
        <v>5.072898550724636</v>
      </c>
      <c r="Y14155" s="1">
        <v>1</v>
      </c>
      <c r="Z14155" s="11">
        <v>0</v>
      </c>
      <c r="AA14155" s="11">
        <v>0</v>
      </c>
    </row>
    <row r="14156" spans="1:27" x14ac:dyDescent="0.2">
      <c r="A14156" s="1">
        <v>66</v>
      </c>
      <c r="B14156" s="1" t="s">
        <v>166</v>
      </c>
      <c r="C14156" s="1" t="s">
        <v>167</v>
      </c>
      <c r="D14156" s="1">
        <v>1848</v>
      </c>
      <c r="E14156" s="6">
        <v>0</v>
      </c>
      <c r="G14156" s="1">
        <v>0</v>
      </c>
      <c r="H14156" s="1">
        <v>0</v>
      </c>
      <c r="I14156" s="1">
        <v>4.8053820278712154</v>
      </c>
      <c r="M14156" s="1" t="s">
        <v>677</v>
      </c>
      <c r="P14156" s="1" t="s">
        <v>471</v>
      </c>
      <c r="Q14156" s="1">
        <v>0</v>
      </c>
      <c r="S14156" s="1">
        <v>0</v>
      </c>
      <c r="T14156" s="1">
        <v>0</v>
      </c>
      <c r="V14156" s="1">
        <f t="shared" si="282"/>
        <v>0</v>
      </c>
      <c r="W14156" s="1">
        <v>0</v>
      </c>
      <c r="X14156" s="26">
        <v>-6.7161873717542191</v>
      </c>
      <c r="Y14156" s="1">
        <v>1</v>
      </c>
      <c r="Z14156" s="11">
        <v>0</v>
      </c>
      <c r="AA14156" s="11">
        <v>0</v>
      </c>
    </row>
    <row r="14157" spans="1:27" x14ac:dyDescent="0.2">
      <c r="A14157" s="1">
        <v>66</v>
      </c>
      <c r="B14157" s="1" t="s">
        <v>166</v>
      </c>
      <c r="C14157" s="1" t="s">
        <v>167</v>
      </c>
      <c r="D14157" s="1">
        <v>1849</v>
      </c>
      <c r="E14157" s="6">
        <v>0</v>
      </c>
      <c r="G14157" s="1">
        <v>0</v>
      </c>
      <c r="H14157" s="1">
        <v>0</v>
      </c>
      <c r="I14157" s="1">
        <v>4.8239266763145201</v>
      </c>
      <c r="M14157" s="1" t="s">
        <v>677</v>
      </c>
      <c r="P14157" s="1" t="s">
        <v>471</v>
      </c>
      <c r="Q14157" s="1">
        <v>0</v>
      </c>
      <c r="S14157" s="1">
        <v>0</v>
      </c>
      <c r="T14157" s="1">
        <v>0</v>
      </c>
      <c r="V14157" s="1">
        <f t="shared" si="282"/>
        <v>0</v>
      </c>
      <c r="W14157" s="1">
        <v>0</v>
      </c>
      <c r="X14157" s="26">
        <v>-0.14562241566060688</v>
      </c>
      <c r="Y14157" s="1">
        <v>1</v>
      </c>
      <c r="Z14157" s="11">
        <v>0</v>
      </c>
      <c r="AA14157" s="11">
        <v>0</v>
      </c>
    </row>
    <row r="14158" spans="1:27" x14ac:dyDescent="0.2">
      <c r="A14158" s="1">
        <v>66</v>
      </c>
      <c r="B14158" s="1" t="s">
        <v>166</v>
      </c>
      <c r="C14158" s="1" t="s">
        <v>167</v>
      </c>
      <c r="D14158" s="1">
        <v>1850</v>
      </c>
      <c r="E14158" s="6">
        <v>0</v>
      </c>
      <c r="G14158" s="1">
        <v>0</v>
      </c>
      <c r="H14158" s="1">
        <v>0</v>
      </c>
      <c r="I14158" s="1">
        <v>4.8614487117160916</v>
      </c>
      <c r="M14158" s="1" t="s">
        <v>677</v>
      </c>
      <c r="P14158" s="1" t="s">
        <v>471</v>
      </c>
      <c r="Q14158" s="1">
        <v>0</v>
      </c>
      <c r="S14158" s="1">
        <v>0</v>
      </c>
      <c r="T14158" s="1">
        <v>0</v>
      </c>
      <c r="V14158" s="1">
        <f t="shared" si="282"/>
        <v>0</v>
      </c>
      <c r="W14158" s="1">
        <v>0</v>
      </c>
      <c r="X14158" s="26">
        <v>-0.40348674247680744</v>
      </c>
      <c r="Y14158" s="1">
        <v>1</v>
      </c>
      <c r="Z14158" s="11">
        <v>0</v>
      </c>
      <c r="AA14158" s="11">
        <v>0</v>
      </c>
    </row>
    <row r="14159" spans="1:27" x14ac:dyDescent="0.2">
      <c r="A14159" s="1">
        <v>66</v>
      </c>
      <c r="B14159" s="1" t="s">
        <v>166</v>
      </c>
      <c r="C14159" s="1" t="s">
        <v>167</v>
      </c>
      <c r="D14159" s="1">
        <v>1851</v>
      </c>
      <c r="E14159" s="6">
        <v>0</v>
      </c>
      <c r="G14159" s="1">
        <v>0</v>
      </c>
      <c r="H14159" s="1">
        <v>0</v>
      </c>
      <c r="I14159" s="1">
        <v>4.9067713444553478</v>
      </c>
      <c r="M14159" s="1" t="s">
        <v>677</v>
      </c>
      <c r="P14159" s="1" t="s">
        <v>471</v>
      </c>
      <c r="Q14159" s="1">
        <v>0</v>
      </c>
      <c r="S14159" s="1">
        <v>0</v>
      </c>
      <c r="T14159" s="1">
        <v>0</v>
      </c>
      <c r="V14159" s="1">
        <f t="shared" si="282"/>
        <v>0</v>
      </c>
      <c r="W14159" s="1">
        <v>0</v>
      </c>
      <c r="X14159" s="26">
        <v>4.4631732482118407</v>
      </c>
      <c r="Y14159" s="1">
        <v>1</v>
      </c>
      <c r="Z14159" s="11">
        <v>0</v>
      </c>
      <c r="AA14159" s="11">
        <v>0</v>
      </c>
    </row>
    <row r="14160" spans="1:27" x14ac:dyDescent="0.2">
      <c r="A14160" s="1">
        <v>66</v>
      </c>
      <c r="B14160" s="1" t="s">
        <v>166</v>
      </c>
      <c r="C14160" s="1" t="s">
        <v>167</v>
      </c>
      <c r="D14160" s="1">
        <v>1852</v>
      </c>
      <c r="E14160" s="6">
        <v>0</v>
      </c>
      <c r="G14160" s="1">
        <v>0</v>
      </c>
      <c r="H14160" s="1">
        <v>0</v>
      </c>
      <c r="I14160" s="1">
        <v>4.8899755501222497</v>
      </c>
      <c r="M14160" s="1" t="s">
        <v>677</v>
      </c>
      <c r="P14160" s="1" t="s">
        <v>471</v>
      </c>
      <c r="Q14160" s="1">
        <v>0</v>
      </c>
      <c r="S14160" s="1">
        <v>0</v>
      </c>
      <c r="T14160" s="1">
        <v>0</v>
      </c>
      <c r="V14160" s="1">
        <f t="shared" si="282"/>
        <v>0</v>
      </c>
      <c r="W14160" s="1">
        <v>0</v>
      </c>
      <c r="X14160" s="26">
        <v>0.72565217391303471</v>
      </c>
      <c r="Y14160" s="1">
        <v>1</v>
      </c>
      <c r="Z14160" s="11">
        <v>0</v>
      </c>
      <c r="AA14160" s="11">
        <v>0</v>
      </c>
    </row>
    <row r="14161" spans="1:27" x14ac:dyDescent="0.2">
      <c r="A14161" s="1">
        <v>66</v>
      </c>
      <c r="B14161" s="1" t="s">
        <v>166</v>
      </c>
      <c r="C14161" s="1" t="s">
        <v>167</v>
      </c>
      <c r="D14161" s="1">
        <v>1853</v>
      </c>
      <c r="E14161" s="6">
        <v>0</v>
      </c>
      <c r="G14161" s="1">
        <v>0</v>
      </c>
      <c r="H14161" s="1">
        <v>0</v>
      </c>
      <c r="I14161" s="1">
        <v>4.8496605237633368</v>
      </c>
      <c r="M14161" s="1" t="s">
        <v>677</v>
      </c>
      <c r="P14161" s="1" t="s">
        <v>471</v>
      </c>
      <c r="Q14161" s="1">
        <v>0</v>
      </c>
      <c r="S14161" s="1">
        <v>0</v>
      </c>
      <c r="T14161" s="1">
        <v>0</v>
      </c>
      <c r="V14161" s="1">
        <f t="shared" si="282"/>
        <v>0</v>
      </c>
      <c r="W14161" s="1">
        <v>0</v>
      </c>
      <c r="X14161" s="26">
        <v>2.2217192206571164</v>
      </c>
      <c r="Y14161" s="1">
        <v>1</v>
      </c>
      <c r="Z14161" s="11">
        <v>0</v>
      </c>
      <c r="AA14161" s="11">
        <v>0</v>
      </c>
    </row>
    <row r="14162" spans="1:27" x14ac:dyDescent="0.2">
      <c r="A14162" s="1">
        <v>66</v>
      </c>
      <c r="B14162" s="1" t="s">
        <v>166</v>
      </c>
      <c r="C14162" s="1" t="s">
        <v>167</v>
      </c>
      <c r="D14162" s="1">
        <v>1854</v>
      </c>
      <c r="E14162" s="6">
        <v>0</v>
      </c>
      <c r="G14162" s="1">
        <v>0</v>
      </c>
      <c r="H14162" s="1">
        <v>0</v>
      </c>
      <c r="I14162" s="1">
        <v>4.8123195380173245</v>
      </c>
      <c r="M14162" s="1" t="s">
        <v>677</v>
      </c>
      <c r="P14162" s="1" t="s">
        <v>471</v>
      </c>
      <c r="Q14162" s="1">
        <v>0</v>
      </c>
      <c r="S14162" s="1">
        <v>0</v>
      </c>
      <c r="T14162" s="1">
        <v>0</v>
      </c>
      <c r="V14162" s="1">
        <f t="shared" si="282"/>
        <v>0</v>
      </c>
      <c r="W14162" s="1">
        <v>1</v>
      </c>
      <c r="X14162" s="26">
        <v>5.7340501792114695</v>
      </c>
      <c r="Y14162" s="1">
        <v>1</v>
      </c>
      <c r="Z14162" s="11">
        <v>0</v>
      </c>
      <c r="AA14162" s="11">
        <v>0</v>
      </c>
    </row>
    <row r="14163" spans="1:27" x14ac:dyDescent="0.2">
      <c r="A14163" s="1">
        <v>66</v>
      </c>
      <c r="B14163" s="1" t="s">
        <v>166</v>
      </c>
      <c r="C14163" s="1" t="s">
        <v>167</v>
      </c>
      <c r="D14163" s="1">
        <v>1855</v>
      </c>
      <c r="E14163" s="6">
        <v>0</v>
      </c>
      <c r="G14163" s="1">
        <v>0</v>
      </c>
      <c r="H14163" s="1">
        <v>0</v>
      </c>
      <c r="I14163" s="1">
        <v>4.8169556840077066</v>
      </c>
      <c r="M14163" s="1" t="s">
        <v>677</v>
      </c>
      <c r="P14163" s="1" t="s">
        <v>471</v>
      </c>
      <c r="Q14163" s="1">
        <v>0</v>
      </c>
      <c r="S14163" s="1">
        <v>0</v>
      </c>
      <c r="T14163" s="1">
        <v>0</v>
      </c>
      <c r="V14163" s="1">
        <f t="shared" si="282"/>
        <v>0</v>
      </c>
      <c r="W14163" s="1">
        <v>0</v>
      </c>
      <c r="X14163" s="26">
        <v>3.542811556763322</v>
      </c>
      <c r="Y14163" s="1">
        <v>1</v>
      </c>
      <c r="Z14163" s="11">
        <v>0</v>
      </c>
      <c r="AA14163" s="11">
        <v>0</v>
      </c>
    </row>
    <row r="14164" spans="1:27" x14ac:dyDescent="0.2">
      <c r="A14164" s="1">
        <v>66</v>
      </c>
      <c r="B14164" s="1" t="s">
        <v>166</v>
      </c>
      <c r="C14164" s="1" t="s">
        <v>167</v>
      </c>
      <c r="D14164" s="1">
        <v>1856</v>
      </c>
      <c r="E14164" s="6">
        <v>0</v>
      </c>
      <c r="G14164" s="1">
        <v>0</v>
      </c>
      <c r="H14164" s="1">
        <v>0</v>
      </c>
      <c r="I14164" s="1">
        <v>4.8449612403100772</v>
      </c>
      <c r="M14164" s="1" t="s">
        <v>677</v>
      </c>
      <c r="P14164" s="1" t="s">
        <v>471</v>
      </c>
      <c r="Q14164" s="1">
        <v>0</v>
      </c>
      <c r="S14164" s="1">
        <v>0</v>
      </c>
      <c r="T14164" s="1">
        <v>0</v>
      </c>
      <c r="V14164" s="1">
        <f t="shared" si="282"/>
        <v>0</v>
      </c>
      <c r="W14164" s="1">
        <v>0</v>
      </c>
      <c r="X14164" s="26">
        <v>-0.78362230836538505</v>
      </c>
      <c r="Y14164" s="1">
        <v>1</v>
      </c>
      <c r="Z14164" s="11">
        <v>0</v>
      </c>
      <c r="AA14164" s="11">
        <v>0</v>
      </c>
    </row>
    <row r="14165" spans="1:27" x14ac:dyDescent="0.2">
      <c r="A14165" s="1">
        <v>66</v>
      </c>
      <c r="B14165" s="1" t="s">
        <v>166</v>
      </c>
      <c r="C14165" s="1" t="s">
        <v>167</v>
      </c>
      <c r="D14165" s="1">
        <v>1857</v>
      </c>
      <c r="E14165" s="19">
        <v>1</v>
      </c>
      <c r="F14165" s="1" t="s">
        <v>348</v>
      </c>
      <c r="G14165" s="1">
        <v>1</v>
      </c>
      <c r="H14165" s="1">
        <v>0</v>
      </c>
      <c r="I14165" s="1">
        <v>4.8473097430925831</v>
      </c>
      <c r="M14165" s="1" t="s">
        <v>677</v>
      </c>
      <c r="P14165" s="1" t="s">
        <v>471</v>
      </c>
      <c r="Q14165" s="1">
        <v>0</v>
      </c>
      <c r="S14165" s="1">
        <v>0</v>
      </c>
      <c r="T14165" s="1">
        <v>0</v>
      </c>
      <c r="V14165" s="1">
        <f t="shared" si="282"/>
        <v>0</v>
      </c>
      <c r="W14165" s="1">
        <v>1</v>
      </c>
      <c r="X14165" s="26">
        <v>2.9410855557463393</v>
      </c>
      <c r="Y14165" s="1">
        <v>1</v>
      </c>
      <c r="Z14165" s="11">
        <v>0</v>
      </c>
      <c r="AA14165" s="11">
        <v>0</v>
      </c>
    </row>
    <row r="14166" spans="1:27" x14ac:dyDescent="0.2">
      <c r="A14166" s="1">
        <v>66</v>
      </c>
      <c r="B14166" s="1" t="s">
        <v>166</v>
      </c>
      <c r="C14166" s="1" t="s">
        <v>167</v>
      </c>
      <c r="D14166" s="1">
        <v>1858</v>
      </c>
      <c r="E14166" s="6">
        <v>0</v>
      </c>
      <c r="G14166" s="1">
        <v>0</v>
      </c>
      <c r="H14166" s="1">
        <v>0</v>
      </c>
      <c r="I14166" s="1">
        <v>4.8709206039941551</v>
      </c>
      <c r="M14166" s="1" t="s">
        <v>677</v>
      </c>
      <c r="P14166" s="1" t="s">
        <v>471</v>
      </c>
      <c r="Q14166" s="1">
        <v>0</v>
      </c>
      <c r="S14166" s="1">
        <v>0</v>
      </c>
      <c r="T14166" s="1">
        <v>0</v>
      </c>
      <c r="V14166" s="1">
        <f t="shared" si="282"/>
        <v>0</v>
      </c>
      <c r="W14166" s="1">
        <v>0</v>
      </c>
      <c r="X14166" s="26">
        <v>-4.2846765877457651</v>
      </c>
      <c r="Y14166" s="1">
        <v>1</v>
      </c>
      <c r="Z14166" s="11">
        <v>0</v>
      </c>
      <c r="AA14166" s="11">
        <v>0</v>
      </c>
    </row>
    <row r="14167" spans="1:27" x14ac:dyDescent="0.2">
      <c r="A14167" s="1">
        <v>66</v>
      </c>
      <c r="B14167" s="1" t="s">
        <v>166</v>
      </c>
      <c r="C14167" s="1" t="s">
        <v>167</v>
      </c>
      <c r="D14167" s="1">
        <v>1859</v>
      </c>
      <c r="E14167" s="6">
        <v>0</v>
      </c>
      <c r="G14167" s="1">
        <v>0</v>
      </c>
      <c r="H14167" s="1">
        <v>0</v>
      </c>
      <c r="I14167" s="1">
        <v>4.863813229571984</v>
      </c>
      <c r="M14167" s="1" t="s">
        <v>677</v>
      </c>
      <c r="P14167" s="1" t="s">
        <v>471</v>
      </c>
      <c r="Q14167" s="1">
        <v>0</v>
      </c>
      <c r="S14167" s="1">
        <v>0</v>
      </c>
      <c r="T14167" s="1">
        <v>0</v>
      </c>
      <c r="V14167" s="1">
        <f t="shared" si="282"/>
        <v>0</v>
      </c>
      <c r="W14167" s="1">
        <v>0</v>
      </c>
      <c r="X14167" s="26">
        <v>-2.2250740058133256</v>
      </c>
      <c r="Y14167" s="1">
        <v>1</v>
      </c>
      <c r="Z14167" s="11">
        <v>0</v>
      </c>
      <c r="AA14167" s="11">
        <v>0</v>
      </c>
    </row>
    <row r="14168" spans="1:27" x14ac:dyDescent="0.2">
      <c r="A14168" s="1">
        <v>66</v>
      </c>
      <c r="B14168" s="1" t="s">
        <v>166</v>
      </c>
      <c r="C14168" s="1" t="s">
        <v>167</v>
      </c>
      <c r="D14168" s="1">
        <v>1860</v>
      </c>
      <c r="E14168" s="6">
        <v>0</v>
      </c>
      <c r="G14168" s="1">
        <v>0</v>
      </c>
      <c r="H14168" s="1">
        <v>0</v>
      </c>
      <c r="I14168" s="1">
        <v>4.6168051708217916</v>
      </c>
      <c r="M14168" s="1" t="s">
        <v>677</v>
      </c>
      <c r="P14168" s="1" t="s">
        <v>471</v>
      </c>
      <c r="Q14168" s="1">
        <v>0</v>
      </c>
      <c r="S14168" s="1">
        <v>0</v>
      </c>
      <c r="T14168" s="1">
        <v>0</v>
      </c>
      <c r="V14168" s="1">
        <f t="shared" si="282"/>
        <v>0</v>
      </c>
      <c r="W14168" s="1">
        <v>0</v>
      </c>
      <c r="X14168" s="26">
        <v>-1.057972937118598</v>
      </c>
      <c r="Y14168" s="1">
        <v>1</v>
      </c>
      <c r="Z14168" s="11">
        <v>0</v>
      </c>
      <c r="AA14168" s="11">
        <v>0</v>
      </c>
    </row>
    <row r="14169" spans="1:27" x14ac:dyDescent="0.2">
      <c r="A14169" s="1">
        <v>66</v>
      </c>
      <c r="B14169" s="1" t="s">
        <v>166</v>
      </c>
      <c r="C14169" s="1" t="s">
        <v>167</v>
      </c>
      <c r="D14169" s="1">
        <v>1861</v>
      </c>
      <c r="E14169" s="19">
        <v>1</v>
      </c>
      <c r="F14169" s="1" t="s">
        <v>376</v>
      </c>
      <c r="G14169" s="1">
        <v>1</v>
      </c>
      <c r="H14169" s="1">
        <v>0</v>
      </c>
      <c r="I14169" s="1">
        <v>4.8379293662312532</v>
      </c>
      <c r="M14169" s="1" t="s">
        <v>677</v>
      </c>
      <c r="P14169" s="1" t="s">
        <v>471</v>
      </c>
      <c r="Q14169" s="1">
        <v>0</v>
      </c>
      <c r="S14169" s="1">
        <v>0</v>
      </c>
      <c r="T14169" s="1">
        <v>0</v>
      </c>
      <c r="V14169" s="1">
        <f t="shared" si="282"/>
        <v>0</v>
      </c>
      <c r="W14169" s="1">
        <v>0</v>
      </c>
      <c r="X14169" s="26">
        <v>5.0926528515156804</v>
      </c>
      <c r="Y14169" s="1">
        <v>1</v>
      </c>
      <c r="Z14169" s="11">
        <v>0</v>
      </c>
      <c r="AA14169" s="11">
        <v>0</v>
      </c>
    </row>
    <row r="14170" spans="1:27" x14ac:dyDescent="0.2">
      <c r="A14170" s="1">
        <v>66</v>
      </c>
      <c r="B14170" s="1" t="s">
        <v>166</v>
      </c>
      <c r="C14170" s="1" t="s">
        <v>167</v>
      </c>
      <c r="D14170" s="1">
        <v>1862</v>
      </c>
      <c r="E14170" s="6">
        <v>0</v>
      </c>
      <c r="G14170" s="1">
        <v>0</v>
      </c>
      <c r="H14170" s="1">
        <v>0</v>
      </c>
      <c r="I14170" s="1">
        <v>6.4724919093851137</v>
      </c>
      <c r="M14170" s="1" t="s">
        <v>677</v>
      </c>
      <c r="P14170" s="1" t="s">
        <v>471</v>
      </c>
      <c r="Q14170" s="1">
        <v>0</v>
      </c>
      <c r="S14170" s="1">
        <v>0</v>
      </c>
      <c r="T14170" s="1">
        <v>0</v>
      </c>
      <c r="V14170" s="1">
        <f t="shared" si="282"/>
        <v>0</v>
      </c>
      <c r="W14170" s="1">
        <v>0</v>
      </c>
      <c r="X14170" s="26">
        <v>12.608119365028509</v>
      </c>
      <c r="Y14170" s="1">
        <v>1</v>
      </c>
      <c r="Z14170" s="49">
        <v>1</v>
      </c>
      <c r="AA14170" s="11">
        <v>0</v>
      </c>
    </row>
    <row r="14171" spans="1:27" x14ac:dyDescent="0.2">
      <c r="A14171" s="1">
        <v>66</v>
      </c>
      <c r="B14171" s="1" t="s">
        <v>166</v>
      </c>
      <c r="C14171" s="1" t="s">
        <v>167</v>
      </c>
      <c r="D14171" s="1">
        <v>1863</v>
      </c>
      <c r="E14171" s="6">
        <v>0</v>
      </c>
      <c r="G14171" s="1">
        <v>0</v>
      </c>
      <c r="H14171" s="1">
        <v>0</v>
      </c>
      <c r="I14171" s="1">
        <v>7.3855243722304289</v>
      </c>
      <c r="M14171" s="1" t="s">
        <v>677</v>
      </c>
      <c r="P14171" s="1" t="s">
        <v>471</v>
      </c>
      <c r="Q14171" s="1">
        <v>0</v>
      </c>
      <c r="S14171" s="1">
        <v>0</v>
      </c>
      <c r="T14171" s="1">
        <v>0</v>
      </c>
      <c r="V14171" s="1">
        <f t="shared" si="282"/>
        <v>0</v>
      </c>
      <c r="W14171" s="1">
        <v>0</v>
      </c>
      <c r="X14171" s="26">
        <v>20.87571000257309</v>
      </c>
      <c r="Y14171" s="1">
        <v>1</v>
      </c>
      <c r="Z14171" s="11">
        <v>0</v>
      </c>
      <c r="AA14171" s="11">
        <v>1</v>
      </c>
    </row>
    <row r="14172" spans="1:27" x14ac:dyDescent="0.2">
      <c r="A14172" s="1">
        <v>66</v>
      </c>
      <c r="B14172" s="1" t="s">
        <v>166</v>
      </c>
      <c r="C14172" s="1" t="s">
        <v>167</v>
      </c>
      <c r="D14172" s="1">
        <v>1864</v>
      </c>
      <c r="E14172" s="19">
        <v>1</v>
      </c>
      <c r="F14172" s="1" t="s">
        <v>377</v>
      </c>
      <c r="G14172" s="1">
        <v>1</v>
      </c>
      <c r="H14172" s="1">
        <v>0</v>
      </c>
      <c r="I14172" s="1">
        <v>4.8285852245292125</v>
      </c>
      <c r="M14172" s="1" t="s">
        <v>677</v>
      </c>
      <c r="P14172" s="1" t="s">
        <v>471</v>
      </c>
      <c r="Q14172" s="1">
        <v>0</v>
      </c>
      <c r="S14172" s="1">
        <v>0</v>
      </c>
      <c r="T14172" s="1">
        <v>0</v>
      </c>
      <c r="V14172" s="1">
        <f t="shared" ref="V14172:V14235" si="283">18.93*S14172</f>
        <v>0</v>
      </c>
      <c r="W14172" s="1">
        <v>0</v>
      </c>
      <c r="X14172" s="26">
        <v>24.043707188298143</v>
      </c>
      <c r="Y14172" s="1">
        <v>1</v>
      </c>
      <c r="Z14172" s="11">
        <v>0</v>
      </c>
      <c r="AA14172" s="11">
        <v>1</v>
      </c>
    </row>
    <row r="14173" spans="1:27" x14ac:dyDescent="0.2">
      <c r="A14173" s="1">
        <v>66</v>
      </c>
      <c r="B14173" s="1" t="s">
        <v>166</v>
      </c>
      <c r="C14173" s="1" t="s">
        <v>167</v>
      </c>
      <c r="D14173" s="1">
        <v>1865</v>
      </c>
      <c r="E14173" s="6">
        <v>0</v>
      </c>
      <c r="F14173" s="1" t="s">
        <v>377</v>
      </c>
      <c r="G14173" s="1">
        <v>1</v>
      </c>
      <c r="H14173" s="1">
        <v>0</v>
      </c>
      <c r="I14173" s="1">
        <v>4.8449612403100772</v>
      </c>
      <c r="M14173" s="1" t="s">
        <v>677</v>
      </c>
      <c r="P14173" s="1" t="s">
        <v>471</v>
      </c>
      <c r="Q14173" s="1">
        <v>0</v>
      </c>
      <c r="S14173" s="1">
        <v>0</v>
      </c>
      <c r="T14173" s="1">
        <v>0</v>
      </c>
      <c r="V14173" s="1">
        <f t="shared" si="283"/>
        <v>0</v>
      </c>
      <c r="W14173" s="1">
        <v>0</v>
      </c>
      <c r="X14173" s="26">
        <v>4.9238679507204592</v>
      </c>
      <c r="Y14173" s="1">
        <v>1</v>
      </c>
      <c r="Z14173" s="11">
        <v>0</v>
      </c>
      <c r="AA14173" s="11">
        <v>0</v>
      </c>
    </row>
    <row r="14174" spans="1:27" ht="12.95" customHeight="1" x14ac:dyDescent="0.2">
      <c r="A14174" s="1">
        <v>66</v>
      </c>
      <c r="B14174" s="1" t="s">
        <v>166</v>
      </c>
      <c r="C14174" s="1" t="s">
        <v>167</v>
      </c>
      <c r="D14174" s="1">
        <v>1866</v>
      </c>
      <c r="E14174" s="6">
        <v>0</v>
      </c>
      <c r="F14174" s="1" t="s">
        <v>377</v>
      </c>
      <c r="G14174" s="1">
        <v>1</v>
      </c>
      <c r="H14174" s="1">
        <v>0</v>
      </c>
      <c r="I14174" s="1">
        <v>4.8053820278712154</v>
      </c>
      <c r="M14174" s="1" t="s">
        <v>677</v>
      </c>
      <c r="P14174" s="1" t="s">
        <v>471</v>
      </c>
      <c r="Q14174" s="1">
        <v>0</v>
      </c>
      <c r="S14174" s="1">
        <v>0</v>
      </c>
      <c r="T14174" s="1">
        <v>0</v>
      </c>
      <c r="V14174" s="1">
        <f t="shared" si="283"/>
        <v>0</v>
      </c>
      <c r="W14174" s="1">
        <v>0</v>
      </c>
      <c r="X14174" s="26">
        <v>-1.3732716326147421</v>
      </c>
      <c r="Y14174" s="1">
        <v>1</v>
      </c>
      <c r="Z14174" s="11">
        <v>0</v>
      </c>
      <c r="AA14174" s="11">
        <v>0</v>
      </c>
    </row>
    <row r="14175" spans="1:27" ht="12.95" customHeight="1" x14ac:dyDescent="0.2">
      <c r="A14175" s="1">
        <v>66</v>
      </c>
      <c r="B14175" s="1" t="s">
        <v>166</v>
      </c>
      <c r="C14175" s="1" t="s">
        <v>167</v>
      </c>
      <c r="D14175" s="1">
        <v>1867</v>
      </c>
      <c r="E14175" s="6">
        <v>0</v>
      </c>
      <c r="G14175" s="1">
        <v>0</v>
      </c>
      <c r="H14175" s="1">
        <v>0</v>
      </c>
      <c r="I14175" s="1">
        <v>4.9043648847474248</v>
      </c>
      <c r="M14175" s="1" t="s">
        <v>677</v>
      </c>
      <c r="P14175" s="1" t="s">
        <v>471</v>
      </c>
      <c r="Q14175" s="1">
        <v>0</v>
      </c>
      <c r="S14175" s="1">
        <v>0</v>
      </c>
      <c r="T14175" s="1">
        <v>0</v>
      </c>
      <c r="V14175" s="1">
        <f t="shared" si="283"/>
        <v>0</v>
      </c>
      <c r="W14175" s="1">
        <v>0</v>
      </c>
      <c r="X14175" s="26">
        <v>-4.8626513797826538</v>
      </c>
      <c r="Y14175" s="1">
        <v>1</v>
      </c>
      <c r="Z14175" s="11">
        <v>0</v>
      </c>
      <c r="AA14175" s="11">
        <v>0</v>
      </c>
    </row>
    <row r="14176" spans="1:27" x14ac:dyDescent="0.2">
      <c r="A14176" s="1">
        <v>66</v>
      </c>
      <c r="B14176" s="1" t="s">
        <v>166</v>
      </c>
      <c r="C14176" s="1" t="s">
        <v>167</v>
      </c>
      <c r="D14176" s="1">
        <v>1868</v>
      </c>
      <c r="E14176" s="6">
        <v>0</v>
      </c>
      <c r="G14176" s="1">
        <v>0</v>
      </c>
      <c r="H14176" s="1">
        <v>0</v>
      </c>
      <c r="I14176" s="1">
        <v>4.8685491723466408</v>
      </c>
      <c r="M14176" s="1" t="s">
        <v>677</v>
      </c>
      <c r="P14176" s="1" t="s">
        <v>471</v>
      </c>
      <c r="Q14176" s="1">
        <v>0</v>
      </c>
      <c r="S14176" s="1">
        <v>0</v>
      </c>
      <c r="T14176" s="1">
        <v>0</v>
      </c>
      <c r="V14176" s="1">
        <f t="shared" si="283"/>
        <v>0</v>
      </c>
      <c r="W14176" s="1">
        <v>0</v>
      </c>
      <c r="X14176" s="26">
        <v>-3.927769806485172</v>
      </c>
      <c r="Y14176" s="1">
        <v>1</v>
      </c>
      <c r="Z14176" s="11">
        <v>0</v>
      </c>
      <c r="AA14176" s="11">
        <v>0</v>
      </c>
    </row>
    <row r="14177" spans="1:27" x14ac:dyDescent="0.2">
      <c r="A14177" s="1">
        <v>66</v>
      </c>
      <c r="B14177" s="1" t="s">
        <v>166</v>
      </c>
      <c r="C14177" s="1" t="s">
        <v>167</v>
      </c>
      <c r="D14177" s="1">
        <v>1869</v>
      </c>
      <c r="E14177" s="6">
        <v>0</v>
      </c>
      <c r="G14177" s="1">
        <v>0</v>
      </c>
      <c r="H14177" s="1">
        <v>0</v>
      </c>
      <c r="I14177" s="1">
        <v>4.8590864917395526</v>
      </c>
      <c r="M14177" s="1" t="s">
        <v>677</v>
      </c>
      <c r="P14177" s="1" t="s">
        <v>471</v>
      </c>
      <c r="Q14177" s="1">
        <v>0</v>
      </c>
      <c r="S14177" s="1">
        <v>0</v>
      </c>
      <c r="T14177" s="1">
        <v>0</v>
      </c>
      <c r="V14177" s="1">
        <f t="shared" si="283"/>
        <v>0</v>
      </c>
      <c r="W14177" s="1">
        <v>0</v>
      </c>
      <c r="X14177" s="26">
        <v>-3.7483908207201893</v>
      </c>
      <c r="Y14177" s="1">
        <v>1</v>
      </c>
      <c r="Z14177" s="11">
        <v>0</v>
      </c>
      <c r="AA14177" s="11">
        <v>0</v>
      </c>
    </row>
    <row r="14178" spans="1:27" x14ac:dyDescent="0.2">
      <c r="A14178" s="1">
        <v>66</v>
      </c>
      <c r="B14178" s="1" t="s">
        <v>166</v>
      </c>
      <c r="C14178" s="1" t="s">
        <v>167</v>
      </c>
      <c r="D14178" s="1">
        <v>1870</v>
      </c>
      <c r="E14178" s="6">
        <v>0</v>
      </c>
      <c r="G14178" s="1">
        <v>0</v>
      </c>
      <c r="H14178" s="1">
        <v>0</v>
      </c>
      <c r="I14178" s="1">
        <v>4.8685491723466408</v>
      </c>
      <c r="M14178" s="1" t="s">
        <v>677</v>
      </c>
      <c r="P14178" s="1" t="s">
        <v>471</v>
      </c>
      <c r="Q14178" s="1">
        <v>0</v>
      </c>
      <c r="S14178" s="1">
        <v>0</v>
      </c>
      <c r="T14178" s="1">
        <v>0</v>
      </c>
      <c r="V14178" s="1">
        <f t="shared" si="283"/>
        <v>0</v>
      </c>
      <c r="W14178" s="1">
        <v>0</v>
      </c>
      <c r="X14178" s="26">
        <v>-4.2496642111469747</v>
      </c>
      <c r="Y14178" s="1">
        <v>1</v>
      </c>
      <c r="Z14178" s="11">
        <v>0</v>
      </c>
      <c r="AA14178" s="11">
        <v>0</v>
      </c>
    </row>
    <row r="14179" spans="1:27" x14ac:dyDescent="0.2">
      <c r="A14179" s="1">
        <v>66</v>
      </c>
      <c r="B14179" s="1" t="s">
        <v>166</v>
      </c>
      <c r="C14179" s="1" t="s">
        <v>167</v>
      </c>
      <c r="D14179" s="1">
        <v>1871</v>
      </c>
      <c r="E14179" s="6">
        <v>0</v>
      </c>
      <c r="G14179" s="1">
        <v>0</v>
      </c>
      <c r="H14179" s="1">
        <v>0</v>
      </c>
      <c r="I14179" s="1">
        <v>4.8756704046806432</v>
      </c>
      <c r="M14179" s="1" t="s">
        <v>677</v>
      </c>
      <c r="P14179" s="1" t="s">
        <v>471</v>
      </c>
      <c r="Q14179" s="1">
        <v>0</v>
      </c>
      <c r="S14179" s="1">
        <v>0</v>
      </c>
      <c r="T14179" s="1">
        <v>0</v>
      </c>
      <c r="V14179" s="1">
        <f t="shared" si="283"/>
        <v>0</v>
      </c>
      <c r="W14179" s="1">
        <v>0</v>
      </c>
      <c r="X14179" s="26">
        <v>-4.9789165178985151</v>
      </c>
      <c r="Y14179" s="1">
        <v>1</v>
      </c>
      <c r="Z14179" s="11">
        <v>0</v>
      </c>
      <c r="AA14179" s="11">
        <v>0</v>
      </c>
    </row>
    <row r="14180" spans="1:27" x14ac:dyDescent="0.2">
      <c r="A14180" s="1">
        <v>66</v>
      </c>
      <c r="B14180" s="1" t="s">
        <v>166</v>
      </c>
      <c r="C14180" s="1" t="s">
        <v>167</v>
      </c>
      <c r="D14180" s="1">
        <v>1872</v>
      </c>
      <c r="E14180" s="6">
        <v>0</v>
      </c>
      <c r="G14180" s="1">
        <v>0</v>
      </c>
      <c r="H14180" s="1">
        <v>0</v>
      </c>
      <c r="I14180" s="1">
        <v>4.8923679060665366</v>
      </c>
      <c r="M14180" s="1" t="s">
        <v>677</v>
      </c>
      <c r="P14180" s="1" t="s">
        <v>471</v>
      </c>
      <c r="Q14180" s="1">
        <v>0</v>
      </c>
      <c r="S14180" s="1">
        <v>0</v>
      </c>
      <c r="T14180" s="1">
        <v>0</v>
      </c>
      <c r="V14180" s="1">
        <f t="shared" si="283"/>
        <v>0</v>
      </c>
      <c r="W14180" s="1">
        <v>0</v>
      </c>
      <c r="X14180" s="26">
        <v>0.3744483050051679</v>
      </c>
      <c r="Y14180" s="1">
        <v>1</v>
      </c>
      <c r="Z14180" s="11">
        <v>0</v>
      </c>
      <c r="AA14180" s="11">
        <v>0</v>
      </c>
    </row>
    <row r="14181" spans="1:27" x14ac:dyDescent="0.2">
      <c r="A14181" s="1">
        <v>66</v>
      </c>
      <c r="B14181" s="1" t="s">
        <v>166</v>
      </c>
      <c r="C14181" s="1" t="s">
        <v>167</v>
      </c>
      <c r="D14181" s="1">
        <v>1873</v>
      </c>
      <c r="E14181" s="19">
        <v>1</v>
      </c>
      <c r="F14181" s="1" t="s">
        <v>378</v>
      </c>
      <c r="G14181" s="1">
        <v>0</v>
      </c>
      <c r="H14181" s="1">
        <v>0</v>
      </c>
      <c r="I14181" s="1">
        <v>4.8756704046806432</v>
      </c>
      <c r="M14181" s="1" t="s">
        <v>677</v>
      </c>
      <c r="P14181" s="1" t="s">
        <v>471</v>
      </c>
      <c r="Q14181" s="1">
        <v>0</v>
      </c>
      <c r="R14181" s="1" t="s">
        <v>602</v>
      </c>
      <c r="S14181" s="1">
        <v>0</v>
      </c>
      <c r="T14181" s="1">
        <v>0</v>
      </c>
      <c r="V14181" s="1">
        <f t="shared" si="283"/>
        <v>0</v>
      </c>
      <c r="W14181" s="1">
        <v>0</v>
      </c>
      <c r="X14181" s="26">
        <v>-2.1012364071329332</v>
      </c>
      <c r="Y14181" s="1">
        <v>1</v>
      </c>
      <c r="Z14181" s="11">
        <v>0</v>
      </c>
      <c r="AA14181" s="11">
        <v>0</v>
      </c>
    </row>
    <row r="14182" spans="1:27" x14ac:dyDescent="0.2">
      <c r="A14182" s="1">
        <v>66</v>
      </c>
      <c r="B14182" s="1" t="s">
        <v>166</v>
      </c>
      <c r="C14182" s="1" t="s">
        <v>167</v>
      </c>
      <c r="D14182" s="1">
        <v>1874</v>
      </c>
      <c r="E14182" s="6">
        <v>0</v>
      </c>
      <c r="F14182" s="1" t="s">
        <v>378</v>
      </c>
      <c r="G14182" s="1">
        <v>0</v>
      </c>
      <c r="H14182" s="1">
        <v>0</v>
      </c>
      <c r="I14182" s="1">
        <v>4.9019607843137258</v>
      </c>
      <c r="M14182" s="1" t="s">
        <v>677</v>
      </c>
      <c r="P14182" s="1" t="s">
        <v>471</v>
      </c>
      <c r="Q14182" s="1">
        <v>0</v>
      </c>
      <c r="R14182" s="1" t="s">
        <v>602</v>
      </c>
      <c r="S14182" s="1">
        <v>0</v>
      </c>
      <c r="T14182" s="1">
        <v>0</v>
      </c>
      <c r="V14182" s="1">
        <f t="shared" si="283"/>
        <v>0</v>
      </c>
      <c r="W14182" s="1">
        <v>0</v>
      </c>
      <c r="X14182" s="26">
        <v>-3.2403703703703712</v>
      </c>
      <c r="Y14182" s="1">
        <v>1</v>
      </c>
      <c r="Z14182" s="11">
        <v>0</v>
      </c>
      <c r="AA14182" s="11">
        <v>0</v>
      </c>
    </row>
    <row r="14183" spans="1:27" x14ac:dyDescent="0.2">
      <c r="A14183" s="1">
        <v>66</v>
      </c>
      <c r="B14183" s="1" t="s">
        <v>166</v>
      </c>
      <c r="C14183" s="1" t="s">
        <v>167</v>
      </c>
      <c r="D14183" s="1">
        <v>1875</v>
      </c>
      <c r="E14183" s="6">
        <v>0</v>
      </c>
      <c r="F14183" s="1" t="s">
        <v>378</v>
      </c>
      <c r="G14183" s="1">
        <v>0</v>
      </c>
      <c r="H14183" s="1">
        <v>0</v>
      </c>
      <c r="I14183" s="1">
        <v>4.8947626040137049</v>
      </c>
      <c r="M14183" s="1" t="s">
        <v>677</v>
      </c>
      <c r="P14183" s="1" t="s">
        <v>471</v>
      </c>
      <c r="Q14183" s="1">
        <v>0</v>
      </c>
      <c r="R14183" s="1" t="s">
        <v>602</v>
      </c>
      <c r="S14183" s="1">
        <v>0</v>
      </c>
      <c r="T14183" s="1">
        <v>0</v>
      </c>
      <c r="V14183" s="1">
        <f t="shared" si="283"/>
        <v>0</v>
      </c>
      <c r="W14183" s="1">
        <v>0</v>
      </c>
      <c r="X14183" s="26">
        <v>-3.9662426797739365</v>
      </c>
      <c r="Y14183" s="1">
        <v>1</v>
      </c>
      <c r="Z14183" s="11">
        <v>0</v>
      </c>
      <c r="AA14183" s="11">
        <v>0</v>
      </c>
    </row>
    <row r="14184" spans="1:27" x14ac:dyDescent="0.2">
      <c r="A14184" s="1">
        <v>66</v>
      </c>
      <c r="B14184" s="1" t="s">
        <v>166</v>
      </c>
      <c r="C14184" s="1" t="s">
        <v>167</v>
      </c>
      <c r="D14184" s="1">
        <v>1876</v>
      </c>
      <c r="E14184" s="6">
        <v>0</v>
      </c>
      <c r="F14184" s="1" t="s">
        <v>378</v>
      </c>
      <c r="G14184" s="1">
        <v>0</v>
      </c>
      <c r="H14184" s="1">
        <v>0</v>
      </c>
      <c r="I14184" s="1">
        <v>4.8402710551790902</v>
      </c>
      <c r="M14184" s="1" t="s">
        <v>677</v>
      </c>
      <c r="P14184" s="1" t="s">
        <v>471</v>
      </c>
      <c r="Q14184" s="1">
        <v>0</v>
      </c>
      <c r="R14184" s="1" t="s">
        <v>602</v>
      </c>
      <c r="S14184" s="1">
        <v>0</v>
      </c>
      <c r="T14184" s="1">
        <v>0</v>
      </c>
      <c r="V14184" s="1">
        <f t="shared" si="283"/>
        <v>0</v>
      </c>
      <c r="W14184" s="1">
        <v>0</v>
      </c>
      <c r="X14184" s="26">
        <v>-2.7337546193643747</v>
      </c>
      <c r="Y14184" s="1">
        <v>1</v>
      </c>
      <c r="Z14184" s="11">
        <v>1</v>
      </c>
      <c r="AA14184" s="11">
        <v>0</v>
      </c>
    </row>
    <row r="14185" spans="1:27" x14ac:dyDescent="0.2">
      <c r="A14185" s="1">
        <v>66</v>
      </c>
      <c r="B14185" s="1" t="s">
        <v>166</v>
      </c>
      <c r="C14185" s="1" t="s">
        <v>167</v>
      </c>
      <c r="D14185" s="1">
        <v>1877</v>
      </c>
      <c r="E14185" s="6">
        <v>0</v>
      </c>
      <c r="F14185" s="1" t="s">
        <v>378</v>
      </c>
      <c r="G14185" s="1">
        <v>0</v>
      </c>
      <c r="H14185" s="1">
        <v>0</v>
      </c>
      <c r="I14185" s="1">
        <v>4.8590864917395526</v>
      </c>
      <c r="M14185" s="1" t="s">
        <v>677</v>
      </c>
      <c r="P14185" s="1" t="s">
        <v>471</v>
      </c>
      <c r="Q14185" s="1">
        <v>0</v>
      </c>
      <c r="R14185" s="1" t="s">
        <v>602</v>
      </c>
      <c r="S14185" s="1">
        <v>0</v>
      </c>
      <c r="T14185" s="1">
        <v>0</v>
      </c>
      <c r="V14185" s="1">
        <f t="shared" si="283"/>
        <v>0</v>
      </c>
      <c r="W14185" s="1">
        <v>0</v>
      </c>
      <c r="X14185" s="39">
        <v>-3.661565106466492</v>
      </c>
      <c r="Y14185" s="1">
        <v>1</v>
      </c>
      <c r="Z14185" s="11">
        <v>0</v>
      </c>
      <c r="AA14185" s="11">
        <v>0</v>
      </c>
    </row>
    <row r="14186" spans="1:27" x14ac:dyDescent="0.2">
      <c r="A14186" s="1">
        <v>66</v>
      </c>
      <c r="B14186" s="1" t="s">
        <v>166</v>
      </c>
      <c r="C14186" s="1" t="s">
        <v>167</v>
      </c>
      <c r="D14186" s="1">
        <v>1878</v>
      </c>
      <c r="E14186" s="6">
        <v>0</v>
      </c>
      <c r="F14186" s="1" t="s">
        <v>378</v>
      </c>
      <c r="G14186" s="1">
        <v>0</v>
      </c>
      <c r="H14186" s="1">
        <v>0</v>
      </c>
      <c r="I14186" s="1">
        <v>4.8804294777940456</v>
      </c>
      <c r="M14186" s="1" t="s">
        <v>677</v>
      </c>
      <c r="P14186" s="1" t="s">
        <v>471</v>
      </c>
      <c r="Q14186" s="1">
        <v>0</v>
      </c>
      <c r="R14186" s="1" t="s">
        <v>602</v>
      </c>
      <c r="S14186" s="1">
        <v>0</v>
      </c>
      <c r="T14186" s="1">
        <v>0</v>
      </c>
      <c r="V14186" s="1">
        <f t="shared" si="283"/>
        <v>0</v>
      </c>
      <c r="W14186" s="1">
        <v>0</v>
      </c>
      <c r="X14186" s="39">
        <v>-5.4262205062205053</v>
      </c>
      <c r="Y14186" s="1">
        <v>1</v>
      </c>
      <c r="Z14186" s="11">
        <v>0</v>
      </c>
      <c r="AA14186" s="11">
        <v>0</v>
      </c>
    </row>
    <row r="14187" spans="1:27" x14ac:dyDescent="0.2">
      <c r="A14187" s="1">
        <v>66</v>
      </c>
      <c r="B14187" s="1" t="s">
        <v>166</v>
      </c>
      <c r="C14187" s="1" t="s">
        <v>167</v>
      </c>
      <c r="D14187" s="1">
        <v>1879</v>
      </c>
      <c r="E14187" s="6">
        <v>0</v>
      </c>
      <c r="F14187" s="1" t="s">
        <v>378</v>
      </c>
      <c r="G14187" s="1">
        <v>0</v>
      </c>
      <c r="H14187" s="1">
        <v>0</v>
      </c>
      <c r="I14187" s="1">
        <v>4.8449612403100772</v>
      </c>
      <c r="M14187" s="1" t="s">
        <v>677</v>
      </c>
      <c r="P14187" s="1" t="s">
        <v>471</v>
      </c>
      <c r="Q14187" s="1">
        <v>0</v>
      </c>
      <c r="R14187" s="1" t="s">
        <v>602</v>
      </c>
      <c r="S14187" s="1">
        <v>0</v>
      </c>
      <c r="T14187" s="1">
        <v>0</v>
      </c>
      <c r="V14187" s="1">
        <f t="shared" si="283"/>
        <v>0</v>
      </c>
      <c r="W14187" s="1">
        <v>0</v>
      </c>
      <c r="X14187" s="39">
        <v>2.4154589371980686</v>
      </c>
      <c r="Y14187" s="1">
        <v>1</v>
      </c>
      <c r="Z14187" s="11">
        <v>0</v>
      </c>
      <c r="AA14187" s="11">
        <v>0</v>
      </c>
    </row>
    <row r="14188" spans="1:27" x14ac:dyDescent="0.2">
      <c r="A14188" s="1">
        <v>66</v>
      </c>
      <c r="B14188" s="1" t="s">
        <v>166</v>
      </c>
      <c r="C14188" s="1" t="s">
        <v>167</v>
      </c>
      <c r="D14188" s="1">
        <v>1880</v>
      </c>
      <c r="E14188" s="6">
        <v>0</v>
      </c>
      <c r="G14188" s="1">
        <v>0</v>
      </c>
      <c r="H14188" s="1">
        <v>1</v>
      </c>
      <c r="I14188" s="1">
        <v>4.8239266763145201</v>
      </c>
      <c r="M14188" s="1" t="s">
        <v>677</v>
      </c>
      <c r="P14188" s="1" t="s">
        <v>471</v>
      </c>
      <c r="Q14188" s="1">
        <v>0</v>
      </c>
      <c r="R14188" s="1" t="s">
        <v>602</v>
      </c>
      <c r="S14188" s="1">
        <v>0</v>
      </c>
      <c r="T14188" s="1">
        <v>0</v>
      </c>
      <c r="V14188" s="1">
        <f t="shared" si="283"/>
        <v>0</v>
      </c>
      <c r="W14188" s="1">
        <v>0</v>
      </c>
      <c r="X14188" s="39">
        <v>3.0180180180180067</v>
      </c>
      <c r="Y14188" s="1">
        <v>1</v>
      </c>
      <c r="Z14188" s="11">
        <v>0</v>
      </c>
      <c r="AA14188" s="11">
        <v>0</v>
      </c>
    </row>
    <row r="14189" spans="1:27" x14ac:dyDescent="0.2">
      <c r="A14189" s="1">
        <v>66</v>
      </c>
      <c r="B14189" s="1" t="s">
        <v>166</v>
      </c>
      <c r="C14189" s="1" t="s">
        <v>167</v>
      </c>
      <c r="D14189" s="1">
        <v>1881</v>
      </c>
      <c r="E14189" s="6">
        <v>0</v>
      </c>
      <c r="G14189" s="1">
        <v>0</v>
      </c>
      <c r="H14189" s="1">
        <v>1</v>
      </c>
      <c r="I14189" s="1">
        <v>4.8496605237633368</v>
      </c>
      <c r="M14189" s="1" t="s">
        <v>677</v>
      </c>
      <c r="P14189" s="1" t="s">
        <v>471</v>
      </c>
      <c r="Q14189" s="1">
        <v>0</v>
      </c>
      <c r="R14189" s="1" t="s">
        <v>602</v>
      </c>
      <c r="S14189" s="1">
        <v>0</v>
      </c>
      <c r="T14189" s="1">
        <v>0</v>
      </c>
      <c r="V14189" s="1">
        <f t="shared" si="283"/>
        <v>0</v>
      </c>
      <c r="W14189" s="1">
        <v>0</v>
      </c>
      <c r="X14189" s="39">
        <v>1.7316017316017291</v>
      </c>
      <c r="Y14189" s="1">
        <v>1</v>
      </c>
      <c r="Z14189" s="11">
        <v>0</v>
      </c>
      <c r="AA14189" s="11">
        <v>0</v>
      </c>
    </row>
    <row r="14190" spans="1:27" x14ac:dyDescent="0.2">
      <c r="A14190" s="1">
        <v>66</v>
      </c>
      <c r="B14190" s="1" t="s">
        <v>166</v>
      </c>
      <c r="C14190" s="1" t="s">
        <v>167</v>
      </c>
      <c r="D14190" s="1">
        <v>1882</v>
      </c>
      <c r="E14190" s="6">
        <v>0</v>
      </c>
      <c r="G14190" s="1">
        <v>0</v>
      </c>
      <c r="H14190" s="1">
        <v>1</v>
      </c>
      <c r="I14190" s="1">
        <v>4.8543689320388355</v>
      </c>
      <c r="M14190" s="1" t="s">
        <v>677</v>
      </c>
      <c r="P14190" s="1" t="s">
        <v>471</v>
      </c>
      <c r="Q14190" s="1">
        <v>0</v>
      </c>
      <c r="R14190" s="1" t="s">
        <v>602</v>
      </c>
      <c r="S14190" s="1">
        <v>0</v>
      </c>
      <c r="T14190" s="1">
        <v>0</v>
      </c>
      <c r="V14190" s="1">
        <f t="shared" si="283"/>
        <v>0</v>
      </c>
      <c r="W14190" s="1">
        <v>0</v>
      </c>
      <c r="X14190" s="39">
        <v>-0.82304526748971085</v>
      </c>
      <c r="Y14190" s="1">
        <v>1</v>
      </c>
      <c r="Z14190" s="11">
        <v>0</v>
      </c>
      <c r="AA14190" s="11">
        <v>0</v>
      </c>
    </row>
    <row r="14191" spans="1:27" x14ac:dyDescent="0.2">
      <c r="A14191" s="1">
        <v>66</v>
      </c>
      <c r="B14191" s="1" t="s">
        <v>166</v>
      </c>
      <c r="C14191" s="1" t="s">
        <v>167</v>
      </c>
      <c r="D14191" s="1">
        <v>1883</v>
      </c>
      <c r="E14191" s="6">
        <v>0</v>
      </c>
      <c r="G14191" s="1">
        <v>0</v>
      </c>
      <c r="H14191" s="1">
        <v>1</v>
      </c>
      <c r="I14191" s="1">
        <v>4.8543689320388355</v>
      </c>
      <c r="M14191" s="1" t="s">
        <v>677</v>
      </c>
      <c r="P14191" s="1" t="s">
        <v>471</v>
      </c>
      <c r="Q14191" s="1">
        <v>0</v>
      </c>
      <c r="R14191" s="1" t="s">
        <v>602</v>
      </c>
      <c r="S14191" s="1">
        <v>0</v>
      </c>
      <c r="T14191" s="1">
        <v>0</v>
      </c>
      <c r="V14191" s="1">
        <f t="shared" si="283"/>
        <v>0</v>
      </c>
      <c r="W14191" s="1">
        <v>0</v>
      </c>
      <c r="X14191" s="39">
        <v>-1.9292206099276159</v>
      </c>
      <c r="Y14191" s="1">
        <v>1</v>
      </c>
      <c r="Z14191" s="11">
        <v>0</v>
      </c>
      <c r="AA14191" s="11">
        <v>0</v>
      </c>
    </row>
    <row r="14192" spans="1:27" x14ac:dyDescent="0.2">
      <c r="A14192" s="1">
        <v>66</v>
      </c>
      <c r="B14192" s="1" t="s">
        <v>166</v>
      </c>
      <c r="C14192" s="1" t="s">
        <v>167</v>
      </c>
      <c r="D14192" s="1">
        <v>1884</v>
      </c>
      <c r="E14192" s="22">
        <v>1</v>
      </c>
      <c r="G14192" s="1">
        <v>0</v>
      </c>
      <c r="H14192" s="1">
        <v>1</v>
      </c>
      <c r="I14192" s="1">
        <v>4.8543689320388355</v>
      </c>
      <c r="M14192" s="1" t="s">
        <v>677</v>
      </c>
      <c r="P14192" s="1" t="s">
        <v>471</v>
      </c>
      <c r="Q14192" s="1">
        <v>0</v>
      </c>
      <c r="S14192" s="1">
        <v>0</v>
      </c>
      <c r="T14192" s="1">
        <v>0</v>
      </c>
      <c r="V14192" s="1">
        <f t="shared" si="283"/>
        <v>0</v>
      </c>
      <c r="W14192" s="1">
        <v>0</v>
      </c>
      <c r="X14192" s="39">
        <v>-2.9518142463596981</v>
      </c>
      <c r="Y14192" s="1">
        <v>1</v>
      </c>
      <c r="Z14192" s="11">
        <v>0</v>
      </c>
      <c r="AA14192" s="11">
        <v>0</v>
      </c>
    </row>
    <row r="14193" spans="1:27" x14ac:dyDescent="0.2">
      <c r="A14193" s="1">
        <v>66</v>
      </c>
      <c r="B14193" s="1" t="s">
        <v>166</v>
      </c>
      <c r="C14193" s="1" t="s">
        <v>167</v>
      </c>
      <c r="D14193" s="1">
        <v>1885</v>
      </c>
      <c r="E14193" s="6">
        <v>0</v>
      </c>
      <c r="G14193" s="1">
        <v>0</v>
      </c>
      <c r="H14193" s="1">
        <v>1</v>
      </c>
      <c r="I14193" s="1">
        <v>4.8851978505129461</v>
      </c>
      <c r="M14193" s="1" t="s">
        <v>677</v>
      </c>
      <c r="P14193" s="1" t="s">
        <v>471</v>
      </c>
      <c r="Q14193" s="1">
        <v>0</v>
      </c>
      <c r="S14193" s="1">
        <v>0</v>
      </c>
      <c r="T14193" s="1">
        <v>0</v>
      </c>
      <c r="V14193" s="1">
        <f t="shared" si="283"/>
        <v>0</v>
      </c>
      <c r="W14193" s="1">
        <v>0</v>
      </c>
      <c r="X14193" s="39">
        <v>-1.5787555351962193</v>
      </c>
      <c r="Y14193" s="1">
        <v>1</v>
      </c>
      <c r="Z14193" s="11">
        <v>0</v>
      </c>
      <c r="AA14193" s="11">
        <v>0</v>
      </c>
    </row>
    <row r="14194" spans="1:27" x14ac:dyDescent="0.2">
      <c r="A14194" s="1">
        <v>66</v>
      </c>
      <c r="B14194" s="1" t="s">
        <v>166</v>
      </c>
      <c r="C14194" s="1" t="s">
        <v>167</v>
      </c>
      <c r="D14194" s="1">
        <v>1886</v>
      </c>
      <c r="E14194" s="6">
        <v>0</v>
      </c>
      <c r="G14194" s="1">
        <v>0</v>
      </c>
      <c r="H14194" s="1">
        <v>1</v>
      </c>
      <c r="I14194" s="1">
        <v>4.8449612403100772</v>
      </c>
      <c r="M14194" s="1" t="s">
        <v>677</v>
      </c>
      <c r="P14194" s="1" t="s">
        <v>471</v>
      </c>
      <c r="Q14194" s="1">
        <v>0</v>
      </c>
      <c r="S14194" s="1">
        <v>0</v>
      </c>
      <c r="T14194" s="1">
        <v>0</v>
      </c>
      <c r="V14194" s="1">
        <f t="shared" si="283"/>
        <v>0</v>
      </c>
      <c r="W14194" s="1">
        <v>0</v>
      </c>
      <c r="X14194" s="39">
        <v>-1.7254022988505682</v>
      </c>
      <c r="Y14194" s="1">
        <v>1</v>
      </c>
      <c r="Z14194" s="49">
        <v>1</v>
      </c>
      <c r="AA14194" s="11">
        <v>0</v>
      </c>
    </row>
    <row r="14195" spans="1:27" x14ac:dyDescent="0.2">
      <c r="A14195" s="1">
        <v>66</v>
      </c>
      <c r="B14195" s="1" t="s">
        <v>166</v>
      </c>
      <c r="C14195" s="1" t="s">
        <v>167</v>
      </c>
      <c r="D14195" s="1">
        <v>1887</v>
      </c>
      <c r="E14195" s="6">
        <v>0</v>
      </c>
      <c r="G14195" s="1">
        <v>0</v>
      </c>
      <c r="H14195" s="1">
        <v>1</v>
      </c>
      <c r="I14195" s="1">
        <v>4.8661800486618008</v>
      </c>
      <c r="M14195" s="1" t="s">
        <v>677</v>
      </c>
      <c r="P14195" s="1" t="s">
        <v>471</v>
      </c>
      <c r="Q14195" s="1">
        <v>0</v>
      </c>
      <c r="S14195" s="1">
        <v>0</v>
      </c>
      <c r="T14195" s="1">
        <v>0</v>
      </c>
      <c r="V14195" s="1">
        <f t="shared" si="283"/>
        <v>0</v>
      </c>
      <c r="W14195" s="1">
        <v>0</v>
      </c>
      <c r="X14195" s="39">
        <v>1.5015605932032059</v>
      </c>
      <c r="Y14195" s="1">
        <v>1</v>
      </c>
      <c r="Z14195" s="11">
        <v>0</v>
      </c>
      <c r="AA14195" s="11">
        <v>0</v>
      </c>
    </row>
    <row r="14196" spans="1:27" x14ac:dyDescent="0.2">
      <c r="A14196" s="1">
        <v>66</v>
      </c>
      <c r="B14196" s="1" t="s">
        <v>166</v>
      </c>
      <c r="C14196" s="1" t="s">
        <v>167</v>
      </c>
      <c r="D14196" s="1">
        <v>1888</v>
      </c>
      <c r="E14196" s="6">
        <v>0</v>
      </c>
      <c r="G14196" s="1">
        <v>0</v>
      </c>
      <c r="H14196" s="1">
        <v>1</v>
      </c>
      <c r="I14196" s="1">
        <v>4.8947626040137049</v>
      </c>
      <c r="M14196" s="1" t="s">
        <v>677</v>
      </c>
      <c r="P14196" s="1" t="s">
        <v>471</v>
      </c>
      <c r="Q14196" s="1">
        <v>0</v>
      </c>
      <c r="S14196" s="1">
        <v>0</v>
      </c>
      <c r="T14196" s="1">
        <v>0</v>
      </c>
      <c r="V14196" s="1">
        <f t="shared" si="283"/>
        <v>0</v>
      </c>
      <c r="W14196" s="1">
        <v>0</v>
      </c>
      <c r="X14196" s="39">
        <v>0</v>
      </c>
      <c r="Y14196" s="1">
        <v>1</v>
      </c>
      <c r="Z14196" s="11">
        <v>0</v>
      </c>
      <c r="AA14196" s="11">
        <v>0</v>
      </c>
    </row>
    <row r="14197" spans="1:27" x14ac:dyDescent="0.2">
      <c r="A14197" s="1">
        <v>66</v>
      </c>
      <c r="B14197" s="1" t="s">
        <v>166</v>
      </c>
      <c r="C14197" s="1" t="s">
        <v>167</v>
      </c>
      <c r="D14197" s="1">
        <v>1889</v>
      </c>
      <c r="E14197" s="6">
        <v>0</v>
      </c>
      <c r="G14197" s="1">
        <v>0</v>
      </c>
      <c r="H14197" s="1">
        <v>1</v>
      </c>
      <c r="I14197" s="1">
        <v>4.8496605237633368</v>
      </c>
      <c r="M14197" s="1" t="s">
        <v>677</v>
      </c>
      <c r="P14197" s="1" t="s">
        <v>471</v>
      </c>
      <c r="Q14197" s="1">
        <v>0</v>
      </c>
      <c r="S14197" s="1">
        <v>0</v>
      </c>
      <c r="T14197" s="1">
        <v>0</v>
      </c>
      <c r="V14197" s="1">
        <f t="shared" si="283"/>
        <v>0</v>
      </c>
      <c r="W14197" s="1">
        <v>0</v>
      </c>
      <c r="X14197" s="39">
        <v>-2.1983040935672533</v>
      </c>
      <c r="Y14197" s="1">
        <v>1</v>
      </c>
      <c r="Z14197" s="11">
        <v>0</v>
      </c>
      <c r="AA14197" s="11">
        <v>0</v>
      </c>
    </row>
    <row r="14198" spans="1:27" x14ac:dyDescent="0.2">
      <c r="A14198" s="1">
        <v>66</v>
      </c>
      <c r="B14198" s="1" t="s">
        <v>166</v>
      </c>
      <c r="C14198" s="1" t="s">
        <v>167</v>
      </c>
      <c r="D14198" s="1">
        <v>1890</v>
      </c>
      <c r="E14198" s="6">
        <v>0</v>
      </c>
      <c r="G14198" s="1">
        <v>0</v>
      </c>
      <c r="H14198" s="1">
        <v>1</v>
      </c>
      <c r="I14198" s="1">
        <v>4.8614487117160916</v>
      </c>
      <c r="M14198" s="1" t="s">
        <v>677</v>
      </c>
      <c r="P14198" s="1" t="s">
        <v>471</v>
      </c>
      <c r="Q14198" s="1">
        <v>0</v>
      </c>
      <c r="S14198" s="1">
        <v>0</v>
      </c>
      <c r="T14198" s="1">
        <v>0</v>
      </c>
      <c r="V14198" s="1">
        <f t="shared" si="283"/>
        <v>0</v>
      </c>
      <c r="W14198" s="1">
        <v>0</v>
      </c>
      <c r="X14198" s="39">
        <v>-0.75015015015015252</v>
      </c>
      <c r="Y14198" s="1">
        <v>1</v>
      </c>
      <c r="Z14198" s="11">
        <v>0</v>
      </c>
      <c r="AA14198" s="11">
        <v>0</v>
      </c>
    </row>
    <row r="14199" spans="1:27" x14ac:dyDescent="0.2">
      <c r="A14199" s="1">
        <v>66</v>
      </c>
      <c r="B14199" s="1" t="s">
        <v>166</v>
      </c>
      <c r="C14199" s="1" t="s">
        <v>167</v>
      </c>
      <c r="D14199" s="1">
        <v>1891</v>
      </c>
      <c r="E14199" s="6">
        <v>0</v>
      </c>
      <c r="G14199" s="1">
        <v>0</v>
      </c>
      <c r="H14199" s="1">
        <v>1</v>
      </c>
      <c r="I14199" s="1">
        <v>4.8449612403100772</v>
      </c>
      <c r="M14199" s="1" t="s">
        <v>677</v>
      </c>
      <c r="P14199" s="1" t="s">
        <v>471</v>
      </c>
      <c r="Q14199" s="1">
        <v>0</v>
      </c>
      <c r="S14199" s="1">
        <v>0</v>
      </c>
      <c r="T14199" s="1">
        <v>0</v>
      </c>
      <c r="V14199" s="1">
        <f t="shared" si="283"/>
        <v>0</v>
      </c>
      <c r="W14199" s="1">
        <v>0</v>
      </c>
      <c r="X14199" s="39">
        <v>0</v>
      </c>
      <c r="Y14199" s="1">
        <v>1</v>
      </c>
      <c r="Z14199" s="49">
        <v>1</v>
      </c>
      <c r="AA14199" s="11">
        <v>0</v>
      </c>
    </row>
    <row r="14200" spans="1:27" x14ac:dyDescent="0.2">
      <c r="A14200" s="1">
        <v>66</v>
      </c>
      <c r="B14200" s="1" t="s">
        <v>166</v>
      </c>
      <c r="C14200" s="1" t="s">
        <v>167</v>
      </c>
      <c r="D14200" s="1">
        <v>1892</v>
      </c>
      <c r="E14200" s="6">
        <v>0</v>
      </c>
      <c r="G14200" s="1">
        <v>0</v>
      </c>
      <c r="H14200" s="1">
        <v>1</v>
      </c>
      <c r="I14200" s="1">
        <v>4.8851978505129461</v>
      </c>
      <c r="M14200" s="1" t="s">
        <v>677</v>
      </c>
      <c r="P14200" s="1" t="s">
        <v>471</v>
      </c>
      <c r="Q14200" s="1">
        <v>0</v>
      </c>
      <c r="S14200" s="1">
        <v>0</v>
      </c>
      <c r="T14200" s="1">
        <v>0</v>
      </c>
      <c r="V14200" s="1">
        <f t="shared" si="283"/>
        <v>0</v>
      </c>
      <c r="W14200" s="1">
        <v>0</v>
      </c>
      <c r="X14200" s="39">
        <v>-0.44444444444444381</v>
      </c>
      <c r="Y14200" s="1">
        <v>1</v>
      </c>
      <c r="Z14200" s="49">
        <v>1</v>
      </c>
      <c r="AA14200" s="11">
        <v>0</v>
      </c>
    </row>
    <row r="14201" spans="1:27" x14ac:dyDescent="0.2">
      <c r="A14201" s="1">
        <v>66</v>
      </c>
      <c r="B14201" s="1" t="s">
        <v>166</v>
      </c>
      <c r="C14201" s="1" t="s">
        <v>167</v>
      </c>
      <c r="D14201" s="1">
        <v>1893</v>
      </c>
      <c r="E14201" s="5">
        <v>1</v>
      </c>
      <c r="F14201" s="1" t="s">
        <v>379</v>
      </c>
      <c r="G14201" s="1">
        <v>1</v>
      </c>
      <c r="H14201" s="1">
        <v>1</v>
      </c>
      <c r="I14201" s="1">
        <v>4.8685491723466408</v>
      </c>
      <c r="M14201" s="1" t="s">
        <v>677</v>
      </c>
      <c r="P14201" s="1" t="s">
        <v>471</v>
      </c>
      <c r="Q14201" s="1">
        <v>0</v>
      </c>
      <c r="S14201" s="1">
        <v>0</v>
      </c>
      <c r="T14201" s="1">
        <v>0</v>
      </c>
      <c r="V14201" s="1">
        <f t="shared" si="283"/>
        <v>0</v>
      </c>
      <c r="W14201" s="1">
        <v>0</v>
      </c>
      <c r="X14201" s="39">
        <v>-0.61247706422018489</v>
      </c>
      <c r="Y14201" s="1">
        <v>1</v>
      </c>
      <c r="Z14201" s="49">
        <v>1</v>
      </c>
      <c r="AA14201" s="11">
        <v>0</v>
      </c>
    </row>
    <row r="14202" spans="1:27" ht="12.95" customHeight="1" x14ac:dyDescent="0.2">
      <c r="A14202" s="1">
        <v>66</v>
      </c>
      <c r="B14202" s="1" t="s">
        <v>166</v>
      </c>
      <c r="C14202" s="1" t="s">
        <v>167</v>
      </c>
      <c r="D14202" s="1">
        <v>1894</v>
      </c>
      <c r="E14202" s="6">
        <v>0</v>
      </c>
      <c r="G14202" s="1">
        <v>0</v>
      </c>
      <c r="H14202" s="1">
        <v>1</v>
      </c>
      <c r="I14202" s="1">
        <v>4.8804294777940456</v>
      </c>
      <c r="M14202" s="1" t="s">
        <v>677</v>
      </c>
      <c r="P14202" s="1" t="s">
        <v>471</v>
      </c>
      <c r="Q14202" s="1">
        <v>0</v>
      </c>
      <c r="S14202" s="1">
        <v>0</v>
      </c>
      <c r="T14202" s="1">
        <v>0</v>
      </c>
      <c r="V14202" s="1">
        <f t="shared" si="283"/>
        <v>0</v>
      </c>
      <c r="W14202" s="1">
        <v>0</v>
      </c>
      <c r="X14202" s="39">
        <v>-3.9874441107774423</v>
      </c>
      <c r="Y14202" s="1">
        <v>1</v>
      </c>
      <c r="Z14202" s="49">
        <v>1</v>
      </c>
      <c r="AA14202" s="11">
        <v>0</v>
      </c>
    </row>
    <row r="14203" spans="1:27" ht="12.95" customHeight="1" x14ac:dyDescent="0.2">
      <c r="A14203" s="1">
        <v>66</v>
      </c>
      <c r="B14203" s="1" t="s">
        <v>166</v>
      </c>
      <c r="C14203" s="1" t="s">
        <v>167</v>
      </c>
      <c r="D14203" s="1">
        <v>1895</v>
      </c>
      <c r="E14203" s="6">
        <v>0</v>
      </c>
      <c r="G14203" s="1">
        <v>0</v>
      </c>
      <c r="H14203" s="1">
        <v>1</v>
      </c>
      <c r="I14203" s="1">
        <v>4.8923679060665366</v>
      </c>
      <c r="M14203" s="1" t="s">
        <v>677</v>
      </c>
      <c r="P14203" s="1" t="s">
        <v>471</v>
      </c>
      <c r="Q14203" s="1">
        <v>0</v>
      </c>
      <c r="S14203" s="1">
        <v>0</v>
      </c>
      <c r="T14203" s="1">
        <v>0</v>
      </c>
      <c r="V14203" s="1">
        <f t="shared" si="283"/>
        <v>0</v>
      </c>
      <c r="W14203" s="1">
        <v>0</v>
      </c>
      <c r="X14203" s="39">
        <v>-1.7568788205681389</v>
      </c>
      <c r="Y14203" s="1">
        <v>1</v>
      </c>
      <c r="Z14203" s="11">
        <v>0</v>
      </c>
      <c r="AA14203" s="11">
        <v>0</v>
      </c>
    </row>
    <row r="14204" spans="1:27" x14ac:dyDescent="0.2">
      <c r="A14204" s="1">
        <v>66</v>
      </c>
      <c r="B14204" s="1" t="s">
        <v>166</v>
      </c>
      <c r="C14204" s="1" t="s">
        <v>167</v>
      </c>
      <c r="D14204" s="1">
        <v>1896</v>
      </c>
      <c r="E14204" s="6">
        <v>0</v>
      </c>
      <c r="G14204" s="1">
        <v>0</v>
      </c>
      <c r="H14204" s="1">
        <v>1</v>
      </c>
      <c r="I14204" s="1">
        <v>4.8709206039941551</v>
      </c>
      <c r="M14204" s="1" t="s">
        <v>677</v>
      </c>
      <c r="P14204" s="1" t="s">
        <v>471</v>
      </c>
      <c r="Q14204" s="1">
        <v>0</v>
      </c>
      <c r="S14204" s="1">
        <v>0</v>
      </c>
      <c r="T14204" s="1">
        <v>0</v>
      </c>
      <c r="V14204" s="1">
        <f t="shared" si="283"/>
        <v>0</v>
      </c>
      <c r="W14204" s="1">
        <v>0</v>
      </c>
      <c r="X14204" s="39">
        <v>0</v>
      </c>
      <c r="Y14204" s="1">
        <v>1</v>
      </c>
      <c r="Z14204" s="11">
        <v>0</v>
      </c>
      <c r="AA14204" s="11">
        <v>0</v>
      </c>
    </row>
    <row r="14205" spans="1:27" x14ac:dyDescent="0.2">
      <c r="A14205" s="1">
        <v>66</v>
      </c>
      <c r="B14205" s="1" t="s">
        <v>166</v>
      </c>
      <c r="C14205" s="1" t="s">
        <v>167</v>
      </c>
      <c r="D14205" s="1">
        <v>1897</v>
      </c>
      <c r="E14205" s="6">
        <v>0</v>
      </c>
      <c r="G14205" s="1">
        <v>0</v>
      </c>
      <c r="H14205" s="1">
        <v>1</v>
      </c>
      <c r="I14205" s="1">
        <v>4.8590864917395526</v>
      </c>
      <c r="M14205" s="1" t="s">
        <v>677</v>
      </c>
      <c r="P14205" s="1" t="s">
        <v>471</v>
      </c>
      <c r="Q14205" s="1">
        <v>0</v>
      </c>
      <c r="S14205" s="1">
        <v>0</v>
      </c>
      <c r="T14205" s="1">
        <v>0</v>
      </c>
      <c r="V14205" s="1">
        <f t="shared" si="283"/>
        <v>0</v>
      </c>
      <c r="W14205" s="1">
        <v>0</v>
      </c>
      <c r="X14205" s="39">
        <v>-0.66003300330033843</v>
      </c>
      <c r="Y14205" s="1">
        <v>1</v>
      </c>
      <c r="Z14205" s="49">
        <v>1</v>
      </c>
      <c r="AA14205" s="11">
        <v>0</v>
      </c>
    </row>
    <row r="14206" spans="1:27" x14ac:dyDescent="0.2">
      <c r="A14206" s="1">
        <v>66</v>
      </c>
      <c r="B14206" s="1" t="s">
        <v>166</v>
      </c>
      <c r="C14206" s="1" t="s">
        <v>167</v>
      </c>
      <c r="D14206" s="1">
        <v>1898</v>
      </c>
      <c r="E14206" s="6">
        <v>0</v>
      </c>
      <c r="G14206" s="1">
        <v>0</v>
      </c>
      <c r="H14206" s="1">
        <v>1</v>
      </c>
      <c r="I14206" s="1">
        <v>4.8543689320388355</v>
      </c>
      <c r="M14206" s="1" t="s">
        <v>677</v>
      </c>
      <c r="P14206" s="1" t="s">
        <v>471</v>
      </c>
      <c r="Q14206" s="1">
        <v>0</v>
      </c>
      <c r="S14206" s="1">
        <v>0</v>
      </c>
      <c r="T14206" s="1">
        <v>0</v>
      </c>
      <c r="V14206" s="1">
        <f t="shared" si="283"/>
        <v>0</v>
      </c>
      <c r="W14206" s="1">
        <v>0</v>
      </c>
      <c r="X14206" s="39">
        <v>0.46948356807511665</v>
      </c>
      <c r="Y14206" s="1">
        <v>1</v>
      </c>
      <c r="Z14206" s="11">
        <v>0</v>
      </c>
      <c r="AA14206" s="11">
        <v>0</v>
      </c>
    </row>
    <row r="14207" spans="1:27" x14ac:dyDescent="0.2">
      <c r="A14207" s="1">
        <v>66</v>
      </c>
      <c r="B14207" s="1" t="s">
        <v>166</v>
      </c>
      <c r="C14207" s="1" t="s">
        <v>167</v>
      </c>
      <c r="D14207" s="1">
        <v>1899</v>
      </c>
      <c r="E14207" s="6">
        <v>0</v>
      </c>
      <c r="G14207" s="1">
        <v>0</v>
      </c>
      <c r="H14207" s="1">
        <v>1</v>
      </c>
      <c r="I14207" s="1">
        <v>4.8851978505129461</v>
      </c>
      <c r="M14207" s="1" t="s">
        <v>677</v>
      </c>
      <c r="P14207" s="1" t="s">
        <v>471</v>
      </c>
      <c r="Q14207" s="1">
        <v>0</v>
      </c>
      <c r="S14207" s="1">
        <v>0</v>
      </c>
      <c r="T14207" s="1">
        <v>0</v>
      </c>
      <c r="V14207" s="1">
        <f t="shared" si="283"/>
        <v>0</v>
      </c>
      <c r="W14207" s="1">
        <v>0</v>
      </c>
      <c r="X14207" s="39">
        <v>1.3888888888888868</v>
      </c>
      <c r="Y14207" s="1">
        <v>1</v>
      </c>
      <c r="Z14207" s="11">
        <v>0</v>
      </c>
      <c r="AA14207" s="11">
        <v>0</v>
      </c>
    </row>
    <row r="14208" spans="1:27" x14ac:dyDescent="0.2">
      <c r="A14208" s="1">
        <v>66</v>
      </c>
      <c r="B14208" s="1" t="s">
        <v>166</v>
      </c>
      <c r="C14208" s="1" t="s">
        <v>167</v>
      </c>
      <c r="D14208" s="1">
        <v>1900</v>
      </c>
      <c r="E14208" s="6">
        <v>0</v>
      </c>
      <c r="G14208" s="1">
        <v>0</v>
      </c>
      <c r="H14208" s="1">
        <v>1</v>
      </c>
      <c r="I14208" s="1">
        <v>4.8520135856380397</v>
      </c>
      <c r="M14208" s="1" t="s">
        <v>677</v>
      </c>
      <c r="P14208" s="1" t="s">
        <v>471</v>
      </c>
      <c r="Q14208" s="1">
        <v>0</v>
      </c>
      <c r="S14208" s="1">
        <v>0</v>
      </c>
      <c r="T14208" s="1">
        <v>0</v>
      </c>
      <c r="V14208" s="1">
        <f t="shared" si="283"/>
        <v>0</v>
      </c>
      <c r="W14208" s="1">
        <v>0</v>
      </c>
      <c r="X14208" s="39">
        <v>1.1111111111111152</v>
      </c>
      <c r="Y14208" s="1">
        <v>1</v>
      </c>
      <c r="Z14208" s="11">
        <v>0</v>
      </c>
      <c r="AA14208" s="11">
        <v>0</v>
      </c>
    </row>
    <row r="14209" spans="1:27" x14ac:dyDescent="0.2">
      <c r="A14209" s="1">
        <v>66</v>
      </c>
      <c r="B14209" s="1" t="s">
        <v>166</v>
      </c>
      <c r="C14209" s="1" t="s">
        <v>167</v>
      </c>
      <c r="D14209" s="1">
        <v>1901</v>
      </c>
      <c r="E14209" s="6">
        <v>0</v>
      </c>
      <c r="G14209" s="1">
        <v>0</v>
      </c>
      <c r="H14209" s="1">
        <v>1</v>
      </c>
      <c r="I14209" s="1">
        <v>4.8614487117160916</v>
      </c>
      <c r="M14209" s="1" t="s">
        <v>677</v>
      </c>
      <c r="P14209" s="1" t="s">
        <v>471</v>
      </c>
      <c r="Q14209" s="1">
        <v>0</v>
      </c>
      <c r="S14209" s="1">
        <v>0</v>
      </c>
      <c r="T14209" s="1">
        <v>0</v>
      </c>
      <c r="V14209" s="1">
        <f t="shared" si="283"/>
        <v>0</v>
      </c>
      <c r="W14209" s="1">
        <v>0</v>
      </c>
      <c r="X14209" s="39">
        <v>1.5372259857564703</v>
      </c>
      <c r="Y14209" s="1">
        <v>1</v>
      </c>
      <c r="Z14209" s="11">
        <v>0</v>
      </c>
      <c r="AA14209" s="11">
        <v>0</v>
      </c>
    </row>
    <row r="14210" spans="1:27" x14ac:dyDescent="0.2">
      <c r="A14210" s="1">
        <v>66</v>
      </c>
      <c r="B14210" s="1" t="s">
        <v>166</v>
      </c>
      <c r="C14210" s="1" t="s">
        <v>167</v>
      </c>
      <c r="D14210" s="1">
        <v>1902</v>
      </c>
      <c r="E14210" s="6">
        <v>0</v>
      </c>
      <c r="G14210" s="1">
        <v>0</v>
      </c>
      <c r="H14210" s="1">
        <v>1</v>
      </c>
      <c r="I14210" s="1">
        <v>4.8780487804878048</v>
      </c>
      <c r="M14210" s="1" t="s">
        <v>677</v>
      </c>
      <c r="P14210" s="1" t="s">
        <v>471</v>
      </c>
      <c r="Q14210" s="1">
        <v>0</v>
      </c>
      <c r="S14210" s="1">
        <v>0</v>
      </c>
      <c r="T14210" s="1">
        <v>0</v>
      </c>
      <c r="V14210" s="1">
        <f t="shared" si="283"/>
        <v>0</v>
      </c>
      <c r="W14210" s="1">
        <v>0</v>
      </c>
      <c r="X14210" s="39">
        <v>1.5081649069884351</v>
      </c>
      <c r="Y14210" s="1">
        <v>1</v>
      </c>
      <c r="Z14210" s="49">
        <v>1</v>
      </c>
      <c r="AA14210" s="11">
        <v>0</v>
      </c>
    </row>
    <row r="14211" spans="1:27" x14ac:dyDescent="0.2">
      <c r="A14211" s="1">
        <v>66</v>
      </c>
      <c r="B14211" s="1" t="s">
        <v>166</v>
      </c>
      <c r="C14211" s="1" t="s">
        <v>167</v>
      </c>
      <c r="D14211" s="1">
        <v>1903</v>
      </c>
      <c r="E14211" s="6">
        <v>0</v>
      </c>
      <c r="G14211" s="1">
        <v>0</v>
      </c>
      <c r="H14211" s="1">
        <v>1</v>
      </c>
      <c r="I14211" s="1">
        <v>4.8379293662312532</v>
      </c>
      <c r="M14211" s="1" t="s">
        <v>677</v>
      </c>
      <c r="P14211" s="1" t="s">
        <v>471</v>
      </c>
      <c r="Q14211" s="1">
        <v>0</v>
      </c>
      <c r="S14211" s="1">
        <v>0</v>
      </c>
      <c r="T14211" s="1">
        <v>0</v>
      </c>
      <c r="V14211" s="1">
        <f t="shared" si="283"/>
        <v>0</v>
      </c>
      <c r="W14211" s="1">
        <v>1</v>
      </c>
      <c r="X14211" s="39">
        <v>1.9408737864077708</v>
      </c>
      <c r="Y14211" s="1">
        <v>1</v>
      </c>
      <c r="Z14211" s="11">
        <v>0</v>
      </c>
      <c r="AA14211" s="11">
        <v>0</v>
      </c>
    </row>
    <row r="14212" spans="1:27" x14ac:dyDescent="0.2">
      <c r="A14212" s="1">
        <v>66</v>
      </c>
      <c r="B14212" s="1" t="s">
        <v>166</v>
      </c>
      <c r="C14212" s="1" t="s">
        <v>167</v>
      </c>
      <c r="D14212" s="1">
        <v>1904</v>
      </c>
      <c r="E14212" s="6">
        <v>0</v>
      </c>
      <c r="G14212" s="1">
        <v>0</v>
      </c>
      <c r="H14212" s="1">
        <v>1</v>
      </c>
      <c r="I14212" s="1">
        <v>4.8756704046806432</v>
      </c>
      <c r="M14212" s="1" t="s">
        <v>677</v>
      </c>
      <c r="P14212" s="1" t="s">
        <v>471</v>
      </c>
      <c r="Q14212" s="1">
        <v>0</v>
      </c>
      <c r="S14212" s="1">
        <v>0</v>
      </c>
      <c r="T14212" s="1">
        <v>0</v>
      </c>
      <c r="V14212" s="1">
        <f t="shared" si="283"/>
        <v>0</v>
      </c>
      <c r="W14212" s="1">
        <v>0</v>
      </c>
      <c r="X14212" s="39">
        <v>1.0444654088050376</v>
      </c>
      <c r="Y14212" s="1">
        <v>1</v>
      </c>
      <c r="Z14212" s="11">
        <v>0</v>
      </c>
      <c r="AA14212" s="11">
        <v>0</v>
      </c>
    </row>
    <row r="14213" spans="1:27" x14ac:dyDescent="0.2">
      <c r="A14213" s="1">
        <v>66</v>
      </c>
      <c r="B14213" s="1" t="s">
        <v>166</v>
      </c>
      <c r="C14213" s="1" t="s">
        <v>167</v>
      </c>
      <c r="D14213" s="1">
        <v>1905</v>
      </c>
      <c r="E14213" s="6">
        <v>0</v>
      </c>
      <c r="G14213" s="1">
        <v>0</v>
      </c>
      <c r="H14213" s="1">
        <v>1</v>
      </c>
      <c r="I14213" s="1">
        <v>4.863813229571984</v>
      </c>
      <c r="M14213" s="1" t="s">
        <v>677</v>
      </c>
      <c r="P14213" s="1" t="s">
        <v>471</v>
      </c>
      <c r="Q14213" s="1">
        <v>0</v>
      </c>
      <c r="S14213" s="1">
        <v>0</v>
      </c>
      <c r="T14213" s="1">
        <v>0</v>
      </c>
      <c r="V14213" s="1">
        <f t="shared" si="283"/>
        <v>0</v>
      </c>
      <c r="W14213" s="1">
        <v>0</v>
      </c>
      <c r="X14213" s="39">
        <v>0.20151878773893284</v>
      </c>
      <c r="Y14213" s="1">
        <v>1</v>
      </c>
      <c r="Z14213" s="11">
        <v>0</v>
      </c>
      <c r="AA14213" s="11">
        <v>0</v>
      </c>
    </row>
    <row r="14214" spans="1:27" ht="12.75" customHeight="1" x14ac:dyDescent="0.2">
      <c r="A14214" s="1">
        <v>66</v>
      </c>
      <c r="B14214" s="1" t="s">
        <v>166</v>
      </c>
      <c r="C14214" s="1" t="s">
        <v>167</v>
      </c>
      <c r="D14214" s="1">
        <v>1906</v>
      </c>
      <c r="E14214" s="6">
        <v>0</v>
      </c>
      <c r="G14214" s="1">
        <v>0</v>
      </c>
      <c r="H14214" s="1">
        <v>1</v>
      </c>
      <c r="I14214" s="1">
        <v>4.8426150121065374</v>
      </c>
      <c r="M14214" s="1" t="s">
        <v>677</v>
      </c>
      <c r="P14214" s="1" t="s">
        <v>471</v>
      </c>
      <c r="Q14214" s="1">
        <v>0</v>
      </c>
      <c r="S14214" s="1">
        <v>0</v>
      </c>
      <c r="T14214" s="1">
        <v>0</v>
      </c>
      <c r="V14214" s="1">
        <f t="shared" si="283"/>
        <v>0</v>
      </c>
      <c r="W14214" s="1">
        <v>0</v>
      </c>
      <c r="X14214" s="39">
        <v>2.8653565204213027</v>
      </c>
      <c r="Y14214" s="1">
        <v>1</v>
      </c>
      <c r="Z14214" s="11">
        <v>0</v>
      </c>
      <c r="AA14214" s="11">
        <v>0</v>
      </c>
    </row>
    <row r="14215" spans="1:27" x14ac:dyDescent="0.2">
      <c r="A14215" s="1">
        <v>66</v>
      </c>
      <c r="B14215" s="1" t="s">
        <v>166</v>
      </c>
      <c r="C14215" s="1" t="s">
        <v>167</v>
      </c>
      <c r="D14215" s="1">
        <v>1907</v>
      </c>
      <c r="E14215" s="5">
        <v>1</v>
      </c>
      <c r="F14215" s="1" t="s">
        <v>380</v>
      </c>
      <c r="G14215" s="1">
        <v>1</v>
      </c>
      <c r="H14215" s="1">
        <v>1</v>
      </c>
      <c r="I14215" s="1">
        <v>4.8661800486618008</v>
      </c>
      <c r="M14215" s="1" t="s">
        <v>677</v>
      </c>
      <c r="P14215" s="1" t="s">
        <v>471</v>
      </c>
      <c r="Q14215" s="1">
        <v>0</v>
      </c>
      <c r="S14215" s="1">
        <v>0</v>
      </c>
      <c r="T14215" s="1">
        <v>0</v>
      </c>
      <c r="V14215" s="1">
        <f t="shared" si="283"/>
        <v>0</v>
      </c>
      <c r="W14215" s="1">
        <v>1</v>
      </c>
      <c r="X14215" s="39">
        <v>4.2359684972328742</v>
      </c>
      <c r="Y14215" s="1">
        <v>1</v>
      </c>
      <c r="Z14215" s="11">
        <v>0</v>
      </c>
      <c r="AA14215" s="11">
        <v>0</v>
      </c>
    </row>
    <row r="14216" spans="1:27" x14ac:dyDescent="0.2">
      <c r="A14216" s="1">
        <v>66</v>
      </c>
      <c r="B14216" s="1" t="s">
        <v>166</v>
      </c>
      <c r="C14216" s="1" t="s">
        <v>167</v>
      </c>
      <c r="D14216" s="1">
        <v>1908</v>
      </c>
      <c r="E14216" s="6">
        <v>0</v>
      </c>
      <c r="G14216" s="1">
        <v>0</v>
      </c>
      <c r="H14216" s="1">
        <v>1</v>
      </c>
      <c r="I14216" s="1">
        <v>4.8732943469785575</v>
      </c>
      <c r="M14216" s="1" t="s">
        <v>677</v>
      </c>
      <c r="P14216" s="1" t="s">
        <v>471</v>
      </c>
      <c r="Q14216" s="1">
        <v>0</v>
      </c>
      <c r="S14216" s="1">
        <v>0</v>
      </c>
      <c r="T14216" s="1">
        <v>0</v>
      </c>
      <c r="V14216" s="1">
        <f t="shared" si="283"/>
        <v>0</v>
      </c>
      <c r="W14216" s="1">
        <v>0</v>
      </c>
      <c r="X14216" s="39">
        <v>-1.1799705014749289</v>
      </c>
      <c r="Y14216" s="1">
        <v>1</v>
      </c>
      <c r="Z14216" s="49">
        <v>1</v>
      </c>
      <c r="AA14216" s="11">
        <v>0</v>
      </c>
    </row>
    <row r="14217" spans="1:27" x14ac:dyDescent="0.2">
      <c r="A14217" s="1">
        <v>66</v>
      </c>
      <c r="B14217" s="1" t="s">
        <v>166</v>
      </c>
      <c r="C14217" s="1" t="s">
        <v>167</v>
      </c>
      <c r="D14217" s="1">
        <v>1909</v>
      </c>
      <c r="E14217" s="6">
        <v>0</v>
      </c>
      <c r="G14217" s="1">
        <v>0</v>
      </c>
      <c r="H14217" s="1">
        <v>1</v>
      </c>
      <c r="I14217" s="1">
        <v>4.8780487804878048</v>
      </c>
      <c r="M14217" s="1" t="s">
        <v>677</v>
      </c>
      <c r="P14217" s="1" t="s">
        <v>471</v>
      </c>
      <c r="Q14217" s="1">
        <v>0</v>
      </c>
      <c r="S14217" s="1">
        <v>0</v>
      </c>
      <c r="T14217" s="1">
        <v>0</v>
      </c>
      <c r="V14217" s="1">
        <f t="shared" si="283"/>
        <v>0</v>
      </c>
      <c r="W14217" s="1">
        <v>0</v>
      </c>
      <c r="X14217" s="39">
        <v>0.65125125125124661</v>
      </c>
      <c r="Y14217" s="1">
        <v>1</v>
      </c>
      <c r="Z14217" s="11">
        <v>0</v>
      </c>
      <c r="AA14217" s="11">
        <v>0</v>
      </c>
    </row>
    <row r="14218" spans="1:27" x14ac:dyDescent="0.2">
      <c r="A14218" s="1">
        <v>66</v>
      </c>
      <c r="B14218" s="1" t="s">
        <v>166</v>
      </c>
      <c r="C14218" s="1" t="s">
        <v>167</v>
      </c>
      <c r="D14218" s="1">
        <v>1910</v>
      </c>
      <c r="E14218" s="6">
        <v>0</v>
      </c>
      <c r="G14218" s="1">
        <v>0</v>
      </c>
      <c r="H14218" s="1">
        <v>1</v>
      </c>
      <c r="I14218" s="1">
        <v>4.863813229571984</v>
      </c>
      <c r="M14218" s="1" t="s">
        <v>677</v>
      </c>
      <c r="P14218" s="1" t="s">
        <v>471</v>
      </c>
      <c r="Q14218" s="1">
        <v>0</v>
      </c>
      <c r="S14218" s="1">
        <v>0</v>
      </c>
      <c r="T14218" s="1">
        <v>0</v>
      </c>
      <c r="V14218" s="1">
        <f t="shared" si="283"/>
        <v>0</v>
      </c>
      <c r="W14218" s="1">
        <v>0</v>
      </c>
      <c r="X14218" s="39">
        <v>3.0590519877675839</v>
      </c>
      <c r="Y14218" s="1">
        <v>1</v>
      </c>
      <c r="Z14218" s="11">
        <v>0</v>
      </c>
      <c r="AA14218" s="11">
        <v>0</v>
      </c>
    </row>
    <row r="14219" spans="1:27" x14ac:dyDescent="0.2">
      <c r="A14219" s="1">
        <v>66</v>
      </c>
      <c r="B14219" s="1" t="s">
        <v>166</v>
      </c>
      <c r="C14219" s="1" t="s">
        <v>167</v>
      </c>
      <c r="D14219" s="1">
        <v>1911</v>
      </c>
      <c r="E14219" s="6">
        <v>0</v>
      </c>
      <c r="G14219" s="1">
        <v>0</v>
      </c>
      <c r="H14219" s="1">
        <v>1</v>
      </c>
      <c r="I14219" s="1">
        <v>4.8709206039941551</v>
      </c>
      <c r="M14219" s="1" t="s">
        <v>677</v>
      </c>
      <c r="P14219" s="1" t="s">
        <v>471</v>
      </c>
      <c r="Q14219" s="1">
        <v>0</v>
      </c>
      <c r="S14219" s="1">
        <v>0</v>
      </c>
      <c r="T14219" s="1">
        <v>0</v>
      </c>
      <c r="V14219" s="1">
        <f t="shared" si="283"/>
        <v>0</v>
      </c>
      <c r="W14219" s="1">
        <v>0</v>
      </c>
      <c r="X14219" s="39">
        <v>0.70175438596491124</v>
      </c>
      <c r="Y14219" s="1">
        <v>1</v>
      </c>
      <c r="Z14219" s="11">
        <v>0</v>
      </c>
      <c r="AA14219" s="11">
        <v>0</v>
      </c>
    </row>
    <row r="14220" spans="1:27" x14ac:dyDescent="0.2">
      <c r="A14220" s="1">
        <v>66</v>
      </c>
      <c r="B14220" s="1" t="s">
        <v>166</v>
      </c>
      <c r="C14220" s="1" t="s">
        <v>167</v>
      </c>
      <c r="D14220" s="1">
        <v>1912</v>
      </c>
      <c r="E14220" s="6">
        <v>0</v>
      </c>
      <c r="G14220" s="1">
        <v>0</v>
      </c>
      <c r="H14220" s="1">
        <v>1</v>
      </c>
      <c r="I14220" s="1">
        <v>4.8661800486618008</v>
      </c>
      <c r="M14220" s="1" t="s">
        <v>677</v>
      </c>
      <c r="P14220" s="1" t="s">
        <v>471</v>
      </c>
      <c r="Q14220" s="1">
        <v>0</v>
      </c>
      <c r="S14220" s="1">
        <v>0</v>
      </c>
      <c r="T14220" s="1">
        <v>0</v>
      </c>
      <c r="V14220" s="1">
        <f t="shared" si="283"/>
        <v>0</v>
      </c>
      <c r="W14220" s="1">
        <v>0</v>
      </c>
      <c r="X14220" s="39">
        <v>2.7847874841743576</v>
      </c>
      <c r="Y14220" s="1">
        <v>1</v>
      </c>
      <c r="Z14220" s="11">
        <v>0</v>
      </c>
      <c r="AA14220" s="11">
        <v>0</v>
      </c>
    </row>
    <row r="14221" spans="1:27" x14ac:dyDescent="0.2">
      <c r="A14221" s="1">
        <v>66</v>
      </c>
      <c r="B14221" s="1" t="s">
        <v>166</v>
      </c>
      <c r="C14221" s="1" t="s">
        <v>167</v>
      </c>
      <c r="D14221" s="1">
        <v>1913</v>
      </c>
      <c r="E14221" s="6">
        <v>0</v>
      </c>
      <c r="G14221" s="1">
        <v>0</v>
      </c>
      <c r="H14221" s="1">
        <v>1</v>
      </c>
      <c r="I14221" s="1">
        <v>4.8590864917395526</v>
      </c>
      <c r="M14221" s="1" t="s">
        <v>677</v>
      </c>
      <c r="P14221" s="1" t="s">
        <v>471</v>
      </c>
      <c r="Q14221" s="1">
        <v>0</v>
      </c>
      <c r="S14221" s="1">
        <v>0</v>
      </c>
      <c r="T14221" s="1">
        <v>0</v>
      </c>
      <c r="V14221" s="1">
        <f t="shared" si="283"/>
        <v>0</v>
      </c>
      <c r="W14221" s="1">
        <v>0</v>
      </c>
      <c r="X14221" s="39">
        <v>1.8200726786440991</v>
      </c>
      <c r="Y14221" s="1">
        <v>1</v>
      </c>
      <c r="Z14221" s="11">
        <v>0</v>
      </c>
      <c r="AA14221" s="11">
        <v>0</v>
      </c>
    </row>
    <row r="14222" spans="1:27" x14ac:dyDescent="0.2">
      <c r="A14222" s="1">
        <v>66</v>
      </c>
      <c r="B14222" s="1" t="s">
        <v>166</v>
      </c>
      <c r="C14222" s="1" t="s">
        <v>167</v>
      </c>
      <c r="D14222" s="1">
        <v>1914</v>
      </c>
      <c r="E14222" s="5">
        <v>1</v>
      </c>
      <c r="G14222" s="1">
        <v>0</v>
      </c>
      <c r="H14222" s="1">
        <v>1</v>
      </c>
      <c r="I14222" s="1">
        <v>4.8756704046806432</v>
      </c>
      <c r="M14222" s="1" t="s">
        <v>677</v>
      </c>
      <c r="P14222" s="1" t="s">
        <v>471</v>
      </c>
      <c r="Q14222" s="1">
        <v>0</v>
      </c>
      <c r="S14222" s="1">
        <v>0</v>
      </c>
      <c r="T14222" s="1">
        <v>0</v>
      </c>
      <c r="V14222" s="1">
        <f t="shared" si="283"/>
        <v>0</v>
      </c>
      <c r="W14222" s="1">
        <v>0</v>
      </c>
      <c r="X14222" s="39">
        <v>0.89344537815125713</v>
      </c>
      <c r="Y14222" s="1">
        <v>1</v>
      </c>
      <c r="Z14222" s="49">
        <v>1</v>
      </c>
      <c r="AA14222" s="11">
        <v>0</v>
      </c>
    </row>
    <row r="14223" spans="1:27" x14ac:dyDescent="0.2">
      <c r="A14223" s="1">
        <v>66</v>
      </c>
      <c r="B14223" s="1" t="s">
        <v>166</v>
      </c>
      <c r="C14223" s="1" t="s">
        <v>167</v>
      </c>
      <c r="D14223" s="1">
        <v>1915</v>
      </c>
      <c r="E14223" s="6">
        <v>0</v>
      </c>
      <c r="G14223" s="1">
        <v>0</v>
      </c>
      <c r="H14223" s="1">
        <v>1</v>
      </c>
      <c r="I14223" s="1">
        <v>4.7281323877068555</v>
      </c>
      <c r="M14223" s="1" t="s">
        <v>677</v>
      </c>
      <c r="P14223" s="1" t="s">
        <v>471</v>
      </c>
      <c r="Q14223" s="1">
        <v>0</v>
      </c>
      <c r="S14223" s="1">
        <v>0</v>
      </c>
      <c r="T14223" s="1">
        <v>0</v>
      </c>
      <c r="V14223" s="1">
        <f t="shared" si="283"/>
        <v>0</v>
      </c>
      <c r="W14223" s="1">
        <v>0</v>
      </c>
      <c r="X14223" s="39">
        <v>1.2145104510451061</v>
      </c>
      <c r="Y14223" s="1">
        <v>1</v>
      </c>
      <c r="Z14223" s="49">
        <v>1</v>
      </c>
      <c r="AA14223" s="11">
        <v>0</v>
      </c>
    </row>
    <row r="14224" spans="1:27" x14ac:dyDescent="0.2">
      <c r="A14224" s="1">
        <v>66</v>
      </c>
      <c r="B14224" s="1" t="s">
        <v>166</v>
      </c>
      <c r="C14224" s="1" t="s">
        <v>167</v>
      </c>
      <c r="D14224" s="1">
        <v>1916</v>
      </c>
      <c r="E14224" s="6">
        <v>0</v>
      </c>
      <c r="G14224" s="1">
        <v>0</v>
      </c>
      <c r="H14224" s="1">
        <v>1</v>
      </c>
      <c r="I14224" s="1">
        <v>4.7641734159123388</v>
      </c>
      <c r="M14224" s="1" t="s">
        <v>677</v>
      </c>
      <c r="P14224" s="1" t="s">
        <v>471</v>
      </c>
      <c r="Q14224" s="1">
        <v>0</v>
      </c>
      <c r="S14224" s="1">
        <v>0</v>
      </c>
      <c r="T14224" s="1">
        <v>0</v>
      </c>
      <c r="V14224" s="1">
        <f t="shared" si="283"/>
        <v>0</v>
      </c>
      <c r="W14224" s="1">
        <v>0</v>
      </c>
      <c r="X14224" s="39">
        <v>9.1664585840755191</v>
      </c>
      <c r="Y14224" s="1">
        <v>1</v>
      </c>
      <c r="Z14224" s="11">
        <v>0</v>
      </c>
      <c r="AA14224" s="11">
        <v>0</v>
      </c>
    </row>
    <row r="14225" spans="1:27" x14ac:dyDescent="0.2">
      <c r="A14225" s="1">
        <v>66</v>
      </c>
      <c r="B14225" s="1" t="s">
        <v>166</v>
      </c>
      <c r="C14225" s="1" t="s">
        <v>167</v>
      </c>
      <c r="D14225" s="1">
        <v>1917</v>
      </c>
      <c r="E14225" s="6">
        <v>0</v>
      </c>
      <c r="G14225" s="1">
        <v>0</v>
      </c>
      <c r="H14225" s="1">
        <v>1</v>
      </c>
      <c r="I14225" s="1">
        <v>4.7641734159123388</v>
      </c>
      <c r="M14225" s="1" t="s">
        <v>677</v>
      </c>
      <c r="P14225" s="1" t="s">
        <v>471</v>
      </c>
      <c r="Q14225" s="1">
        <v>0</v>
      </c>
      <c r="S14225" s="1">
        <v>0</v>
      </c>
      <c r="T14225" s="1">
        <v>0</v>
      </c>
      <c r="V14225" s="1">
        <f t="shared" si="283"/>
        <v>0</v>
      </c>
      <c r="W14225" s="1">
        <v>1</v>
      </c>
      <c r="X14225" s="39">
        <v>17.828585322723256</v>
      </c>
      <c r="Y14225" s="1">
        <v>1</v>
      </c>
      <c r="Z14225" s="11">
        <v>0</v>
      </c>
      <c r="AA14225" s="11">
        <v>0</v>
      </c>
    </row>
    <row r="14226" spans="1:27" x14ac:dyDescent="0.2">
      <c r="A14226" s="1">
        <v>66</v>
      </c>
      <c r="B14226" s="1" t="s">
        <v>166</v>
      </c>
      <c r="C14226" s="1" t="s">
        <v>167</v>
      </c>
      <c r="D14226" s="1">
        <v>1918</v>
      </c>
      <c r="E14226" s="6">
        <v>0</v>
      </c>
      <c r="G14226" s="1">
        <v>0</v>
      </c>
      <c r="H14226" s="1">
        <v>0</v>
      </c>
      <c r="I14226" s="1">
        <v>4.7664442326024785</v>
      </c>
      <c r="M14226" s="1" t="s">
        <v>677</v>
      </c>
      <c r="P14226" s="1" t="s">
        <v>471</v>
      </c>
      <c r="Q14226" s="1">
        <v>0</v>
      </c>
      <c r="S14226" s="1">
        <v>0</v>
      </c>
      <c r="T14226" s="1">
        <v>0</v>
      </c>
      <c r="V14226" s="1">
        <f t="shared" si="283"/>
        <v>0</v>
      </c>
      <c r="W14226" s="1">
        <v>0</v>
      </c>
      <c r="X14226" s="39">
        <v>18.578338342636325</v>
      </c>
      <c r="Y14226" s="1">
        <v>1</v>
      </c>
      <c r="Z14226" s="11">
        <v>0</v>
      </c>
      <c r="AA14226" s="11">
        <v>0</v>
      </c>
    </row>
    <row r="14227" spans="1:27" x14ac:dyDescent="0.2">
      <c r="A14227" s="1">
        <v>66</v>
      </c>
      <c r="B14227" s="1" t="s">
        <v>166</v>
      </c>
      <c r="C14227" s="1" t="s">
        <v>167</v>
      </c>
      <c r="D14227" s="1">
        <v>1919</v>
      </c>
      <c r="E14227" s="6">
        <v>0</v>
      </c>
      <c r="G14227" s="1">
        <v>0</v>
      </c>
      <c r="H14227" s="1">
        <v>0</v>
      </c>
      <c r="I14227" s="1">
        <v>3.8124285169653072</v>
      </c>
      <c r="M14227" s="1" t="s">
        <v>677</v>
      </c>
      <c r="P14227" s="1" t="s">
        <v>471</v>
      </c>
      <c r="Q14227" s="1">
        <v>0</v>
      </c>
      <c r="S14227" s="1">
        <v>0</v>
      </c>
      <c r="T14227" s="1">
        <v>0</v>
      </c>
      <c r="V14227" s="1">
        <f t="shared" si="283"/>
        <v>0</v>
      </c>
      <c r="W14227" s="1">
        <v>0</v>
      </c>
      <c r="X14227" s="39">
        <v>14.848484848484839</v>
      </c>
      <c r="Y14227" s="1">
        <v>1</v>
      </c>
      <c r="Z14227" s="11">
        <v>0</v>
      </c>
      <c r="AA14227" s="11">
        <v>0</v>
      </c>
    </row>
    <row r="14228" spans="1:27" x14ac:dyDescent="0.2">
      <c r="A14228" s="1">
        <v>66</v>
      </c>
      <c r="B14228" s="1" t="s">
        <v>166</v>
      </c>
      <c r="C14228" s="1" t="s">
        <v>167</v>
      </c>
      <c r="D14228" s="1">
        <v>1920</v>
      </c>
      <c r="E14228" s="6">
        <v>0</v>
      </c>
      <c r="G14228" s="1">
        <v>0</v>
      </c>
      <c r="H14228" s="1">
        <v>0</v>
      </c>
      <c r="I14228" s="1">
        <v>3.4928396786587497</v>
      </c>
      <c r="M14228" s="1" t="s">
        <v>677</v>
      </c>
      <c r="P14228" s="1" t="s">
        <v>471</v>
      </c>
      <c r="Q14228" s="1">
        <v>0</v>
      </c>
      <c r="S14228" s="1">
        <v>0</v>
      </c>
      <c r="T14228" s="1">
        <v>0</v>
      </c>
      <c r="V14228" s="1">
        <f t="shared" si="283"/>
        <v>0</v>
      </c>
      <c r="W14228" s="1">
        <v>1</v>
      </c>
      <c r="X14228" s="39">
        <v>11.509177210336631</v>
      </c>
      <c r="Y14228" s="1">
        <v>1</v>
      </c>
      <c r="Z14228" s="49">
        <v>1</v>
      </c>
      <c r="AA14228" s="11">
        <v>0</v>
      </c>
    </row>
    <row r="14229" spans="1:27" x14ac:dyDescent="0.2">
      <c r="A14229" s="1">
        <v>66</v>
      </c>
      <c r="B14229" s="1" t="s">
        <v>166</v>
      </c>
      <c r="C14229" s="1" t="s">
        <v>167</v>
      </c>
      <c r="D14229" s="1">
        <v>1921</v>
      </c>
      <c r="E14229" s="6">
        <v>0</v>
      </c>
      <c r="G14229" s="1">
        <v>0</v>
      </c>
      <c r="H14229" s="1">
        <v>0</v>
      </c>
      <c r="I14229" s="1">
        <v>4.1562759767248547</v>
      </c>
      <c r="M14229" s="1" t="s">
        <v>677</v>
      </c>
      <c r="P14229" s="1" t="s">
        <v>471</v>
      </c>
      <c r="Q14229" s="1">
        <v>0</v>
      </c>
      <c r="S14229" s="1">
        <v>0</v>
      </c>
      <c r="T14229" s="1">
        <v>0</v>
      </c>
      <c r="V14229" s="1">
        <f t="shared" si="283"/>
        <v>0</v>
      </c>
      <c r="W14229" s="1">
        <v>0</v>
      </c>
      <c r="X14229" s="39">
        <v>-10.82935853379152</v>
      </c>
      <c r="Y14229" s="1">
        <v>1</v>
      </c>
      <c r="Z14229" s="49">
        <v>2</v>
      </c>
      <c r="AA14229" s="11">
        <v>0</v>
      </c>
    </row>
    <row r="14230" spans="1:27" x14ac:dyDescent="0.2">
      <c r="A14230" s="1">
        <v>66</v>
      </c>
      <c r="B14230" s="1" t="s">
        <v>166</v>
      </c>
      <c r="C14230" s="1" t="s">
        <v>167</v>
      </c>
      <c r="D14230" s="1">
        <v>1922</v>
      </c>
      <c r="E14230" s="6">
        <v>0</v>
      </c>
      <c r="G14230" s="1">
        <v>0</v>
      </c>
      <c r="H14230" s="1">
        <v>1</v>
      </c>
      <c r="I14230" s="1">
        <v>4.6104195481788839</v>
      </c>
      <c r="M14230" s="1" t="s">
        <v>677</v>
      </c>
      <c r="P14230" s="1" t="s">
        <v>471</v>
      </c>
      <c r="Q14230" s="1">
        <v>0</v>
      </c>
      <c r="S14230" s="1">
        <v>0</v>
      </c>
      <c r="T14230" s="1">
        <v>0</v>
      </c>
      <c r="V14230" s="1">
        <f t="shared" si="283"/>
        <v>0</v>
      </c>
      <c r="W14230" s="1">
        <v>0</v>
      </c>
      <c r="X14230" s="39">
        <v>-5.1313982676966861</v>
      </c>
      <c r="Y14230" s="1">
        <v>1</v>
      </c>
      <c r="Z14230" s="11">
        <v>0</v>
      </c>
      <c r="AA14230" s="11">
        <v>0</v>
      </c>
    </row>
    <row r="14231" spans="1:27" x14ac:dyDescent="0.2">
      <c r="A14231" s="1">
        <v>66</v>
      </c>
      <c r="B14231" s="1" t="s">
        <v>166</v>
      </c>
      <c r="C14231" s="1" t="s">
        <v>167</v>
      </c>
      <c r="D14231" s="1">
        <v>1923</v>
      </c>
      <c r="E14231" s="6">
        <v>0</v>
      </c>
      <c r="G14231" s="1">
        <v>0</v>
      </c>
      <c r="H14231" s="1">
        <v>1</v>
      </c>
      <c r="I14231" s="1">
        <v>4.3610989969472307</v>
      </c>
      <c r="M14231" s="1" t="s">
        <v>677</v>
      </c>
      <c r="P14231" s="1" t="s">
        <v>471</v>
      </c>
      <c r="Q14231" s="1">
        <v>0</v>
      </c>
      <c r="S14231" s="1">
        <v>0</v>
      </c>
      <c r="T14231" s="1">
        <v>0</v>
      </c>
      <c r="V14231" s="1">
        <f t="shared" si="283"/>
        <v>0</v>
      </c>
      <c r="W14231" s="1">
        <v>0</v>
      </c>
      <c r="X14231" s="39">
        <v>2.1222879684418201</v>
      </c>
      <c r="Y14231" s="1">
        <v>1</v>
      </c>
      <c r="Z14231" s="11">
        <v>0</v>
      </c>
      <c r="AA14231" s="11">
        <v>0</v>
      </c>
    </row>
    <row r="14232" spans="1:27" x14ac:dyDescent="0.2">
      <c r="A14232" s="1">
        <v>66</v>
      </c>
      <c r="B14232" s="1" t="s">
        <v>166</v>
      </c>
      <c r="C14232" s="1" t="s">
        <v>167</v>
      </c>
      <c r="D14232" s="1">
        <v>1924</v>
      </c>
      <c r="E14232" s="6">
        <v>0</v>
      </c>
      <c r="G14232" s="1">
        <v>0</v>
      </c>
      <c r="H14232" s="1">
        <v>1</v>
      </c>
      <c r="I14232" s="1">
        <v>4.697040864255519</v>
      </c>
      <c r="M14232" s="1" t="s">
        <v>677</v>
      </c>
      <c r="P14232" s="1" t="s">
        <v>471</v>
      </c>
      <c r="Q14232" s="1">
        <v>0</v>
      </c>
      <c r="S14232" s="1">
        <v>0</v>
      </c>
      <c r="T14232" s="1">
        <v>0</v>
      </c>
      <c r="V14232" s="1">
        <f t="shared" si="283"/>
        <v>0</v>
      </c>
      <c r="W14232" s="1">
        <v>0</v>
      </c>
      <c r="X14232" s="39">
        <v>0</v>
      </c>
      <c r="Y14232" s="1">
        <v>1</v>
      </c>
      <c r="Z14232" s="11">
        <v>0</v>
      </c>
      <c r="AA14232" s="11">
        <v>0</v>
      </c>
    </row>
    <row r="14233" spans="1:27" x14ac:dyDescent="0.2">
      <c r="A14233" s="1">
        <v>66</v>
      </c>
      <c r="B14233" s="1" t="s">
        <v>166</v>
      </c>
      <c r="C14233" s="1" t="s">
        <v>167</v>
      </c>
      <c r="D14233" s="1">
        <v>1925</v>
      </c>
      <c r="E14233" s="6">
        <v>0</v>
      </c>
      <c r="G14233" s="1">
        <v>0</v>
      </c>
      <c r="H14233" s="1">
        <v>1</v>
      </c>
      <c r="I14233" s="1">
        <v>4.8496605237633368</v>
      </c>
      <c r="M14233" s="1" t="s">
        <v>677</v>
      </c>
      <c r="P14233" s="1" t="s">
        <v>471</v>
      </c>
      <c r="Q14233" s="1">
        <v>0</v>
      </c>
      <c r="S14233" s="1">
        <v>0</v>
      </c>
      <c r="T14233" s="1">
        <v>0</v>
      </c>
      <c r="V14233" s="1">
        <f t="shared" si="283"/>
        <v>0</v>
      </c>
      <c r="W14233" s="1">
        <v>0</v>
      </c>
      <c r="X14233" s="39">
        <v>3.1164615210245903</v>
      </c>
      <c r="Y14233" s="1">
        <v>1</v>
      </c>
      <c r="Z14233" s="11">
        <v>0</v>
      </c>
      <c r="AA14233" s="11">
        <v>0</v>
      </c>
    </row>
    <row r="14234" spans="1:27" x14ac:dyDescent="0.2">
      <c r="A14234" s="1">
        <v>66</v>
      </c>
      <c r="B14234" s="1" t="s">
        <v>166</v>
      </c>
      <c r="C14234" s="1" t="s">
        <v>167</v>
      </c>
      <c r="D14234" s="1">
        <v>1926</v>
      </c>
      <c r="E14234" s="6">
        <v>0</v>
      </c>
      <c r="G14234" s="1">
        <v>0</v>
      </c>
      <c r="H14234" s="1">
        <v>1</v>
      </c>
      <c r="I14234" s="1">
        <v>4.8520135856380397</v>
      </c>
      <c r="M14234" s="1" t="s">
        <v>677</v>
      </c>
      <c r="P14234" s="1" t="s">
        <v>471</v>
      </c>
      <c r="Q14234" s="1">
        <v>0</v>
      </c>
      <c r="S14234" s="1">
        <v>0</v>
      </c>
      <c r="T14234" s="1">
        <v>0</v>
      </c>
      <c r="V14234" s="1">
        <f t="shared" si="283"/>
        <v>0</v>
      </c>
      <c r="W14234" s="1">
        <v>0</v>
      </c>
      <c r="X14234" s="39">
        <v>-5.3709319854573355E-2</v>
      </c>
      <c r="Y14234" s="1">
        <v>1</v>
      </c>
      <c r="Z14234" s="52">
        <v>1</v>
      </c>
      <c r="AA14234" s="11">
        <v>0</v>
      </c>
    </row>
    <row r="14235" spans="1:27" x14ac:dyDescent="0.2">
      <c r="A14235" s="1">
        <v>66</v>
      </c>
      <c r="B14235" s="1" t="s">
        <v>166</v>
      </c>
      <c r="C14235" s="1" t="s">
        <v>167</v>
      </c>
      <c r="D14235" s="1">
        <v>1927</v>
      </c>
      <c r="E14235" s="6">
        <v>0</v>
      </c>
      <c r="G14235" s="1">
        <v>0</v>
      </c>
      <c r="H14235" s="1">
        <v>1</v>
      </c>
      <c r="I14235" s="1">
        <v>4.8828125</v>
      </c>
      <c r="M14235" s="1" t="s">
        <v>677</v>
      </c>
      <c r="P14235" s="1" t="s">
        <v>471</v>
      </c>
      <c r="Q14235" s="1">
        <v>0</v>
      </c>
      <c r="S14235" s="1">
        <v>0</v>
      </c>
      <c r="T14235" s="1">
        <v>0</v>
      </c>
      <c r="V14235" s="1">
        <f t="shared" si="283"/>
        <v>0</v>
      </c>
      <c r="W14235" s="1">
        <v>0</v>
      </c>
      <c r="X14235" s="39">
        <v>-1.7005626511723406</v>
      </c>
      <c r="Y14235" s="1">
        <v>1</v>
      </c>
      <c r="Z14235" s="52">
        <v>1</v>
      </c>
      <c r="AA14235" s="11">
        <v>0</v>
      </c>
    </row>
    <row r="14236" spans="1:27" x14ac:dyDescent="0.2">
      <c r="A14236" s="1">
        <v>66</v>
      </c>
      <c r="B14236" s="1" t="s">
        <v>166</v>
      </c>
      <c r="C14236" s="1" t="s">
        <v>167</v>
      </c>
      <c r="D14236" s="1">
        <v>1928</v>
      </c>
      <c r="E14236" s="6">
        <v>0</v>
      </c>
      <c r="G14236" s="1">
        <v>0</v>
      </c>
      <c r="H14236" s="1">
        <v>1</v>
      </c>
      <c r="I14236" s="1">
        <v>4.8520135856380397</v>
      </c>
      <c r="M14236" s="1" t="s">
        <v>677</v>
      </c>
      <c r="P14236" s="1" t="s">
        <v>471</v>
      </c>
      <c r="Q14236" s="1">
        <v>0</v>
      </c>
      <c r="S14236" s="1">
        <v>0</v>
      </c>
      <c r="T14236" s="1">
        <v>0</v>
      </c>
      <c r="V14236" s="1">
        <f t="shared" ref="V14236:V14299" si="284">18.93*S14236</f>
        <v>0</v>
      </c>
      <c r="W14236" s="1">
        <v>0</v>
      </c>
      <c r="X14236" s="39">
        <v>-1.3461256854898433</v>
      </c>
      <c r="Y14236" s="1">
        <v>1</v>
      </c>
      <c r="Z14236" s="11">
        <v>0</v>
      </c>
      <c r="AA14236" s="11">
        <v>0</v>
      </c>
    </row>
    <row r="14237" spans="1:27" x14ac:dyDescent="0.2">
      <c r="A14237" s="1">
        <v>66</v>
      </c>
      <c r="B14237" s="1" t="s">
        <v>166</v>
      </c>
      <c r="C14237" s="1" t="s">
        <v>167</v>
      </c>
      <c r="D14237" s="1">
        <v>1929</v>
      </c>
      <c r="E14237" s="5">
        <v>1</v>
      </c>
      <c r="G14237" s="1">
        <v>0</v>
      </c>
      <c r="H14237" s="1">
        <v>1</v>
      </c>
      <c r="I14237" s="1">
        <v>4.8828125</v>
      </c>
      <c r="M14237" s="1" t="s">
        <v>677</v>
      </c>
      <c r="P14237" s="1" t="s">
        <v>471</v>
      </c>
      <c r="Q14237" s="1">
        <v>0</v>
      </c>
      <c r="S14237" s="1">
        <v>0</v>
      </c>
      <c r="T14237" s="1">
        <v>0</v>
      </c>
      <c r="V14237" s="1">
        <f t="shared" si="284"/>
        <v>0</v>
      </c>
      <c r="W14237" s="1">
        <v>0</v>
      </c>
      <c r="X14237" s="39">
        <v>7.5120049446108448</v>
      </c>
      <c r="Y14237" s="1">
        <v>1</v>
      </c>
      <c r="Z14237" s="52">
        <v>1</v>
      </c>
      <c r="AA14237" s="11">
        <v>0</v>
      </c>
    </row>
    <row r="14238" spans="1:27" x14ac:dyDescent="0.2">
      <c r="A14238" s="1">
        <v>66</v>
      </c>
      <c r="B14238" s="1" t="s">
        <v>166</v>
      </c>
      <c r="C14238" s="1" t="s">
        <v>167</v>
      </c>
      <c r="D14238" s="1">
        <v>1930</v>
      </c>
      <c r="E14238" s="5">
        <v>1</v>
      </c>
      <c r="F14238" s="1" t="s">
        <v>359</v>
      </c>
      <c r="G14238" s="1">
        <v>1</v>
      </c>
      <c r="H14238" s="1">
        <v>1</v>
      </c>
      <c r="I14238" s="1">
        <v>4.8567265662943173</v>
      </c>
      <c r="M14238" s="1" t="s">
        <v>677</v>
      </c>
      <c r="P14238" s="1" t="s">
        <v>471</v>
      </c>
      <c r="Q14238" s="1">
        <v>0</v>
      </c>
      <c r="S14238" s="1">
        <v>0</v>
      </c>
      <c r="T14238" s="1">
        <v>0</v>
      </c>
      <c r="V14238" s="1">
        <f t="shared" si="284"/>
        <v>0</v>
      </c>
      <c r="W14238" s="1">
        <v>1</v>
      </c>
      <c r="X14238" s="39">
        <v>-9.6117829457364206</v>
      </c>
      <c r="Y14238" s="1">
        <v>1</v>
      </c>
      <c r="Z14238" s="52">
        <v>1</v>
      </c>
      <c r="AA14238" s="11">
        <v>0</v>
      </c>
    </row>
    <row r="14239" spans="1:27" x14ac:dyDescent="0.2">
      <c r="A14239" s="1">
        <v>66</v>
      </c>
      <c r="B14239" s="1" t="s">
        <v>166</v>
      </c>
      <c r="C14239" s="1" t="s">
        <v>167</v>
      </c>
      <c r="D14239" s="1">
        <v>1931</v>
      </c>
      <c r="E14239" s="5">
        <v>1</v>
      </c>
      <c r="F14239" s="1" t="s">
        <v>360</v>
      </c>
      <c r="G14239" s="1">
        <v>1</v>
      </c>
      <c r="H14239" s="1">
        <v>1</v>
      </c>
      <c r="I14239" s="1">
        <v>3.3738191632928474</v>
      </c>
      <c r="M14239" s="1" t="s">
        <v>677</v>
      </c>
      <c r="P14239" s="1" t="s">
        <v>471</v>
      </c>
      <c r="Q14239" s="1">
        <v>0</v>
      </c>
      <c r="S14239" s="1">
        <v>0</v>
      </c>
      <c r="T14239" s="1">
        <v>0</v>
      </c>
      <c r="V14239" s="1">
        <f t="shared" si="284"/>
        <v>0</v>
      </c>
      <c r="W14239" s="1">
        <v>1</v>
      </c>
      <c r="X14239" s="39">
        <v>-9.1055900621118031</v>
      </c>
      <c r="Y14239" s="1">
        <v>1</v>
      </c>
      <c r="Z14239" s="52">
        <v>1</v>
      </c>
      <c r="AA14239" s="11">
        <v>0</v>
      </c>
    </row>
    <row r="14240" spans="1:27" x14ac:dyDescent="0.2">
      <c r="A14240" s="1">
        <v>66</v>
      </c>
      <c r="B14240" s="1" t="s">
        <v>166</v>
      </c>
      <c r="C14240" s="1" t="s">
        <v>167</v>
      </c>
      <c r="D14240" s="1">
        <v>1932</v>
      </c>
      <c r="E14240" s="5">
        <v>1</v>
      </c>
      <c r="F14240" s="1" t="s">
        <v>361</v>
      </c>
      <c r="G14240" s="1">
        <v>1</v>
      </c>
      <c r="H14240" s="1">
        <v>1</v>
      </c>
      <c r="I14240" s="1">
        <v>3.278688524590164</v>
      </c>
      <c r="M14240" s="1" t="s">
        <v>677</v>
      </c>
      <c r="P14240" s="1" t="s">
        <v>471</v>
      </c>
      <c r="Q14240" s="1">
        <v>0</v>
      </c>
      <c r="S14240" s="1">
        <v>0</v>
      </c>
      <c r="T14240" s="1">
        <v>0</v>
      </c>
      <c r="V14240" s="1">
        <f t="shared" si="284"/>
        <v>0</v>
      </c>
      <c r="W14240" s="1">
        <v>0</v>
      </c>
      <c r="X14240" s="39">
        <v>-10.384511014100063</v>
      </c>
      <c r="Y14240" s="1">
        <v>1</v>
      </c>
      <c r="Z14240" s="11">
        <v>0</v>
      </c>
      <c r="AA14240" s="11">
        <v>0</v>
      </c>
    </row>
    <row r="14241" spans="1:27" x14ac:dyDescent="0.2">
      <c r="A14241" s="1">
        <v>66</v>
      </c>
      <c r="B14241" s="1" t="s">
        <v>166</v>
      </c>
      <c r="C14241" s="1" t="s">
        <v>167</v>
      </c>
      <c r="D14241" s="1">
        <v>1933</v>
      </c>
      <c r="E14241" s="5">
        <v>1</v>
      </c>
      <c r="F14241" s="1" t="s">
        <v>362</v>
      </c>
      <c r="G14241" s="1">
        <v>1</v>
      </c>
      <c r="H14241" s="1">
        <v>1</v>
      </c>
      <c r="I14241" s="1">
        <v>5.1150895140664963</v>
      </c>
      <c r="M14241" s="1" t="s">
        <v>677</v>
      </c>
      <c r="P14241" s="1" t="s">
        <v>471</v>
      </c>
      <c r="Q14241" s="1">
        <v>1</v>
      </c>
      <c r="R14241" s="1" t="s">
        <v>603</v>
      </c>
      <c r="S14241" s="1">
        <v>1</v>
      </c>
      <c r="T14241" s="1">
        <v>1</v>
      </c>
      <c r="V14241" s="1">
        <f t="shared" si="284"/>
        <v>18.93</v>
      </c>
      <c r="W14241" s="1">
        <v>0</v>
      </c>
      <c r="X14241" s="39">
        <v>-3.0182055604989153</v>
      </c>
      <c r="Y14241" s="1">
        <v>1</v>
      </c>
      <c r="Z14241" s="52">
        <v>1</v>
      </c>
      <c r="AA14241" s="11">
        <v>0</v>
      </c>
    </row>
    <row r="14242" spans="1:27" x14ac:dyDescent="0.2">
      <c r="A14242" s="1">
        <v>66</v>
      </c>
      <c r="B14242" s="1" t="s">
        <v>166</v>
      </c>
      <c r="C14242" s="1" t="s">
        <v>167</v>
      </c>
      <c r="D14242" s="1">
        <v>1934</v>
      </c>
      <c r="E14242" s="6">
        <v>0</v>
      </c>
      <c r="G14242" s="1">
        <v>0</v>
      </c>
      <c r="H14242" s="1">
        <v>0</v>
      </c>
      <c r="I14242" s="1">
        <v>4.9455984174085064</v>
      </c>
      <c r="M14242" s="1" t="s">
        <v>677</v>
      </c>
      <c r="P14242" s="1" t="s">
        <v>471</v>
      </c>
      <c r="Q14242" s="1">
        <v>0</v>
      </c>
      <c r="S14242" s="1">
        <v>0</v>
      </c>
      <c r="T14242" s="1">
        <v>0</v>
      </c>
      <c r="V14242" s="1">
        <f t="shared" si="284"/>
        <v>0</v>
      </c>
      <c r="W14242" s="1">
        <v>0</v>
      </c>
      <c r="X14242" s="39">
        <v>2.6569859889214746</v>
      </c>
      <c r="Y14242" s="1">
        <v>1</v>
      </c>
      <c r="Z14242" s="11">
        <v>0</v>
      </c>
      <c r="AA14242" s="11">
        <v>0</v>
      </c>
    </row>
    <row r="14243" spans="1:27" x14ac:dyDescent="0.2">
      <c r="A14243" s="1">
        <v>66</v>
      </c>
      <c r="B14243" s="1" t="s">
        <v>166</v>
      </c>
      <c r="C14243" s="1" t="s">
        <v>167</v>
      </c>
      <c r="D14243" s="1">
        <v>1935</v>
      </c>
      <c r="E14243" s="6">
        <v>0</v>
      </c>
      <c r="G14243" s="1">
        <v>0</v>
      </c>
      <c r="H14243" s="1">
        <v>0</v>
      </c>
      <c r="I14243" s="1">
        <v>4.9285362247412516</v>
      </c>
      <c r="M14243" s="1" t="s">
        <v>677</v>
      </c>
      <c r="P14243" s="1" t="s">
        <v>471</v>
      </c>
      <c r="Q14243" s="1">
        <v>0</v>
      </c>
      <c r="S14243" s="1">
        <v>0</v>
      </c>
      <c r="T14243" s="1">
        <v>0</v>
      </c>
      <c r="V14243" s="1">
        <f t="shared" si="284"/>
        <v>0</v>
      </c>
      <c r="W14243" s="1">
        <v>0</v>
      </c>
      <c r="X14243" s="39">
        <v>2.661691542288545</v>
      </c>
      <c r="Y14243" s="1">
        <v>1</v>
      </c>
      <c r="Z14243" s="11">
        <v>0</v>
      </c>
      <c r="AA14243" s="11">
        <v>0</v>
      </c>
    </row>
    <row r="14244" spans="1:27" ht="12.95" customHeight="1" x14ac:dyDescent="0.2">
      <c r="A14244" s="1">
        <v>66</v>
      </c>
      <c r="B14244" s="1" t="s">
        <v>166</v>
      </c>
      <c r="C14244" s="1" t="s">
        <v>167</v>
      </c>
      <c r="D14244" s="1">
        <v>1936</v>
      </c>
      <c r="E14244" s="6">
        <v>0</v>
      </c>
      <c r="G14244" s="1">
        <v>0</v>
      </c>
      <c r="H14244" s="1">
        <v>0</v>
      </c>
      <c r="I14244" s="1">
        <v>4.9067713444553478</v>
      </c>
      <c r="M14244" s="1" t="s">
        <v>677</v>
      </c>
      <c r="P14244" s="1" t="s">
        <v>471</v>
      </c>
      <c r="Q14244" s="1">
        <v>0</v>
      </c>
      <c r="S14244" s="1">
        <v>0</v>
      </c>
      <c r="T14244" s="1">
        <v>0</v>
      </c>
      <c r="V14244" s="1">
        <f t="shared" si="284"/>
        <v>0</v>
      </c>
      <c r="W14244" s="1">
        <v>0</v>
      </c>
      <c r="X14244" s="39">
        <v>1.3346376811594172</v>
      </c>
      <c r="Y14244" s="1">
        <v>1</v>
      </c>
      <c r="Z14244" s="52">
        <v>1</v>
      </c>
      <c r="AA14244" s="11">
        <v>0</v>
      </c>
    </row>
    <row r="14245" spans="1:27" ht="12.95" customHeight="1" x14ac:dyDescent="0.2">
      <c r="A14245" s="1">
        <v>66</v>
      </c>
      <c r="B14245" s="1" t="s">
        <v>166</v>
      </c>
      <c r="C14245" s="1" t="s">
        <v>167</v>
      </c>
      <c r="D14245" s="1">
        <v>1937</v>
      </c>
      <c r="E14245" s="6">
        <v>0</v>
      </c>
      <c r="G14245" s="1">
        <v>0</v>
      </c>
      <c r="H14245" s="1">
        <v>0</v>
      </c>
      <c r="I14245" s="1">
        <v>4.9975012493753121</v>
      </c>
      <c r="M14245" s="1" t="s">
        <v>677</v>
      </c>
      <c r="P14245" s="1" t="s">
        <v>471</v>
      </c>
      <c r="Q14245" s="1">
        <v>0</v>
      </c>
      <c r="S14245" s="1">
        <v>0</v>
      </c>
      <c r="T14245" s="1">
        <v>0</v>
      </c>
      <c r="V14245" s="1">
        <f t="shared" si="284"/>
        <v>0</v>
      </c>
      <c r="W14245" s="1">
        <v>1</v>
      </c>
      <c r="X14245" s="39">
        <v>3.2335714285714312</v>
      </c>
      <c r="Y14245" s="1">
        <v>1</v>
      </c>
      <c r="Z14245" s="11">
        <v>0</v>
      </c>
      <c r="AA14245" s="11">
        <v>0</v>
      </c>
    </row>
    <row r="14246" spans="1:27" x14ac:dyDescent="0.2">
      <c r="A14246" s="1">
        <v>66</v>
      </c>
      <c r="B14246" s="1" t="s">
        <v>166</v>
      </c>
      <c r="C14246" s="1" t="s">
        <v>167</v>
      </c>
      <c r="D14246" s="1">
        <v>1938</v>
      </c>
      <c r="E14246" s="6">
        <v>0</v>
      </c>
      <c r="G14246" s="1">
        <v>0</v>
      </c>
      <c r="H14246" s="1">
        <v>0</v>
      </c>
      <c r="I14246" s="1">
        <v>4.6707146193367581</v>
      </c>
      <c r="M14246" s="1" t="s">
        <v>677</v>
      </c>
      <c r="P14246" s="1" t="s">
        <v>471</v>
      </c>
      <c r="Q14246" s="1">
        <v>0</v>
      </c>
      <c r="S14246" s="1">
        <v>0</v>
      </c>
      <c r="T14246" s="1">
        <v>0</v>
      </c>
      <c r="V14246" s="1">
        <f t="shared" si="284"/>
        <v>0</v>
      </c>
      <c r="W14246" s="1">
        <v>0</v>
      </c>
      <c r="X14246" s="39">
        <v>-2.2588888888888938</v>
      </c>
      <c r="Y14246" s="1">
        <v>1</v>
      </c>
      <c r="Z14246" s="11">
        <v>0</v>
      </c>
      <c r="AA14246" s="11">
        <v>0</v>
      </c>
    </row>
    <row r="14247" spans="1:27" x14ac:dyDescent="0.2">
      <c r="A14247" s="1">
        <v>66</v>
      </c>
      <c r="B14247" s="1" t="s">
        <v>166</v>
      </c>
      <c r="C14247" s="1" t="s">
        <v>167</v>
      </c>
      <c r="D14247" s="1">
        <v>1939</v>
      </c>
      <c r="E14247" s="6">
        <v>0</v>
      </c>
      <c r="G14247" s="1">
        <v>0</v>
      </c>
      <c r="H14247" s="1">
        <v>0</v>
      </c>
      <c r="I14247" s="1">
        <v>3.9308176100628929</v>
      </c>
      <c r="M14247" s="1" t="s">
        <v>677</v>
      </c>
      <c r="P14247" s="1" t="s">
        <v>471</v>
      </c>
      <c r="Q14247" s="1">
        <v>0</v>
      </c>
      <c r="S14247" s="1">
        <v>0</v>
      </c>
      <c r="T14247" s="1">
        <v>0</v>
      </c>
      <c r="V14247" s="1">
        <f t="shared" si="284"/>
        <v>0</v>
      </c>
      <c r="W14247" s="1">
        <v>0</v>
      </c>
      <c r="X14247" s="39">
        <v>-0.8899999999999908</v>
      </c>
      <c r="Y14247" s="1">
        <v>1</v>
      </c>
      <c r="Z14247" s="52">
        <v>1</v>
      </c>
      <c r="AA14247" s="11">
        <v>0</v>
      </c>
    </row>
    <row r="14248" spans="1:27" x14ac:dyDescent="0.2">
      <c r="A14248" s="1">
        <v>66</v>
      </c>
      <c r="B14248" s="1" t="s">
        <v>166</v>
      </c>
      <c r="C14248" s="1" t="s">
        <v>167</v>
      </c>
      <c r="D14248" s="1">
        <v>1940</v>
      </c>
      <c r="E14248" s="6">
        <v>0</v>
      </c>
      <c r="G14248" s="1">
        <v>0</v>
      </c>
      <c r="H14248" s="1">
        <v>0</v>
      </c>
      <c r="I14248" s="1">
        <v>4.0355125100887816</v>
      </c>
      <c r="M14248" s="1" t="s">
        <v>677</v>
      </c>
      <c r="P14248" s="1" t="s">
        <v>471</v>
      </c>
      <c r="Q14248" s="1">
        <v>0</v>
      </c>
      <c r="S14248" s="1">
        <v>0</v>
      </c>
      <c r="T14248" s="1">
        <v>0</v>
      </c>
      <c r="V14248" s="1">
        <f t="shared" si="284"/>
        <v>0</v>
      </c>
      <c r="W14248" s="1">
        <v>0</v>
      </c>
      <c r="X14248" s="39">
        <v>0.95714285714285641</v>
      </c>
      <c r="Y14248" s="1">
        <v>1</v>
      </c>
      <c r="Z14248" s="52">
        <v>1</v>
      </c>
      <c r="AA14248" s="11">
        <v>0</v>
      </c>
    </row>
    <row r="14249" spans="1:27" x14ac:dyDescent="0.2">
      <c r="A14249" s="1">
        <v>66</v>
      </c>
      <c r="B14249" s="1" t="s">
        <v>166</v>
      </c>
      <c r="C14249" s="1" t="s">
        <v>167</v>
      </c>
      <c r="D14249" s="1">
        <v>1941</v>
      </c>
      <c r="E14249" s="6">
        <v>0</v>
      </c>
      <c r="G14249" s="1">
        <v>0</v>
      </c>
      <c r="H14249" s="1">
        <v>0</v>
      </c>
      <c r="I14249" s="1">
        <v>4.0355125100887816</v>
      </c>
      <c r="M14249" s="1" t="s">
        <v>677</v>
      </c>
      <c r="P14249" s="1" t="s">
        <v>471</v>
      </c>
      <c r="Q14249" s="1">
        <v>0</v>
      </c>
      <c r="S14249" s="1">
        <v>0</v>
      </c>
      <c r="T14249" s="1">
        <v>0</v>
      </c>
      <c r="V14249" s="1">
        <f t="shared" si="284"/>
        <v>0</v>
      </c>
      <c r="W14249" s="1">
        <v>1</v>
      </c>
      <c r="X14249" s="39">
        <v>7.3445390070922043</v>
      </c>
      <c r="Y14249" s="1">
        <v>1</v>
      </c>
      <c r="Z14249" s="11">
        <v>0</v>
      </c>
      <c r="AA14249" s="11">
        <v>0</v>
      </c>
    </row>
    <row r="14250" spans="1:27" x14ac:dyDescent="0.2">
      <c r="A14250" s="1">
        <v>66</v>
      </c>
      <c r="B14250" s="1" t="s">
        <v>166</v>
      </c>
      <c r="C14250" s="1" t="s">
        <v>167</v>
      </c>
      <c r="D14250" s="1">
        <v>1942</v>
      </c>
      <c r="E14250" s="6">
        <v>0</v>
      </c>
      <c r="G14250" s="1">
        <v>0</v>
      </c>
      <c r="H14250" s="1">
        <v>0</v>
      </c>
      <c r="I14250" s="1">
        <v>4.0355125100887816</v>
      </c>
      <c r="M14250" s="1" t="s">
        <v>677</v>
      </c>
      <c r="P14250" s="1" t="s">
        <v>471</v>
      </c>
      <c r="Q14250" s="1">
        <v>0</v>
      </c>
      <c r="S14250" s="1">
        <v>0</v>
      </c>
      <c r="T14250" s="1">
        <v>0</v>
      </c>
      <c r="V14250" s="1">
        <f t="shared" si="284"/>
        <v>0</v>
      </c>
      <c r="W14250" s="1">
        <v>0</v>
      </c>
      <c r="X14250" s="39">
        <v>9.9161290322580662</v>
      </c>
      <c r="Y14250" s="1">
        <v>1</v>
      </c>
      <c r="Z14250" s="11">
        <v>0</v>
      </c>
      <c r="AA14250" s="11">
        <v>0</v>
      </c>
    </row>
    <row r="14251" spans="1:27" x14ac:dyDescent="0.2">
      <c r="A14251" s="1">
        <v>66</v>
      </c>
      <c r="B14251" s="1" t="s">
        <v>166</v>
      </c>
      <c r="C14251" s="1" t="s">
        <v>167</v>
      </c>
      <c r="D14251" s="1">
        <v>1943</v>
      </c>
      <c r="E14251" s="6">
        <v>0</v>
      </c>
      <c r="G14251" s="1">
        <v>0</v>
      </c>
      <c r="H14251" s="1">
        <v>0</v>
      </c>
      <c r="I14251" s="1">
        <v>4.0355125100887816</v>
      </c>
      <c r="M14251" s="1" t="s">
        <v>677</v>
      </c>
      <c r="P14251" s="1" t="s">
        <v>471</v>
      </c>
      <c r="Q14251" s="1">
        <v>0</v>
      </c>
      <c r="S14251" s="1">
        <v>0</v>
      </c>
      <c r="T14251" s="1">
        <v>0</v>
      </c>
      <c r="V14251" s="1">
        <f t="shared" si="284"/>
        <v>0</v>
      </c>
      <c r="W14251" s="1">
        <v>0</v>
      </c>
      <c r="X14251" s="39">
        <v>4.5542899408284079</v>
      </c>
      <c r="Y14251" s="1">
        <v>1</v>
      </c>
      <c r="Z14251" s="11">
        <v>0</v>
      </c>
      <c r="AA14251" s="11">
        <v>0</v>
      </c>
    </row>
    <row r="14252" spans="1:27" x14ac:dyDescent="0.2">
      <c r="A14252" s="1">
        <v>66</v>
      </c>
      <c r="B14252" s="1" t="s">
        <v>166</v>
      </c>
      <c r="C14252" s="1" t="s">
        <v>167</v>
      </c>
      <c r="D14252" s="1">
        <v>1944</v>
      </c>
      <c r="E14252" s="6">
        <v>0</v>
      </c>
      <c r="G14252" s="1">
        <v>0</v>
      </c>
      <c r="H14252" s="1">
        <v>0</v>
      </c>
      <c r="I14252" s="1">
        <v>4.0355125100887816</v>
      </c>
      <c r="M14252" s="1" t="s">
        <v>677</v>
      </c>
      <c r="P14252" s="1" t="s">
        <v>471</v>
      </c>
      <c r="Q14252" s="1">
        <v>0</v>
      </c>
      <c r="S14252" s="1">
        <v>0</v>
      </c>
      <c r="T14252" s="1">
        <v>0</v>
      </c>
      <c r="V14252" s="1">
        <f t="shared" si="284"/>
        <v>0</v>
      </c>
      <c r="W14252" s="1">
        <v>0</v>
      </c>
      <c r="X14252" s="39">
        <v>1.874425287356337</v>
      </c>
      <c r="Y14252" s="1">
        <v>1</v>
      </c>
      <c r="Z14252" s="11">
        <v>0</v>
      </c>
      <c r="AA14252" s="11">
        <v>0</v>
      </c>
    </row>
    <row r="14253" spans="1:27" x14ac:dyDescent="0.2">
      <c r="A14253" s="1">
        <v>66</v>
      </c>
      <c r="B14253" s="1" t="s">
        <v>166</v>
      </c>
      <c r="C14253" s="1" t="s">
        <v>167</v>
      </c>
      <c r="D14253" s="1">
        <v>1945</v>
      </c>
      <c r="E14253" s="6">
        <v>0</v>
      </c>
      <c r="G14253" s="1">
        <v>0</v>
      </c>
      <c r="H14253" s="1">
        <v>0</v>
      </c>
      <c r="I14253" s="1">
        <v>4.0338846308995562</v>
      </c>
      <c r="M14253" s="1" t="s">
        <v>677</v>
      </c>
      <c r="P14253" s="1" t="s">
        <v>471</v>
      </c>
      <c r="Q14253" s="1">
        <v>0</v>
      </c>
      <c r="S14253" s="1">
        <v>0</v>
      </c>
      <c r="T14253" s="1">
        <v>0</v>
      </c>
      <c r="V14253" s="1">
        <f t="shared" si="284"/>
        <v>0</v>
      </c>
      <c r="W14253" s="1">
        <v>0</v>
      </c>
      <c r="X14253" s="39">
        <v>2.3135955056179758</v>
      </c>
      <c r="Y14253" s="1">
        <v>1</v>
      </c>
      <c r="Z14253" s="11">
        <v>0</v>
      </c>
      <c r="AA14253" s="11">
        <v>0</v>
      </c>
    </row>
    <row r="14254" spans="1:27" x14ac:dyDescent="0.2">
      <c r="A14254" s="1">
        <v>66</v>
      </c>
      <c r="B14254" s="1" t="s">
        <v>166</v>
      </c>
      <c r="C14254" s="1" t="s">
        <v>167</v>
      </c>
      <c r="D14254" s="1">
        <v>1946</v>
      </c>
      <c r="E14254" s="6">
        <v>0</v>
      </c>
      <c r="G14254" s="1">
        <v>0</v>
      </c>
      <c r="H14254" s="1">
        <v>0</v>
      </c>
      <c r="I14254" s="1">
        <v>3.0003000300030003</v>
      </c>
      <c r="M14254" s="1" t="s">
        <v>677</v>
      </c>
      <c r="P14254" s="1" t="s">
        <v>471</v>
      </c>
      <c r="Q14254" s="1">
        <v>0</v>
      </c>
      <c r="S14254" s="1">
        <v>0</v>
      </c>
      <c r="T14254" s="1">
        <v>0</v>
      </c>
      <c r="V14254" s="1">
        <f t="shared" si="284"/>
        <v>0</v>
      </c>
      <c r="W14254" s="1">
        <v>0</v>
      </c>
      <c r="X14254" s="39">
        <v>13.250934065934064</v>
      </c>
      <c r="Y14254" s="1">
        <v>1</v>
      </c>
      <c r="Z14254" s="11">
        <v>0</v>
      </c>
      <c r="AA14254" s="11">
        <v>0</v>
      </c>
    </row>
    <row r="14255" spans="1:27" x14ac:dyDescent="0.2">
      <c r="A14255" s="1">
        <v>66</v>
      </c>
      <c r="B14255" s="1" t="s">
        <v>166</v>
      </c>
      <c r="C14255" s="1" t="s">
        <v>167</v>
      </c>
      <c r="D14255" s="1">
        <v>1947</v>
      </c>
      <c r="E14255" s="6">
        <v>0</v>
      </c>
      <c r="G14255" s="1">
        <v>0</v>
      </c>
      <c r="H14255" s="1">
        <v>0</v>
      </c>
      <c r="I14255" s="1">
        <v>2.5</v>
      </c>
      <c r="M14255" s="1" t="s">
        <v>677</v>
      </c>
      <c r="P14255" s="1" t="s">
        <v>471</v>
      </c>
      <c r="Q14255" s="1">
        <v>0</v>
      </c>
      <c r="S14255" s="1">
        <v>0</v>
      </c>
      <c r="T14255" s="1">
        <v>0</v>
      </c>
      <c r="V14255" s="1">
        <f t="shared" si="284"/>
        <v>0</v>
      </c>
      <c r="W14255" s="1">
        <v>0</v>
      </c>
      <c r="X14255" s="39">
        <v>11.713604651162782</v>
      </c>
      <c r="Y14255" s="1">
        <v>1</v>
      </c>
      <c r="Z14255" s="52">
        <v>1</v>
      </c>
      <c r="AA14255" s="11">
        <v>0</v>
      </c>
    </row>
    <row r="14256" spans="1:27" x14ac:dyDescent="0.2">
      <c r="A14256" s="1">
        <v>66</v>
      </c>
      <c r="B14256" s="1" t="s">
        <v>166</v>
      </c>
      <c r="C14256" s="1" t="s">
        <v>167</v>
      </c>
      <c r="D14256" s="1">
        <v>1948</v>
      </c>
      <c r="E14256" s="6">
        <v>0</v>
      </c>
      <c r="G14256" s="1">
        <v>0</v>
      </c>
      <c r="H14256" s="1">
        <v>0</v>
      </c>
      <c r="I14256" s="1">
        <v>3.0303030303030303</v>
      </c>
      <c r="M14256" s="1" t="s">
        <v>677</v>
      </c>
      <c r="P14256" s="1" t="s">
        <v>471</v>
      </c>
      <c r="Q14256" s="1">
        <v>0</v>
      </c>
      <c r="S14256" s="1">
        <v>0</v>
      </c>
      <c r="T14256" s="1">
        <v>0</v>
      </c>
      <c r="V14256" s="1">
        <f t="shared" si="284"/>
        <v>0</v>
      </c>
      <c r="W14256" s="1">
        <v>0</v>
      </c>
      <c r="X14256" s="39">
        <v>5.4307264957264909</v>
      </c>
      <c r="Y14256" s="1">
        <v>1</v>
      </c>
      <c r="Z14256" s="52">
        <v>1</v>
      </c>
      <c r="AA14256" s="11">
        <v>0</v>
      </c>
    </row>
    <row r="14257" spans="1:27" x14ac:dyDescent="0.2">
      <c r="A14257" s="1">
        <v>66</v>
      </c>
      <c r="B14257" s="1" t="s">
        <v>166</v>
      </c>
      <c r="C14257" s="1" t="s">
        <v>167</v>
      </c>
      <c r="D14257" s="1">
        <v>1949</v>
      </c>
      <c r="E14257" s="6">
        <v>0</v>
      </c>
      <c r="G14257" s="1">
        <v>0</v>
      </c>
      <c r="H14257" s="1">
        <v>0</v>
      </c>
      <c r="I14257" s="1">
        <v>2.3798191337458352</v>
      </c>
      <c r="M14257" s="1" t="s">
        <v>677</v>
      </c>
      <c r="P14257" s="1" t="s">
        <v>471</v>
      </c>
      <c r="Q14257" s="1">
        <v>0</v>
      </c>
      <c r="S14257" s="1">
        <v>0</v>
      </c>
      <c r="T14257" s="1">
        <v>0</v>
      </c>
      <c r="V14257" s="1">
        <f t="shared" si="284"/>
        <v>0</v>
      </c>
      <c r="W14257" s="1">
        <v>0</v>
      </c>
      <c r="X14257" s="39">
        <v>-1.557344398340236</v>
      </c>
      <c r="Y14257" s="1">
        <v>1</v>
      </c>
      <c r="Z14257" s="11">
        <v>0</v>
      </c>
      <c r="AA14257" s="11">
        <v>0</v>
      </c>
    </row>
    <row r="14258" spans="1:27" x14ac:dyDescent="0.2">
      <c r="A14258" s="1">
        <v>66</v>
      </c>
      <c r="B14258" s="1" t="s">
        <v>166</v>
      </c>
      <c r="C14258" s="1" t="s">
        <v>167</v>
      </c>
      <c r="D14258" s="1">
        <v>1950</v>
      </c>
      <c r="E14258" s="6">
        <v>0</v>
      </c>
      <c r="G14258" s="1">
        <v>0</v>
      </c>
      <c r="H14258" s="1">
        <v>0</v>
      </c>
      <c r="I14258" s="1">
        <v>2.5201612903225805</v>
      </c>
      <c r="M14258" s="1" t="s">
        <v>677</v>
      </c>
      <c r="P14258" s="1" t="s">
        <v>471</v>
      </c>
      <c r="Q14258" s="1">
        <v>0</v>
      </c>
      <c r="S14258" s="1">
        <v>0</v>
      </c>
      <c r="T14258" s="1">
        <v>0</v>
      </c>
      <c r="V14258" s="1">
        <f t="shared" si="284"/>
        <v>0</v>
      </c>
      <c r="W14258" s="1">
        <v>0</v>
      </c>
      <c r="X14258" s="39">
        <v>3.4911016949152489</v>
      </c>
      <c r="Y14258" s="1">
        <v>1</v>
      </c>
      <c r="Z14258" s="11">
        <v>0</v>
      </c>
      <c r="AA14258" s="11">
        <v>0</v>
      </c>
    </row>
    <row r="14259" spans="1:27" x14ac:dyDescent="0.2">
      <c r="A14259" s="1">
        <v>66</v>
      </c>
      <c r="B14259" s="1" t="s">
        <v>166</v>
      </c>
      <c r="C14259" s="1" t="s">
        <v>167</v>
      </c>
      <c r="D14259" s="1">
        <v>1951</v>
      </c>
      <c r="E14259" s="6">
        <v>0</v>
      </c>
      <c r="G14259" s="1">
        <v>0</v>
      </c>
      <c r="H14259" s="1">
        <v>0</v>
      </c>
      <c r="I14259" s="1">
        <v>2.4497795198432142</v>
      </c>
      <c r="M14259" s="1" t="s">
        <v>677</v>
      </c>
      <c r="P14259" s="1" t="s">
        <v>471</v>
      </c>
      <c r="Q14259" s="1">
        <v>0</v>
      </c>
      <c r="S14259" s="1">
        <v>0</v>
      </c>
      <c r="T14259" s="1">
        <v>0</v>
      </c>
      <c r="V14259" s="1">
        <f t="shared" si="284"/>
        <v>0</v>
      </c>
      <c r="W14259" s="1">
        <v>0</v>
      </c>
      <c r="X14259" s="39">
        <v>6.8199999999999896</v>
      </c>
      <c r="Y14259" s="1">
        <v>1</v>
      </c>
      <c r="Z14259" s="11">
        <v>0</v>
      </c>
      <c r="AA14259" s="11">
        <v>0</v>
      </c>
    </row>
    <row r="14260" spans="1:27" x14ac:dyDescent="0.2">
      <c r="A14260" s="1">
        <v>66</v>
      </c>
      <c r="B14260" s="1" t="s">
        <v>166</v>
      </c>
      <c r="C14260" s="1" t="s">
        <v>167</v>
      </c>
      <c r="D14260" s="1">
        <v>1952</v>
      </c>
      <c r="E14260" s="6">
        <v>0</v>
      </c>
      <c r="G14260" s="1">
        <v>0</v>
      </c>
      <c r="H14260" s="1">
        <v>0</v>
      </c>
      <c r="I14260" s="1">
        <v>2.7300027300027301</v>
      </c>
      <c r="M14260" s="1" t="s">
        <v>677</v>
      </c>
      <c r="P14260" s="1" t="s">
        <v>471</v>
      </c>
      <c r="Q14260" s="1">
        <v>0</v>
      </c>
      <c r="S14260" s="1">
        <v>0</v>
      </c>
      <c r="T14260" s="1">
        <v>0</v>
      </c>
      <c r="V14260" s="1">
        <f t="shared" si="284"/>
        <v>0</v>
      </c>
      <c r="W14260" s="1">
        <v>0</v>
      </c>
      <c r="X14260" s="39">
        <v>1.5073584905660451</v>
      </c>
      <c r="Y14260" s="1">
        <v>1</v>
      </c>
      <c r="Z14260" s="11">
        <v>0</v>
      </c>
      <c r="AA14260" s="11">
        <v>0</v>
      </c>
    </row>
    <row r="14261" spans="1:27" x14ac:dyDescent="0.2">
      <c r="A14261" s="1">
        <v>66</v>
      </c>
      <c r="B14261" s="1" t="s">
        <v>166</v>
      </c>
      <c r="C14261" s="1" t="s">
        <v>167</v>
      </c>
      <c r="D14261" s="1">
        <v>1953</v>
      </c>
      <c r="E14261" s="6">
        <v>0</v>
      </c>
      <c r="G14261" s="1">
        <v>0</v>
      </c>
      <c r="H14261" s="1">
        <v>0</v>
      </c>
      <c r="I14261" s="1">
        <v>2.7800945232137892</v>
      </c>
      <c r="M14261" s="1" t="s">
        <v>677</v>
      </c>
      <c r="P14261" s="1" t="s">
        <v>471</v>
      </c>
      <c r="Q14261" s="1">
        <v>0</v>
      </c>
      <c r="S14261" s="1">
        <v>0</v>
      </c>
      <c r="T14261" s="1">
        <v>0</v>
      </c>
      <c r="V14261" s="1">
        <f t="shared" si="284"/>
        <v>0</v>
      </c>
      <c r="W14261" s="1">
        <v>0</v>
      </c>
      <c r="X14261" s="39">
        <v>0.8495318352059833</v>
      </c>
      <c r="Y14261" s="1">
        <v>1</v>
      </c>
      <c r="Z14261" s="11">
        <v>0</v>
      </c>
      <c r="AA14261" s="11">
        <v>0</v>
      </c>
    </row>
    <row r="14262" spans="1:27" x14ac:dyDescent="0.2">
      <c r="A14262" s="1">
        <v>66</v>
      </c>
      <c r="B14262" s="1" t="s">
        <v>166</v>
      </c>
      <c r="C14262" s="1" t="s">
        <v>167</v>
      </c>
      <c r="D14262" s="1">
        <v>1954</v>
      </c>
      <c r="E14262" s="6">
        <v>0</v>
      </c>
      <c r="G14262" s="1">
        <v>0</v>
      </c>
      <c r="H14262" s="1">
        <v>0</v>
      </c>
      <c r="I14262" s="1">
        <v>2.7203482045701852</v>
      </c>
      <c r="M14262" s="1" t="s">
        <v>677</v>
      </c>
      <c r="P14262" s="1" t="s">
        <v>471</v>
      </c>
      <c r="Q14262" s="1">
        <v>0</v>
      </c>
      <c r="S14262" s="1">
        <v>0</v>
      </c>
      <c r="T14262" s="1">
        <v>0</v>
      </c>
      <c r="V14262" s="1">
        <f t="shared" si="284"/>
        <v>0</v>
      </c>
      <c r="W14262" s="1">
        <v>0</v>
      </c>
      <c r="X14262" s="39">
        <v>-0.21674721189589324</v>
      </c>
      <c r="Y14262" s="1">
        <v>1</v>
      </c>
      <c r="Z14262" s="11">
        <v>0</v>
      </c>
      <c r="AA14262" s="11">
        <v>0</v>
      </c>
    </row>
    <row r="14263" spans="1:27" x14ac:dyDescent="0.2">
      <c r="A14263" s="1">
        <v>66</v>
      </c>
      <c r="B14263" s="1" t="s">
        <v>166</v>
      </c>
      <c r="C14263" s="1" t="s">
        <v>167</v>
      </c>
      <c r="D14263" s="1">
        <v>1955</v>
      </c>
      <c r="E14263" s="6">
        <v>0</v>
      </c>
      <c r="G14263" s="1">
        <v>0</v>
      </c>
      <c r="H14263" s="1">
        <v>0</v>
      </c>
      <c r="I14263" s="1">
        <v>2.7739251040221915</v>
      </c>
      <c r="M14263" s="1" t="s">
        <v>677</v>
      </c>
      <c r="P14263" s="1" t="s">
        <v>471</v>
      </c>
      <c r="Q14263" s="1">
        <v>0</v>
      </c>
      <c r="S14263" s="1">
        <v>0</v>
      </c>
      <c r="T14263" s="1">
        <v>0</v>
      </c>
      <c r="V14263" s="1">
        <f t="shared" si="284"/>
        <v>0</v>
      </c>
      <c r="W14263" s="1">
        <v>0</v>
      </c>
      <c r="X14263" s="39">
        <v>3.2265917602993799E-2</v>
      </c>
      <c r="Y14263" s="1">
        <v>1</v>
      </c>
      <c r="Z14263" s="11">
        <v>0</v>
      </c>
      <c r="AA14263" s="11">
        <v>0</v>
      </c>
    </row>
    <row r="14264" spans="1:27" x14ac:dyDescent="0.2">
      <c r="A14264" s="1">
        <v>66</v>
      </c>
      <c r="B14264" s="1" t="s">
        <v>166</v>
      </c>
      <c r="C14264" s="1" t="s">
        <v>167</v>
      </c>
      <c r="D14264" s="1">
        <v>1956</v>
      </c>
      <c r="E14264" s="6">
        <v>0</v>
      </c>
      <c r="G14264" s="1">
        <v>0</v>
      </c>
      <c r="H14264" s="1">
        <v>0</v>
      </c>
      <c r="I14264" s="1">
        <v>2.749518834204014</v>
      </c>
      <c r="M14264" s="1" t="s">
        <v>677</v>
      </c>
      <c r="P14264" s="1" t="s">
        <v>471</v>
      </c>
      <c r="Q14264" s="1">
        <v>0</v>
      </c>
      <c r="S14264" s="1">
        <v>0</v>
      </c>
      <c r="T14264" s="1">
        <v>0</v>
      </c>
      <c r="V14264" s="1">
        <f t="shared" si="284"/>
        <v>0</v>
      </c>
      <c r="W14264" s="1">
        <v>0</v>
      </c>
      <c r="X14264" s="39">
        <v>2.2725373134328404</v>
      </c>
      <c r="Y14264" s="1">
        <v>1</v>
      </c>
      <c r="Z14264" s="11">
        <v>0</v>
      </c>
      <c r="AA14264" s="11">
        <v>0</v>
      </c>
    </row>
    <row r="14265" spans="1:27" x14ac:dyDescent="0.2">
      <c r="A14265" s="1">
        <v>66</v>
      </c>
      <c r="B14265" s="1" t="s">
        <v>166</v>
      </c>
      <c r="C14265" s="1" t="s">
        <v>167</v>
      </c>
      <c r="D14265" s="1">
        <v>1957</v>
      </c>
      <c r="E14265" s="6">
        <v>0</v>
      </c>
      <c r="G14265" s="1">
        <v>0</v>
      </c>
      <c r="H14265" s="1">
        <v>0</v>
      </c>
      <c r="I14265" s="1">
        <v>2.8595939376608519</v>
      </c>
      <c r="M14265" s="1" t="s">
        <v>677</v>
      </c>
      <c r="P14265" s="1" t="s">
        <v>471</v>
      </c>
      <c r="Q14265" s="1">
        <v>0</v>
      </c>
      <c r="S14265" s="1">
        <v>0</v>
      </c>
      <c r="T14265" s="1">
        <v>0</v>
      </c>
      <c r="V14265" s="1">
        <f t="shared" si="284"/>
        <v>0</v>
      </c>
      <c r="W14265" s="1">
        <v>0</v>
      </c>
      <c r="X14265" s="39">
        <v>3.1392753623188381</v>
      </c>
      <c r="Y14265" s="1">
        <v>1</v>
      </c>
      <c r="Z14265" s="11">
        <v>0</v>
      </c>
      <c r="AA14265" s="11">
        <v>0</v>
      </c>
    </row>
    <row r="14266" spans="1:27" x14ac:dyDescent="0.2">
      <c r="A14266" s="1">
        <v>66</v>
      </c>
      <c r="B14266" s="1" t="s">
        <v>166</v>
      </c>
      <c r="C14266" s="1" t="s">
        <v>167</v>
      </c>
      <c r="D14266" s="1">
        <v>1958</v>
      </c>
      <c r="E14266" s="6">
        <v>0</v>
      </c>
      <c r="G14266" s="1">
        <v>0</v>
      </c>
      <c r="H14266" s="1">
        <v>0</v>
      </c>
      <c r="I14266" s="1">
        <v>2.8026905829596411</v>
      </c>
      <c r="M14266" s="1" t="s">
        <v>677</v>
      </c>
      <c r="P14266" s="1" t="s">
        <v>471</v>
      </c>
      <c r="Q14266" s="1">
        <v>0</v>
      </c>
      <c r="S14266" s="1">
        <v>0</v>
      </c>
      <c r="T14266" s="1">
        <v>0</v>
      </c>
      <c r="V14266" s="1">
        <f t="shared" si="284"/>
        <v>0</v>
      </c>
      <c r="W14266" s="1">
        <v>0</v>
      </c>
      <c r="X14266" s="39">
        <v>2.3702816901408474</v>
      </c>
      <c r="Y14266" s="1">
        <v>1</v>
      </c>
      <c r="Z14266" s="11">
        <v>0</v>
      </c>
      <c r="AA14266" s="11">
        <v>0</v>
      </c>
    </row>
    <row r="14267" spans="1:27" x14ac:dyDescent="0.2">
      <c r="A14267" s="1">
        <v>66</v>
      </c>
      <c r="B14267" s="1" t="s">
        <v>166</v>
      </c>
      <c r="C14267" s="1" t="s">
        <v>167</v>
      </c>
      <c r="D14267" s="1">
        <v>1959</v>
      </c>
      <c r="E14267" s="6">
        <v>0</v>
      </c>
      <c r="G14267" s="1">
        <v>0</v>
      </c>
      <c r="H14267" s="1">
        <v>0</v>
      </c>
      <c r="I14267" s="1">
        <v>2.8003360403248392</v>
      </c>
      <c r="M14267" s="1" t="s">
        <v>677</v>
      </c>
      <c r="P14267" s="1" t="s">
        <v>471</v>
      </c>
      <c r="Q14267" s="1">
        <v>0</v>
      </c>
      <c r="S14267" s="1">
        <v>0</v>
      </c>
      <c r="T14267" s="1">
        <v>0</v>
      </c>
      <c r="V14267" s="1">
        <f t="shared" si="284"/>
        <v>0</v>
      </c>
      <c r="W14267" s="1">
        <v>0</v>
      </c>
      <c r="X14267" s="39">
        <v>1.1550519031141881</v>
      </c>
      <c r="Y14267" s="1">
        <v>1</v>
      </c>
      <c r="Z14267" s="11">
        <v>0</v>
      </c>
      <c r="AA14267" s="11">
        <v>0</v>
      </c>
    </row>
    <row r="14268" spans="1:27" x14ac:dyDescent="0.2">
      <c r="A14268" s="1">
        <v>66</v>
      </c>
      <c r="B14268" s="1" t="s">
        <v>166</v>
      </c>
      <c r="C14268" s="1" t="s">
        <v>167</v>
      </c>
      <c r="D14268" s="1">
        <v>1960</v>
      </c>
      <c r="E14268" s="6">
        <v>0</v>
      </c>
      <c r="G14268" s="1">
        <v>0</v>
      </c>
      <c r="H14268" s="1">
        <v>0</v>
      </c>
      <c r="I14268" s="1">
        <v>2.8034763106251752</v>
      </c>
      <c r="M14268" s="1" t="s">
        <v>677</v>
      </c>
      <c r="P14268" s="1" t="s">
        <v>471</v>
      </c>
      <c r="Q14268" s="1">
        <v>0</v>
      </c>
      <c r="S14268" s="1">
        <v>0</v>
      </c>
      <c r="T14268" s="1">
        <v>0</v>
      </c>
      <c r="V14268" s="1">
        <f t="shared" si="284"/>
        <v>0</v>
      </c>
      <c r="W14268" s="1">
        <v>0</v>
      </c>
      <c r="X14268" s="39">
        <v>1.5125623582766536</v>
      </c>
      <c r="Y14268" s="1">
        <v>1</v>
      </c>
      <c r="Z14268" s="11">
        <v>0</v>
      </c>
      <c r="AA14268" s="11">
        <v>0</v>
      </c>
    </row>
    <row r="14269" spans="1:27" x14ac:dyDescent="0.2">
      <c r="A14269" s="1">
        <v>66</v>
      </c>
      <c r="B14269" s="1" t="s">
        <v>166</v>
      </c>
      <c r="C14269" s="1" t="s">
        <v>167</v>
      </c>
      <c r="D14269" s="1">
        <v>1961</v>
      </c>
      <c r="E14269" s="6">
        <v>0</v>
      </c>
      <c r="G14269" s="1">
        <v>0</v>
      </c>
      <c r="H14269" s="1">
        <v>0</v>
      </c>
      <c r="I14269" s="1">
        <v>2.808199943836001</v>
      </c>
      <c r="M14269" s="1" t="s">
        <v>677</v>
      </c>
      <c r="P14269" s="1" t="s">
        <v>471</v>
      </c>
      <c r="Q14269" s="1">
        <v>0</v>
      </c>
      <c r="S14269" s="1">
        <v>0</v>
      </c>
      <c r="T14269" s="1">
        <v>0</v>
      </c>
      <c r="V14269" s="1">
        <f t="shared" si="284"/>
        <v>0</v>
      </c>
      <c r="W14269" s="1">
        <v>0</v>
      </c>
      <c r="X14269" s="39">
        <v>0.92892626269683953</v>
      </c>
      <c r="Y14269" s="1">
        <v>1</v>
      </c>
      <c r="Z14269" s="11">
        <v>0</v>
      </c>
      <c r="AA14269" s="11">
        <v>0</v>
      </c>
    </row>
    <row r="14270" spans="1:27" x14ac:dyDescent="0.2">
      <c r="A14270" s="1">
        <v>66</v>
      </c>
      <c r="B14270" s="1" t="s">
        <v>166</v>
      </c>
      <c r="C14270" s="1" t="s">
        <v>167</v>
      </c>
      <c r="D14270" s="1">
        <v>1962</v>
      </c>
      <c r="E14270" s="6">
        <v>0</v>
      </c>
      <c r="G14270" s="1">
        <v>0</v>
      </c>
      <c r="H14270" s="1">
        <v>0</v>
      </c>
      <c r="I14270" s="1">
        <v>2.8026905829596411</v>
      </c>
      <c r="M14270" s="1" t="s">
        <v>677</v>
      </c>
      <c r="P14270" s="1" t="s">
        <v>471</v>
      </c>
      <c r="Q14270" s="1">
        <v>0</v>
      </c>
      <c r="S14270" s="1">
        <v>0</v>
      </c>
      <c r="T14270" s="1">
        <v>0</v>
      </c>
      <c r="V14270" s="1">
        <f t="shared" si="284"/>
        <v>0</v>
      </c>
      <c r="W14270" s="1">
        <v>0</v>
      </c>
      <c r="X14270" s="39">
        <v>1.2267757327880171</v>
      </c>
      <c r="Y14270" s="1">
        <v>1</v>
      </c>
      <c r="Z14270" s="11">
        <v>0</v>
      </c>
      <c r="AA14270" s="11">
        <v>0</v>
      </c>
    </row>
    <row r="14271" spans="1:27" x14ac:dyDescent="0.2">
      <c r="A14271" s="1">
        <v>66</v>
      </c>
      <c r="B14271" s="1" t="s">
        <v>166</v>
      </c>
      <c r="C14271" s="1" t="s">
        <v>167</v>
      </c>
      <c r="D14271" s="1">
        <v>1963</v>
      </c>
      <c r="E14271" s="6">
        <v>0</v>
      </c>
      <c r="G14271" s="1">
        <v>0</v>
      </c>
      <c r="H14271" s="1">
        <v>0</v>
      </c>
      <c r="I14271" s="1">
        <v>2.796420581655481</v>
      </c>
      <c r="M14271" s="1" t="s">
        <v>677</v>
      </c>
      <c r="P14271" s="1" t="s">
        <v>471</v>
      </c>
      <c r="Q14271" s="1">
        <v>0</v>
      </c>
      <c r="S14271" s="1">
        <v>0</v>
      </c>
      <c r="T14271" s="1">
        <v>0</v>
      </c>
      <c r="V14271" s="1">
        <f t="shared" si="284"/>
        <v>0</v>
      </c>
      <c r="W14271" s="1">
        <v>0</v>
      </c>
      <c r="X14271" s="39">
        <v>1.3465008941085863</v>
      </c>
      <c r="Y14271" s="1">
        <v>1</v>
      </c>
      <c r="Z14271" s="11">
        <v>0</v>
      </c>
      <c r="AA14271" s="11">
        <v>0</v>
      </c>
    </row>
    <row r="14272" spans="1:27" ht="12.95" customHeight="1" x14ac:dyDescent="0.2">
      <c r="A14272" s="1">
        <v>66</v>
      </c>
      <c r="B14272" s="1" t="s">
        <v>166</v>
      </c>
      <c r="C14272" s="1" t="s">
        <v>167</v>
      </c>
      <c r="D14272" s="1">
        <v>1964</v>
      </c>
      <c r="E14272" s="6">
        <v>0</v>
      </c>
      <c r="G14272" s="1">
        <v>0</v>
      </c>
      <c r="H14272" s="1">
        <v>0</v>
      </c>
      <c r="I14272" s="1">
        <v>2.7901785714285716</v>
      </c>
      <c r="M14272" s="1" t="s">
        <v>677</v>
      </c>
      <c r="P14272" s="1" t="s">
        <v>471</v>
      </c>
      <c r="Q14272" s="1">
        <v>0</v>
      </c>
      <c r="S14272" s="1">
        <v>0</v>
      </c>
      <c r="T14272" s="1">
        <v>0</v>
      </c>
      <c r="V14272" s="1">
        <f t="shared" si="284"/>
        <v>0</v>
      </c>
      <c r="W14272" s="1">
        <v>0</v>
      </c>
      <c r="X14272" s="39">
        <v>1.2154286023589216</v>
      </c>
      <c r="Y14272" s="1">
        <v>1</v>
      </c>
      <c r="Z14272" s="11">
        <v>0</v>
      </c>
      <c r="AA14272" s="11">
        <v>0</v>
      </c>
    </row>
    <row r="14273" spans="1:27" ht="12.95" customHeight="1" x14ac:dyDescent="0.2">
      <c r="A14273" s="1">
        <v>66</v>
      </c>
      <c r="B14273" s="1" t="s">
        <v>166</v>
      </c>
      <c r="C14273" s="1" t="s">
        <v>167</v>
      </c>
      <c r="D14273" s="1">
        <v>1965</v>
      </c>
      <c r="E14273" s="6">
        <v>0</v>
      </c>
      <c r="G14273" s="1">
        <v>0</v>
      </c>
      <c r="H14273" s="1">
        <v>0</v>
      </c>
      <c r="I14273" s="1">
        <v>2.8026905829596411</v>
      </c>
      <c r="M14273" s="1" t="s">
        <v>677</v>
      </c>
      <c r="P14273" s="1" t="s">
        <v>471</v>
      </c>
      <c r="Q14273" s="1">
        <v>0</v>
      </c>
      <c r="S14273" s="1">
        <v>0</v>
      </c>
      <c r="T14273" s="1">
        <v>0</v>
      </c>
      <c r="V14273" s="1">
        <f t="shared" si="284"/>
        <v>0</v>
      </c>
      <c r="W14273" s="1">
        <v>0</v>
      </c>
      <c r="X14273" s="39">
        <v>1.7268869385647658</v>
      </c>
      <c r="Y14273" s="1">
        <v>1</v>
      </c>
      <c r="Z14273" s="11">
        <v>0</v>
      </c>
      <c r="AA14273" s="11">
        <v>0</v>
      </c>
    </row>
    <row r="14274" spans="1:27" x14ac:dyDescent="0.2">
      <c r="A14274" s="1">
        <v>66</v>
      </c>
      <c r="B14274" s="1" t="s">
        <v>166</v>
      </c>
      <c r="C14274" s="1" t="s">
        <v>167</v>
      </c>
      <c r="D14274" s="1">
        <v>1966</v>
      </c>
      <c r="E14274" s="6">
        <v>0</v>
      </c>
      <c r="G14274" s="1">
        <v>0</v>
      </c>
      <c r="H14274" s="1">
        <v>0</v>
      </c>
      <c r="I14274" s="1">
        <v>2.7901785714285716</v>
      </c>
      <c r="M14274" s="1" t="s">
        <v>677</v>
      </c>
      <c r="P14274" s="1" t="s">
        <v>471</v>
      </c>
      <c r="Q14274" s="1">
        <v>0</v>
      </c>
      <c r="S14274" s="1">
        <v>0</v>
      </c>
      <c r="T14274" s="1">
        <v>0</v>
      </c>
      <c r="V14274" s="1">
        <f t="shared" si="284"/>
        <v>0</v>
      </c>
      <c r="W14274" s="1">
        <v>0</v>
      </c>
      <c r="X14274" s="39">
        <v>3.13007099974417</v>
      </c>
      <c r="Y14274" s="1">
        <v>1</v>
      </c>
      <c r="Z14274" s="11">
        <v>0</v>
      </c>
      <c r="AA14274" s="11">
        <v>0</v>
      </c>
    </row>
    <row r="14275" spans="1:27" x14ac:dyDescent="0.2">
      <c r="A14275" s="1">
        <v>66</v>
      </c>
      <c r="B14275" s="1" t="s">
        <v>166</v>
      </c>
      <c r="C14275" s="1" t="s">
        <v>167</v>
      </c>
      <c r="D14275" s="1">
        <v>1967</v>
      </c>
      <c r="E14275" s="6">
        <v>0</v>
      </c>
      <c r="G14275" s="1">
        <v>0</v>
      </c>
      <c r="H14275" s="1">
        <v>0</v>
      </c>
      <c r="I14275" s="1">
        <v>2.4061597690086622</v>
      </c>
      <c r="M14275" s="1" t="s">
        <v>677</v>
      </c>
      <c r="P14275" s="1" t="s">
        <v>471</v>
      </c>
      <c r="Q14275" s="1">
        <v>0</v>
      </c>
      <c r="S14275" s="1">
        <v>0</v>
      </c>
      <c r="T14275" s="1">
        <v>0</v>
      </c>
      <c r="V14275" s="1">
        <f t="shared" si="284"/>
        <v>0</v>
      </c>
      <c r="W14275" s="1">
        <v>0</v>
      </c>
      <c r="X14275" s="39">
        <v>2.8572737900397516</v>
      </c>
      <c r="Y14275" s="1">
        <v>1</v>
      </c>
      <c r="Z14275" s="11">
        <v>0</v>
      </c>
      <c r="AA14275" s="11">
        <v>0</v>
      </c>
    </row>
    <row r="14276" spans="1:27" x14ac:dyDescent="0.2">
      <c r="A14276" s="1">
        <v>66</v>
      </c>
      <c r="B14276" s="1" t="s">
        <v>166</v>
      </c>
      <c r="C14276" s="1" t="s">
        <v>167</v>
      </c>
      <c r="D14276" s="1">
        <v>1968</v>
      </c>
      <c r="E14276" s="6">
        <v>0</v>
      </c>
      <c r="G14276" s="1">
        <v>0</v>
      </c>
      <c r="H14276" s="1">
        <v>0</v>
      </c>
      <c r="I14276" s="1">
        <v>2.3843586075345731</v>
      </c>
      <c r="M14276" s="1" t="s">
        <v>677</v>
      </c>
      <c r="P14276" s="1" t="s">
        <v>471</v>
      </c>
      <c r="Q14276" s="1">
        <v>0</v>
      </c>
      <c r="S14276" s="1">
        <v>0</v>
      </c>
      <c r="T14276" s="1">
        <v>0</v>
      </c>
      <c r="V14276" s="1">
        <f t="shared" si="284"/>
        <v>0</v>
      </c>
      <c r="W14276" s="1">
        <v>0</v>
      </c>
      <c r="X14276" s="39">
        <v>4.4081527147113642</v>
      </c>
      <c r="Y14276" s="1">
        <v>1</v>
      </c>
      <c r="Z14276" s="11">
        <v>0</v>
      </c>
      <c r="AA14276" s="11">
        <v>0</v>
      </c>
    </row>
    <row r="14277" spans="1:27" x14ac:dyDescent="0.2">
      <c r="A14277" s="1">
        <v>66</v>
      </c>
      <c r="B14277" s="1" t="s">
        <v>166</v>
      </c>
      <c r="C14277" s="1" t="s">
        <v>167</v>
      </c>
      <c r="D14277" s="1">
        <v>1969</v>
      </c>
      <c r="E14277" s="6">
        <v>0</v>
      </c>
      <c r="G14277" s="1">
        <v>0</v>
      </c>
      <c r="H14277" s="1">
        <v>0</v>
      </c>
      <c r="I14277" s="1">
        <v>2.4009603841536618</v>
      </c>
      <c r="M14277" s="1" t="s">
        <v>677</v>
      </c>
      <c r="P14277" s="1" t="s">
        <v>471</v>
      </c>
      <c r="Q14277" s="1">
        <v>0</v>
      </c>
      <c r="S14277" s="1">
        <v>0</v>
      </c>
      <c r="T14277" s="1">
        <v>0</v>
      </c>
      <c r="V14277" s="1">
        <f t="shared" si="284"/>
        <v>0</v>
      </c>
      <c r="W14277" s="1">
        <v>0</v>
      </c>
      <c r="X14277" s="39">
        <v>5.641436282364789</v>
      </c>
      <c r="Y14277" s="1">
        <v>1</v>
      </c>
      <c r="Z14277" s="52">
        <v>1</v>
      </c>
      <c r="AA14277" s="11">
        <v>0</v>
      </c>
    </row>
    <row r="14278" spans="1:27" x14ac:dyDescent="0.2">
      <c r="A14278" s="1">
        <v>66</v>
      </c>
      <c r="B14278" s="1" t="s">
        <v>166</v>
      </c>
      <c r="C14278" s="1" t="s">
        <v>167</v>
      </c>
      <c r="D14278" s="1">
        <v>1970</v>
      </c>
      <c r="E14278" s="6">
        <v>0</v>
      </c>
      <c r="G14278" s="1">
        <v>0</v>
      </c>
      <c r="H14278" s="1">
        <v>0</v>
      </c>
      <c r="I14278" s="1">
        <v>2.3934897079942554</v>
      </c>
      <c r="M14278" s="1" t="s">
        <v>677</v>
      </c>
      <c r="P14278" s="1" t="s">
        <v>471</v>
      </c>
      <c r="Q14278" s="1">
        <v>0</v>
      </c>
      <c r="S14278" s="1">
        <v>0</v>
      </c>
      <c r="T14278" s="1">
        <v>0</v>
      </c>
      <c r="V14278" s="1">
        <f t="shared" si="284"/>
        <v>0</v>
      </c>
      <c r="W14278" s="1">
        <v>0</v>
      </c>
      <c r="X14278" s="39">
        <v>5.7979936697852237</v>
      </c>
      <c r="Y14278" s="1">
        <v>1</v>
      </c>
      <c r="Z14278" s="11">
        <v>0</v>
      </c>
      <c r="AA14278" s="11">
        <v>0</v>
      </c>
    </row>
    <row r="14279" spans="1:27" x14ac:dyDescent="0.2">
      <c r="A14279" s="1">
        <v>66</v>
      </c>
      <c r="B14279" s="1" t="s">
        <v>166</v>
      </c>
      <c r="C14279" s="1" t="s">
        <v>167</v>
      </c>
      <c r="D14279" s="1">
        <v>1971</v>
      </c>
      <c r="E14279" s="6">
        <v>0</v>
      </c>
      <c r="G14279" s="1">
        <v>0</v>
      </c>
      <c r="H14279" s="1">
        <v>0</v>
      </c>
      <c r="I14279" s="1">
        <v>2.5523226135783563</v>
      </c>
      <c r="M14279" s="1" t="s">
        <v>677</v>
      </c>
      <c r="P14279" s="1" t="s">
        <v>471</v>
      </c>
      <c r="Q14279" s="1">
        <v>0</v>
      </c>
      <c r="S14279" s="1">
        <v>0</v>
      </c>
      <c r="T14279" s="1">
        <v>0</v>
      </c>
      <c r="V14279" s="1">
        <f t="shared" si="284"/>
        <v>0</v>
      </c>
      <c r="W14279" s="1">
        <v>0</v>
      </c>
      <c r="X14279" s="39">
        <v>3.9342974940496069</v>
      </c>
      <c r="Y14279" s="1">
        <v>1</v>
      </c>
      <c r="Z14279" s="52">
        <v>1</v>
      </c>
      <c r="AA14279" s="11">
        <v>0</v>
      </c>
    </row>
    <row r="14280" spans="1:27" x14ac:dyDescent="0.2">
      <c r="A14280" s="1">
        <v>66</v>
      </c>
      <c r="B14280" s="1" t="s">
        <v>166</v>
      </c>
      <c r="C14280" s="1" t="s">
        <v>167</v>
      </c>
      <c r="D14280" s="1">
        <v>1972</v>
      </c>
      <c r="E14280" s="6">
        <v>0</v>
      </c>
      <c r="G14280" s="1">
        <v>0</v>
      </c>
      <c r="H14280" s="1">
        <v>0</v>
      </c>
      <c r="I14280" s="1">
        <v>2.3479690068091101</v>
      </c>
      <c r="M14280" s="1" t="s">
        <v>677</v>
      </c>
      <c r="P14280" s="1" t="s">
        <v>471</v>
      </c>
      <c r="Q14280" s="1">
        <v>0</v>
      </c>
      <c r="S14280" s="1">
        <v>0</v>
      </c>
      <c r="T14280" s="1">
        <v>0</v>
      </c>
      <c r="V14280" s="1">
        <f t="shared" si="284"/>
        <v>0</v>
      </c>
      <c r="W14280" s="1">
        <v>0</v>
      </c>
      <c r="X14280" s="39">
        <v>3.3297592886976441</v>
      </c>
      <c r="Y14280" s="1">
        <v>1</v>
      </c>
      <c r="Z14280" s="11">
        <v>0</v>
      </c>
      <c r="AA14280" s="11">
        <v>0</v>
      </c>
    </row>
    <row r="14281" spans="1:27" x14ac:dyDescent="0.2">
      <c r="A14281" s="1">
        <v>66</v>
      </c>
      <c r="B14281" s="1" t="s">
        <v>166</v>
      </c>
      <c r="C14281" s="1" t="s">
        <v>167</v>
      </c>
      <c r="D14281" s="1">
        <v>1973</v>
      </c>
      <c r="E14281" s="6">
        <v>0</v>
      </c>
      <c r="G14281" s="1">
        <v>0</v>
      </c>
      <c r="H14281" s="1">
        <v>0</v>
      </c>
      <c r="I14281" s="1">
        <v>2.3234200743494422</v>
      </c>
      <c r="M14281" s="1" t="s">
        <v>677</v>
      </c>
      <c r="P14281" s="1" t="s">
        <v>471</v>
      </c>
      <c r="Q14281" s="1">
        <v>0</v>
      </c>
      <c r="S14281" s="1">
        <v>0</v>
      </c>
      <c r="T14281" s="1">
        <v>0</v>
      </c>
      <c r="V14281" s="1">
        <f t="shared" si="284"/>
        <v>0</v>
      </c>
      <c r="W14281" s="1">
        <v>1</v>
      </c>
      <c r="X14281" s="39">
        <v>7.0548675679161343</v>
      </c>
      <c r="Y14281" s="1">
        <v>1</v>
      </c>
      <c r="Z14281" s="11">
        <v>0</v>
      </c>
      <c r="AA14281" s="11">
        <v>0</v>
      </c>
    </row>
    <row r="14282" spans="1:27" x14ac:dyDescent="0.2">
      <c r="A14282" s="1">
        <v>66</v>
      </c>
      <c r="B14282" s="1" t="s">
        <v>166</v>
      </c>
      <c r="C14282" s="1" t="s">
        <v>167</v>
      </c>
      <c r="D14282" s="1">
        <v>1974</v>
      </c>
      <c r="E14282" s="6">
        <v>0</v>
      </c>
      <c r="G14282" s="1">
        <v>0</v>
      </c>
      <c r="H14282" s="1">
        <v>0</v>
      </c>
      <c r="I14282" s="1">
        <v>2.3485204321277595</v>
      </c>
      <c r="M14282" s="1" t="s">
        <v>677</v>
      </c>
      <c r="P14282" s="1" t="s">
        <v>471</v>
      </c>
      <c r="Q14282" s="1">
        <v>0</v>
      </c>
      <c r="S14282" s="1">
        <v>0</v>
      </c>
      <c r="T14282" s="1">
        <v>0</v>
      </c>
      <c r="V14282" s="1">
        <f t="shared" si="284"/>
        <v>0</v>
      </c>
      <c r="W14282" s="1">
        <v>1</v>
      </c>
      <c r="X14282" s="39">
        <v>11.486243226541532</v>
      </c>
      <c r="Y14282" s="1">
        <v>1</v>
      </c>
      <c r="Z14282" s="11">
        <v>0</v>
      </c>
      <c r="AA14282" s="11">
        <v>0</v>
      </c>
    </row>
    <row r="14283" spans="1:27" x14ac:dyDescent="0.2">
      <c r="A14283" s="1">
        <v>66</v>
      </c>
      <c r="B14283" s="1" t="s">
        <v>166</v>
      </c>
      <c r="C14283" s="1" t="s">
        <v>167</v>
      </c>
      <c r="D14283" s="1">
        <v>1975</v>
      </c>
      <c r="E14283" s="6">
        <v>0</v>
      </c>
      <c r="G14283" s="1">
        <v>0</v>
      </c>
      <c r="H14283" s="1">
        <v>0</v>
      </c>
      <c r="I14283" s="1">
        <v>2.0234722784297858</v>
      </c>
      <c r="M14283" s="1" t="s">
        <v>677</v>
      </c>
      <c r="P14283" s="1" t="s">
        <v>471</v>
      </c>
      <c r="Q14283" s="1">
        <v>0</v>
      </c>
      <c r="S14283" s="1">
        <v>0</v>
      </c>
      <c r="T14283" s="1">
        <v>0</v>
      </c>
      <c r="V14283" s="1">
        <f t="shared" si="284"/>
        <v>0</v>
      </c>
      <c r="W14283" s="1">
        <v>0</v>
      </c>
      <c r="X14283" s="39">
        <v>8.3526726925007448</v>
      </c>
      <c r="Y14283" s="1">
        <v>1</v>
      </c>
      <c r="Z14283" s="52">
        <v>1</v>
      </c>
      <c r="AA14283" s="11">
        <v>0</v>
      </c>
    </row>
    <row r="14284" spans="1:27" ht="12.75" customHeight="1" x14ac:dyDescent="0.2">
      <c r="A14284" s="1">
        <v>66</v>
      </c>
      <c r="B14284" s="1" t="s">
        <v>166</v>
      </c>
      <c r="C14284" s="1" t="s">
        <v>167</v>
      </c>
      <c r="D14284" s="1">
        <v>1976</v>
      </c>
      <c r="E14284" s="6">
        <v>0</v>
      </c>
      <c r="G14284" s="1">
        <v>0</v>
      </c>
      <c r="H14284" s="1">
        <v>0</v>
      </c>
      <c r="I14284" s="1">
        <v>1.7024174327545114</v>
      </c>
      <c r="M14284" s="1" t="s">
        <v>677</v>
      </c>
      <c r="P14284" s="1" t="s">
        <v>471</v>
      </c>
      <c r="Q14284" s="1">
        <v>0</v>
      </c>
      <c r="S14284" s="1">
        <v>0</v>
      </c>
      <c r="T14284" s="1">
        <v>0</v>
      </c>
      <c r="V14284" s="1">
        <f t="shared" si="284"/>
        <v>0</v>
      </c>
      <c r="W14284" s="1">
        <v>0</v>
      </c>
      <c r="X14284" s="39">
        <v>5.4632526825076795</v>
      </c>
      <c r="Y14284" s="1">
        <v>1</v>
      </c>
      <c r="Z14284" s="11">
        <v>0</v>
      </c>
      <c r="AA14284" s="11">
        <v>0</v>
      </c>
    </row>
    <row r="14285" spans="1:27" x14ac:dyDescent="0.2">
      <c r="A14285" s="1">
        <v>66</v>
      </c>
      <c r="B14285" s="1" t="s">
        <v>166</v>
      </c>
      <c r="C14285" s="1" t="s">
        <v>167</v>
      </c>
      <c r="D14285" s="1">
        <v>1977</v>
      </c>
      <c r="E14285" s="6">
        <v>0</v>
      </c>
      <c r="G14285" s="1">
        <v>0</v>
      </c>
      <c r="H14285" s="1">
        <v>0</v>
      </c>
      <c r="I14285" s="1">
        <v>1.9058509624547357</v>
      </c>
      <c r="M14285" s="1" t="s">
        <v>677</v>
      </c>
      <c r="P14285" s="1" t="s">
        <v>471</v>
      </c>
      <c r="Q14285" s="1">
        <v>0</v>
      </c>
      <c r="S14285" s="1">
        <v>0</v>
      </c>
      <c r="T14285" s="1">
        <v>0</v>
      </c>
      <c r="V14285" s="1">
        <f t="shared" si="284"/>
        <v>0</v>
      </c>
      <c r="W14285" s="1">
        <v>0</v>
      </c>
      <c r="X14285" s="39">
        <v>6.5968657140893479</v>
      </c>
      <c r="Y14285" s="1">
        <v>1</v>
      </c>
      <c r="Z14285" s="11">
        <v>0</v>
      </c>
      <c r="AA14285" s="11">
        <v>0</v>
      </c>
    </row>
    <row r="14286" spans="1:27" x14ac:dyDescent="0.2">
      <c r="A14286" s="1">
        <v>66</v>
      </c>
      <c r="B14286" s="1" t="s">
        <v>166</v>
      </c>
      <c r="C14286" s="1" t="s">
        <v>167</v>
      </c>
      <c r="D14286" s="1">
        <v>1978</v>
      </c>
      <c r="E14286" s="6">
        <v>0</v>
      </c>
      <c r="G14286" s="1">
        <v>0</v>
      </c>
      <c r="H14286" s="1">
        <v>0</v>
      </c>
      <c r="I14286" s="1">
        <v>1.9175271569783607</v>
      </c>
      <c r="M14286" s="1" t="s">
        <v>677</v>
      </c>
      <c r="P14286" s="1" t="s">
        <v>471</v>
      </c>
      <c r="Q14286" s="1">
        <v>0</v>
      </c>
      <c r="S14286" s="1">
        <v>0</v>
      </c>
      <c r="T14286" s="1">
        <v>0</v>
      </c>
      <c r="V14286" s="1">
        <f t="shared" si="284"/>
        <v>0</v>
      </c>
      <c r="W14286" s="1">
        <v>0</v>
      </c>
      <c r="X14286" s="39">
        <v>8.0792104531176943</v>
      </c>
      <c r="Y14286" s="1">
        <v>1</v>
      </c>
      <c r="Z14286" s="11">
        <v>0</v>
      </c>
      <c r="AA14286" s="11">
        <v>0</v>
      </c>
    </row>
    <row r="14287" spans="1:27" x14ac:dyDescent="0.2">
      <c r="A14287" s="1">
        <v>66</v>
      </c>
      <c r="B14287" s="1" t="s">
        <v>166</v>
      </c>
      <c r="C14287" s="1" t="s">
        <v>167</v>
      </c>
      <c r="D14287" s="1">
        <v>1979</v>
      </c>
      <c r="E14287" s="6">
        <v>0</v>
      </c>
      <c r="G14287" s="1">
        <v>0</v>
      </c>
      <c r="H14287" s="1">
        <v>0</v>
      </c>
      <c r="I14287" s="1">
        <v>2.1178319330934534</v>
      </c>
      <c r="M14287" s="1" t="s">
        <v>677</v>
      </c>
      <c r="P14287" s="1" t="s">
        <v>471</v>
      </c>
      <c r="Q14287" s="1">
        <v>0</v>
      </c>
      <c r="S14287" s="1">
        <v>0</v>
      </c>
      <c r="T14287" s="1">
        <v>0</v>
      </c>
      <c r="V14287" s="1">
        <f t="shared" si="284"/>
        <v>0</v>
      </c>
      <c r="W14287" s="1">
        <v>0</v>
      </c>
      <c r="X14287" s="39">
        <v>11.942325821022058</v>
      </c>
      <c r="Y14287" s="1">
        <v>1</v>
      </c>
      <c r="Z14287" s="11">
        <v>0</v>
      </c>
      <c r="AA14287" s="11">
        <v>0</v>
      </c>
    </row>
    <row r="14288" spans="1:27" ht="15" customHeight="1" x14ac:dyDescent="0.2">
      <c r="A14288" s="1">
        <v>66</v>
      </c>
      <c r="B14288" s="1" t="s">
        <v>166</v>
      </c>
      <c r="C14288" s="1" t="s">
        <v>167</v>
      </c>
      <c r="D14288" s="1">
        <v>1980</v>
      </c>
      <c r="E14288" s="6">
        <v>0</v>
      </c>
      <c r="G14288" s="1">
        <v>0</v>
      </c>
      <c r="H14288" s="1">
        <v>0</v>
      </c>
      <c r="I14288" s="1">
        <v>2.3239870321523606</v>
      </c>
      <c r="M14288" s="1" t="s">
        <v>677</v>
      </c>
      <c r="P14288" s="1" t="s">
        <v>471</v>
      </c>
      <c r="Q14288" s="1">
        <v>0</v>
      </c>
      <c r="S14288" s="1">
        <v>0</v>
      </c>
      <c r="T14288" s="1">
        <v>0</v>
      </c>
      <c r="V14288" s="1">
        <f t="shared" si="284"/>
        <v>0</v>
      </c>
      <c r="W14288" s="1">
        <v>0</v>
      </c>
      <c r="X14288" s="80">
        <v>13.502000000000001</v>
      </c>
      <c r="Y14288" s="1">
        <v>1</v>
      </c>
      <c r="Z14288" s="11">
        <v>0</v>
      </c>
      <c r="AA14288" s="11">
        <v>0</v>
      </c>
    </row>
    <row r="14289" spans="1:27" ht="15" customHeight="1" x14ac:dyDescent="0.2">
      <c r="A14289" s="1">
        <v>66</v>
      </c>
      <c r="B14289" s="1" t="s">
        <v>166</v>
      </c>
      <c r="C14289" s="1" t="s">
        <v>167</v>
      </c>
      <c r="D14289" s="1">
        <v>1981</v>
      </c>
      <c r="E14289" s="6">
        <v>0</v>
      </c>
      <c r="G14289" s="1">
        <v>0</v>
      </c>
      <c r="H14289" s="1">
        <v>0</v>
      </c>
      <c r="I14289" s="1">
        <v>2.009480730084539</v>
      </c>
      <c r="M14289" s="1" t="s">
        <v>677</v>
      </c>
      <c r="P14289" s="1" t="s">
        <v>471</v>
      </c>
      <c r="Q14289" s="1">
        <v>0</v>
      </c>
      <c r="S14289" s="1">
        <v>0</v>
      </c>
      <c r="T14289" s="1">
        <v>0</v>
      </c>
      <c r="V14289" s="1">
        <f t="shared" si="284"/>
        <v>0</v>
      </c>
      <c r="W14289" s="1">
        <v>0</v>
      </c>
      <c r="X14289" s="80">
        <v>10.378</v>
      </c>
      <c r="Y14289" s="1">
        <v>1</v>
      </c>
      <c r="Z14289" s="11">
        <v>0</v>
      </c>
      <c r="AA14289" s="11">
        <v>0</v>
      </c>
    </row>
    <row r="14290" spans="1:27" ht="15" customHeight="1" x14ac:dyDescent="0.2">
      <c r="A14290" s="1">
        <v>66</v>
      </c>
      <c r="B14290" s="1" t="s">
        <v>166</v>
      </c>
      <c r="C14290" s="1" t="s">
        <v>167</v>
      </c>
      <c r="D14290" s="1">
        <v>1982</v>
      </c>
      <c r="E14290" s="6">
        <v>0</v>
      </c>
      <c r="G14290" s="1">
        <v>0</v>
      </c>
      <c r="H14290" s="1">
        <v>0</v>
      </c>
      <c r="I14290" s="1">
        <v>1.7468866113369446</v>
      </c>
      <c r="M14290" s="1" t="s">
        <v>677</v>
      </c>
      <c r="P14290" s="1" t="s">
        <v>471</v>
      </c>
      <c r="Q14290" s="1">
        <v>0</v>
      </c>
      <c r="S14290" s="1">
        <v>0</v>
      </c>
      <c r="T14290" s="1">
        <v>0</v>
      </c>
      <c r="V14290" s="1">
        <f t="shared" si="284"/>
        <v>0</v>
      </c>
      <c r="W14290" s="1">
        <v>0</v>
      </c>
      <c r="X14290" s="80">
        <v>6.1580000000000004</v>
      </c>
      <c r="Y14290" s="1">
        <v>1</v>
      </c>
      <c r="Z14290" s="11">
        <v>0</v>
      </c>
      <c r="AA14290" s="11">
        <v>0</v>
      </c>
    </row>
    <row r="14291" spans="1:27" ht="15" customHeight="1" x14ac:dyDescent="0.2">
      <c r="A14291" s="1">
        <v>66</v>
      </c>
      <c r="B14291" s="1" t="s">
        <v>166</v>
      </c>
      <c r="C14291" s="1" t="s">
        <v>167</v>
      </c>
      <c r="D14291" s="1">
        <v>1983</v>
      </c>
      <c r="E14291" s="11">
        <v>0</v>
      </c>
      <c r="G14291" s="1">
        <v>0</v>
      </c>
      <c r="H14291" s="1">
        <v>0</v>
      </c>
      <c r="I14291" s="1">
        <v>1.5157830914396149</v>
      </c>
      <c r="M14291" s="1" t="s">
        <v>677</v>
      </c>
      <c r="P14291" s="1" t="s">
        <v>471</v>
      </c>
      <c r="Q14291" s="1">
        <v>0</v>
      </c>
      <c r="S14291" s="1">
        <v>0</v>
      </c>
      <c r="T14291" s="1">
        <v>0</v>
      </c>
      <c r="V14291" s="1">
        <f t="shared" si="284"/>
        <v>0</v>
      </c>
      <c r="W14291" s="1">
        <v>0</v>
      </c>
      <c r="X14291" s="80">
        <v>3.16</v>
      </c>
      <c r="Y14291" s="1">
        <v>1</v>
      </c>
      <c r="Z14291" s="11">
        <v>0</v>
      </c>
      <c r="AA14291" s="11">
        <v>0</v>
      </c>
    </row>
    <row r="14292" spans="1:27" ht="15" customHeight="1" x14ac:dyDescent="0.2">
      <c r="A14292" s="1">
        <v>66</v>
      </c>
      <c r="B14292" s="1" t="s">
        <v>166</v>
      </c>
      <c r="C14292" s="1" t="s">
        <v>167</v>
      </c>
      <c r="D14292" s="1">
        <v>1984</v>
      </c>
      <c r="E14292" s="7">
        <v>1</v>
      </c>
      <c r="F14292" s="1" t="s">
        <v>363</v>
      </c>
      <c r="G14292" s="1">
        <v>0</v>
      </c>
      <c r="H14292" s="1">
        <v>0</v>
      </c>
      <c r="I14292" s="1">
        <v>1.330128610135314</v>
      </c>
      <c r="M14292" s="1" t="s">
        <v>677</v>
      </c>
      <c r="P14292" s="1" t="s">
        <v>471</v>
      </c>
      <c r="Q14292" s="1">
        <v>0</v>
      </c>
      <c r="S14292" s="1">
        <v>0</v>
      </c>
      <c r="T14292" s="1">
        <v>0</v>
      </c>
      <c r="V14292" s="1">
        <f t="shared" si="284"/>
        <v>0</v>
      </c>
      <c r="W14292" s="1">
        <v>0</v>
      </c>
      <c r="X14292" s="80">
        <v>4.3680000000000003</v>
      </c>
      <c r="Y14292" s="1">
        <v>1</v>
      </c>
      <c r="Z14292" s="11">
        <v>0</v>
      </c>
      <c r="AA14292" s="11">
        <v>0</v>
      </c>
    </row>
    <row r="14293" spans="1:27" ht="15" customHeight="1" x14ac:dyDescent="0.2">
      <c r="A14293" s="1">
        <v>66</v>
      </c>
      <c r="B14293" s="1" t="s">
        <v>166</v>
      </c>
      <c r="C14293" s="1" t="s">
        <v>167</v>
      </c>
      <c r="D14293" s="1">
        <v>1985</v>
      </c>
      <c r="E14293" s="7">
        <v>1</v>
      </c>
      <c r="F14293" s="1" t="s">
        <v>364</v>
      </c>
      <c r="G14293" s="1">
        <v>0</v>
      </c>
      <c r="H14293" s="1">
        <v>0</v>
      </c>
      <c r="I14293" s="1">
        <v>1.2832917974554889</v>
      </c>
      <c r="M14293" s="1" t="s">
        <v>677</v>
      </c>
      <c r="P14293" s="1" t="s">
        <v>471</v>
      </c>
      <c r="Q14293" s="1">
        <v>0</v>
      </c>
      <c r="S14293" s="1">
        <v>0</v>
      </c>
      <c r="T14293" s="1">
        <v>0</v>
      </c>
      <c r="V14293" s="1">
        <f t="shared" si="284"/>
        <v>0</v>
      </c>
      <c r="W14293" s="1">
        <v>0</v>
      </c>
      <c r="X14293" s="80">
        <v>3.528</v>
      </c>
      <c r="Y14293" s="1">
        <v>1</v>
      </c>
      <c r="Z14293" s="11">
        <v>0</v>
      </c>
      <c r="AA14293" s="11">
        <v>0</v>
      </c>
    </row>
    <row r="14294" spans="1:27" ht="15" customHeight="1" x14ac:dyDescent="0.2">
      <c r="A14294" s="1">
        <v>66</v>
      </c>
      <c r="B14294" s="1" t="s">
        <v>166</v>
      </c>
      <c r="C14294" s="1" t="s">
        <v>167</v>
      </c>
      <c r="D14294" s="1">
        <v>1986</v>
      </c>
      <c r="E14294" s="7">
        <v>1</v>
      </c>
      <c r="F14294" s="1" t="s">
        <v>365</v>
      </c>
      <c r="G14294" s="1">
        <v>0</v>
      </c>
      <c r="H14294" s="1">
        <v>0</v>
      </c>
      <c r="I14294" s="1">
        <v>1.4658522391625879</v>
      </c>
      <c r="M14294" s="1" t="s">
        <v>677</v>
      </c>
      <c r="P14294" s="1" t="s">
        <v>471</v>
      </c>
      <c r="Q14294" s="1">
        <v>0</v>
      </c>
      <c r="S14294" s="1">
        <v>0</v>
      </c>
      <c r="T14294" s="1">
        <v>0</v>
      </c>
      <c r="V14294" s="1">
        <f t="shared" si="284"/>
        <v>0</v>
      </c>
      <c r="W14294" s="1">
        <v>0</v>
      </c>
      <c r="X14294" s="80">
        <v>1.944</v>
      </c>
      <c r="Y14294" s="1">
        <v>1</v>
      </c>
      <c r="Z14294" s="11">
        <v>0</v>
      </c>
      <c r="AA14294" s="11">
        <v>0</v>
      </c>
    </row>
    <row r="14295" spans="1:27" ht="15" customHeight="1" x14ac:dyDescent="0.2">
      <c r="A14295" s="1">
        <v>66</v>
      </c>
      <c r="B14295" s="1" t="s">
        <v>166</v>
      </c>
      <c r="C14295" s="1" t="s">
        <v>167</v>
      </c>
      <c r="D14295" s="1">
        <v>1987</v>
      </c>
      <c r="E14295" s="7">
        <v>1</v>
      </c>
      <c r="F14295" s="1" t="s">
        <v>366</v>
      </c>
      <c r="G14295" s="1">
        <v>0</v>
      </c>
      <c r="H14295" s="1">
        <v>0</v>
      </c>
      <c r="I14295" s="1">
        <v>1.634181855025191</v>
      </c>
      <c r="M14295" s="1" t="s">
        <v>677</v>
      </c>
      <c r="P14295" s="1" t="s">
        <v>471</v>
      </c>
      <c r="Q14295" s="1">
        <v>0</v>
      </c>
      <c r="S14295" s="1">
        <v>0</v>
      </c>
      <c r="T14295" s="1">
        <v>0</v>
      </c>
      <c r="V14295" s="1">
        <f t="shared" si="284"/>
        <v>0</v>
      </c>
      <c r="W14295" s="1">
        <v>0</v>
      </c>
      <c r="X14295" s="80">
        <v>3.5779999999999998</v>
      </c>
      <c r="Y14295" s="1">
        <v>1</v>
      </c>
      <c r="Z14295" s="11">
        <v>0</v>
      </c>
      <c r="AA14295" s="11">
        <v>0</v>
      </c>
    </row>
    <row r="14296" spans="1:27" ht="15" customHeight="1" x14ac:dyDescent="0.2">
      <c r="A14296" s="1">
        <v>66</v>
      </c>
      <c r="B14296" s="1" t="s">
        <v>166</v>
      </c>
      <c r="C14296" s="1" t="s">
        <v>167</v>
      </c>
      <c r="D14296" s="1">
        <v>1988</v>
      </c>
      <c r="E14296" s="7">
        <v>1</v>
      </c>
      <c r="F14296" s="1" t="s">
        <v>367</v>
      </c>
      <c r="G14296" s="1">
        <v>0</v>
      </c>
      <c r="H14296" s="1">
        <v>0</v>
      </c>
      <c r="I14296" s="1">
        <v>1.7788213529715213</v>
      </c>
      <c r="M14296" s="1" t="s">
        <v>677</v>
      </c>
      <c r="P14296" s="1" t="s">
        <v>471</v>
      </c>
      <c r="Q14296" s="1">
        <v>0</v>
      </c>
      <c r="S14296" s="1">
        <v>0</v>
      </c>
      <c r="T14296" s="1">
        <v>0</v>
      </c>
      <c r="V14296" s="1">
        <f t="shared" si="284"/>
        <v>0</v>
      </c>
      <c r="W14296" s="1">
        <v>0</v>
      </c>
      <c r="X14296" s="80">
        <v>4.0999999999999996</v>
      </c>
      <c r="Y14296" s="1">
        <v>1</v>
      </c>
      <c r="Z14296" s="11">
        <v>0</v>
      </c>
      <c r="AA14296" s="11">
        <v>0</v>
      </c>
    </row>
    <row r="14297" spans="1:27" ht="15" customHeight="1" x14ac:dyDescent="0.2">
      <c r="A14297" s="1">
        <v>66</v>
      </c>
      <c r="B14297" s="1" t="s">
        <v>166</v>
      </c>
      <c r="C14297" s="1" t="s">
        <v>167</v>
      </c>
      <c r="D14297" s="1">
        <v>1989</v>
      </c>
      <c r="E14297" s="7">
        <v>1</v>
      </c>
      <c r="F14297" s="1" t="s">
        <v>368</v>
      </c>
      <c r="G14297" s="1">
        <v>0</v>
      </c>
      <c r="H14297" s="1">
        <v>0</v>
      </c>
      <c r="I14297" s="1">
        <v>1.6361979341364885</v>
      </c>
      <c r="M14297" s="1" t="s">
        <v>677</v>
      </c>
      <c r="P14297" s="1" t="s">
        <v>471</v>
      </c>
      <c r="Q14297" s="1">
        <v>0</v>
      </c>
      <c r="S14297" s="1">
        <v>0</v>
      </c>
      <c r="T14297" s="1">
        <v>0</v>
      </c>
      <c r="V14297" s="1">
        <f t="shared" si="284"/>
        <v>0</v>
      </c>
      <c r="W14297" s="1">
        <v>0</v>
      </c>
      <c r="X14297" s="80">
        <v>4.7910000000000004</v>
      </c>
      <c r="Y14297" s="1">
        <v>1</v>
      </c>
      <c r="Z14297" s="11">
        <v>0</v>
      </c>
      <c r="AA14297" s="11">
        <v>0</v>
      </c>
    </row>
    <row r="14298" spans="1:27" ht="15" customHeight="1" x14ac:dyDescent="0.2">
      <c r="A14298" s="1">
        <v>66</v>
      </c>
      <c r="B14298" s="1" t="s">
        <v>166</v>
      </c>
      <c r="C14298" s="1" t="s">
        <v>167</v>
      </c>
      <c r="D14298" s="1">
        <v>1990</v>
      </c>
      <c r="E14298" s="7">
        <v>1</v>
      </c>
      <c r="F14298" s="1" t="s">
        <v>369</v>
      </c>
      <c r="G14298" s="1">
        <v>0</v>
      </c>
      <c r="H14298" s="1">
        <v>0</v>
      </c>
      <c r="I14298" s="1">
        <v>1.9279999999999999</v>
      </c>
      <c r="M14298" s="1" t="s">
        <v>677</v>
      </c>
      <c r="P14298" s="1" t="s">
        <v>471</v>
      </c>
      <c r="Q14298" s="1">
        <v>0</v>
      </c>
      <c r="S14298" s="1">
        <v>0</v>
      </c>
      <c r="T14298" s="1">
        <v>0</v>
      </c>
      <c r="V14298" s="1">
        <f t="shared" si="284"/>
        <v>0</v>
      </c>
      <c r="W14298" s="1">
        <v>0</v>
      </c>
      <c r="X14298" s="80">
        <v>5.4189999999999996</v>
      </c>
      <c r="Y14298" s="1">
        <v>1</v>
      </c>
      <c r="Z14298" s="11">
        <v>0</v>
      </c>
      <c r="AA14298" s="11">
        <v>0</v>
      </c>
    </row>
    <row r="14299" spans="1:27" ht="15" customHeight="1" x14ac:dyDescent="0.2">
      <c r="A14299" s="1">
        <v>66</v>
      </c>
      <c r="B14299" s="1" t="s">
        <v>166</v>
      </c>
      <c r="C14299" s="1" t="s">
        <v>167</v>
      </c>
      <c r="D14299" s="1">
        <v>1991</v>
      </c>
      <c r="E14299" s="7">
        <v>1</v>
      </c>
      <c r="F14299" s="1" t="s">
        <v>370</v>
      </c>
      <c r="G14299" s="1">
        <v>0</v>
      </c>
      <c r="H14299" s="1">
        <v>0</v>
      </c>
      <c r="I14299" s="1">
        <v>1.871</v>
      </c>
      <c r="M14299" s="1" t="s">
        <v>677</v>
      </c>
      <c r="P14299" s="1" t="s">
        <v>471</v>
      </c>
      <c r="Q14299" s="1">
        <v>0</v>
      </c>
      <c r="S14299" s="1">
        <v>0</v>
      </c>
      <c r="T14299" s="1">
        <v>0</v>
      </c>
      <c r="V14299" s="1">
        <f t="shared" si="284"/>
        <v>0</v>
      </c>
      <c r="W14299" s="1">
        <v>0</v>
      </c>
      <c r="X14299" s="80">
        <v>4.2160000000000002</v>
      </c>
      <c r="Y14299" s="1">
        <v>1</v>
      </c>
      <c r="Z14299" s="11">
        <v>0</v>
      </c>
      <c r="AA14299" s="11">
        <v>0</v>
      </c>
    </row>
    <row r="14300" spans="1:27" ht="15" customHeight="1" x14ac:dyDescent="0.2">
      <c r="A14300" s="1">
        <v>66</v>
      </c>
      <c r="B14300" s="1" t="s">
        <v>166</v>
      </c>
      <c r="C14300" s="1" t="s">
        <v>167</v>
      </c>
      <c r="D14300" s="1">
        <v>1992</v>
      </c>
      <c r="E14300" s="6">
        <v>0</v>
      </c>
      <c r="G14300" s="1">
        <v>0</v>
      </c>
      <c r="H14300" s="1">
        <v>0</v>
      </c>
      <c r="I14300" s="1">
        <v>1.512</v>
      </c>
      <c r="M14300" s="1" t="s">
        <v>677</v>
      </c>
      <c r="P14300" s="1" t="s">
        <v>471</v>
      </c>
      <c r="Q14300" s="1">
        <v>0</v>
      </c>
      <c r="S14300" s="1">
        <v>0</v>
      </c>
      <c r="T14300" s="1">
        <v>0</v>
      </c>
      <c r="V14300" s="1">
        <f t="shared" ref="V14300:V14324" si="285">18.93*S14300</f>
        <v>0</v>
      </c>
      <c r="W14300" s="1">
        <v>0</v>
      </c>
      <c r="X14300" s="80">
        <v>3.0419999999999998</v>
      </c>
      <c r="Y14300" s="1">
        <v>1</v>
      </c>
      <c r="Z14300" s="11">
        <v>0</v>
      </c>
      <c r="AA14300" s="11">
        <v>0</v>
      </c>
    </row>
    <row r="14301" spans="1:27" ht="15" customHeight="1" x14ac:dyDescent="0.2">
      <c r="A14301" s="1">
        <v>66</v>
      </c>
      <c r="B14301" s="1" t="s">
        <v>166</v>
      </c>
      <c r="C14301" s="1" t="s">
        <v>167</v>
      </c>
      <c r="D14301" s="1">
        <v>1993</v>
      </c>
      <c r="E14301" s="6">
        <v>0</v>
      </c>
      <c r="G14301" s="1">
        <v>0</v>
      </c>
      <c r="H14301" s="1">
        <v>0</v>
      </c>
      <c r="I14301" s="1">
        <v>1.4810000000000001</v>
      </c>
      <c r="M14301" s="1" t="s">
        <v>677</v>
      </c>
      <c r="P14301" s="1" t="s">
        <v>471</v>
      </c>
      <c r="Q14301" s="1">
        <v>0</v>
      </c>
      <c r="S14301" s="1">
        <v>0</v>
      </c>
      <c r="T14301" s="1">
        <v>0</v>
      </c>
      <c r="V14301" s="1">
        <f t="shared" si="285"/>
        <v>0</v>
      </c>
      <c r="W14301" s="1">
        <v>0</v>
      </c>
      <c r="X14301" s="80">
        <v>2.97</v>
      </c>
      <c r="Y14301" s="1">
        <v>1</v>
      </c>
      <c r="Z14301" s="11">
        <v>0</v>
      </c>
      <c r="AA14301" s="11">
        <v>0</v>
      </c>
    </row>
    <row r="14302" spans="1:27" ht="15" customHeight="1" x14ac:dyDescent="0.2">
      <c r="A14302" s="1">
        <v>66</v>
      </c>
      <c r="B14302" s="1" t="s">
        <v>166</v>
      </c>
      <c r="C14302" s="1" t="s">
        <v>167</v>
      </c>
      <c r="D14302" s="1">
        <v>1994</v>
      </c>
      <c r="E14302" s="6">
        <v>0</v>
      </c>
      <c r="G14302" s="1">
        <v>0</v>
      </c>
      <c r="H14302" s="1">
        <v>0</v>
      </c>
      <c r="I14302" s="1">
        <v>1.5629999999999999</v>
      </c>
      <c r="M14302" s="1" t="s">
        <v>677</v>
      </c>
      <c r="P14302" s="1" t="s">
        <v>471</v>
      </c>
      <c r="Q14302" s="1">
        <v>0</v>
      </c>
      <c r="S14302" s="1">
        <v>0</v>
      </c>
      <c r="T14302" s="1">
        <v>0</v>
      </c>
      <c r="V14302" s="1">
        <f t="shared" si="285"/>
        <v>0</v>
      </c>
      <c r="W14302" s="1">
        <v>0</v>
      </c>
      <c r="X14302" s="80">
        <v>2.5960000000000001</v>
      </c>
      <c r="Y14302" s="1">
        <v>1</v>
      </c>
      <c r="Z14302" s="11">
        <v>0</v>
      </c>
      <c r="AA14302" s="11">
        <v>0</v>
      </c>
    </row>
    <row r="14303" spans="1:27" ht="15" customHeight="1" x14ac:dyDescent="0.2">
      <c r="A14303" s="1">
        <v>66</v>
      </c>
      <c r="B14303" s="1" t="s">
        <v>166</v>
      </c>
      <c r="C14303" s="1" t="s">
        <v>167</v>
      </c>
      <c r="D14303" s="1">
        <v>1995</v>
      </c>
      <c r="E14303" s="6">
        <v>0</v>
      </c>
      <c r="G14303" s="1">
        <v>0</v>
      </c>
      <c r="H14303" s="1">
        <v>0</v>
      </c>
      <c r="I14303" s="1">
        <v>1.55</v>
      </c>
      <c r="M14303" s="1" t="s">
        <v>677</v>
      </c>
      <c r="P14303" s="1" t="s">
        <v>471</v>
      </c>
      <c r="Q14303" s="1">
        <v>0</v>
      </c>
      <c r="S14303" s="1">
        <v>0</v>
      </c>
      <c r="T14303" s="1">
        <v>0</v>
      </c>
      <c r="V14303" s="1">
        <f t="shared" si="285"/>
        <v>0</v>
      </c>
      <c r="W14303" s="1">
        <v>0</v>
      </c>
      <c r="X14303" s="80">
        <v>2.8050000000000002</v>
      </c>
      <c r="Y14303" s="1">
        <v>1</v>
      </c>
      <c r="Z14303" s="11">
        <v>0</v>
      </c>
      <c r="AA14303" s="11">
        <v>0</v>
      </c>
    </row>
    <row r="14304" spans="1:27" ht="15" customHeight="1" x14ac:dyDescent="0.2">
      <c r="A14304" s="1">
        <v>66</v>
      </c>
      <c r="B14304" s="1" t="s">
        <v>166</v>
      </c>
      <c r="C14304" s="1" t="s">
        <v>167</v>
      </c>
      <c r="D14304" s="1">
        <v>1996</v>
      </c>
      <c r="E14304" s="6">
        <v>0</v>
      </c>
      <c r="G14304" s="1">
        <v>0</v>
      </c>
      <c r="H14304" s="1">
        <v>0</v>
      </c>
      <c r="I14304" s="1">
        <v>1.698</v>
      </c>
      <c r="M14304" s="1" t="s">
        <v>677</v>
      </c>
      <c r="P14304" s="1" t="s">
        <v>471</v>
      </c>
      <c r="Q14304" s="1">
        <v>0</v>
      </c>
      <c r="S14304" s="1">
        <v>0</v>
      </c>
      <c r="T14304" s="1">
        <v>0</v>
      </c>
      <c r="V14304" s="1">
        <f t="shared" si="285"/>
        <v>0</v>
      </c>
      <c r="W14304" s="1">
        <v>0</v>
      </c>
      <c r="X14304" s="80">
        <v>2.9369999999999998</v>
      </c>
      <c r="Y14304" s="1">
        <v>1</v>
      </c>
      <c r="Z14304" s="11">
        <v>0</v>
      </c>
      <c r="AA14304" s="11">
        <v>0</v>
      </c>
    </row>
    <row r="14305" spans="1:27" ht="15" customHeight="1" x14ac:dyDescent="0.2">
      <c r="A14305" s="1">
        <v>66</v>
      </c>
      <c r="B14305" s="1" t="s">
        <v>166</v>
      </c>
      <c r="C14305" s="1" t="s">
        <v>167</v>
      </c>
      <c r="D14305" s="1">
        <v>1997</v>
      </c>
      <c r="E14305" s="6">
        <v>0</v>
      </c>
      <c r="G14305" s="1">
        <v>0</v>
      </c>
      <c r="H14305" s="1">
        <v>0</v>
      </c>
      <c r="I14305" s="1">
        <v>1.6539999999999999</v>
      </c>
      <c r="M14305" s="1" t="s">
        <v>677</v>
      </c>
      <c r="P14305" s="1" t="s">
        <v>471</v>
      </c>
      <c r="Q14305" s="1">
        <v>0</v>
      </c>
      <c r="S14305" s="1">
        <v>0</v>
      </c>
      <c r="T14305" s="1">
        <v>0</v>
      </c>
      <c r="V14305" s="1">
        <f t="shared" si="285"/>
        <v>0</v>
      </c>
      <c r="W14305" s="1">
        <v>0</v>
      </c>
      <c r="X14305" s="80">
        <v>2.3380000000000001</v>
      </c>
      <c r="Y14305" s="1">
        <v>1</v>
      </c>
      <c r="Z14305" s="11">
        <v>0</v>
      </c>
      <c r="AA14305" s="11">
        <v>0</v>
      </c>
    </row>
    <row r="14306" spans="1:27" ht="15" customHeight="1" x14ac:dyDescent="0.2">
      <c r="A14306" s="1">
        <v>66</v>
      </c>
      <c r="B14306" s="1" t="s">
        <v>166</v>
      </c>
      <c r="C14306" s="1" t="s">
        <v>167</v>
      </c>
      <c r="D14306" s="1">
        <v>1998</v>
      </c>
      <c r="E14306" s="6">
        <v>0</v>
      </c>
      <c r="G14306" s="1">
        <v>0</v>
      </c>
      <c r="H14306" s="1">
        <v>0</v>
      </c>
      <c r="I14306" s="1">
        <v>1.6639999999999999</v>
      </c>
      <c r="M14306" s="1" t="s">
        <v>677</v>
      </c>
      <c r="P14306" s="1" t="s">
        <v>471</v>
      </c>
      <c r="Q14306" s="1">
        <v>0</v>
      </c>
      <c r="S14306" s="1">
        <v>0</v>
      </c>
      <c r="T14306" s="1">
        <v>0</v>
      </c>
      <c r="V14306" s="1">
        <f t="shared" si="285"/>
        <v>0</v>
      </c>
      <c r="W14306" s="1">
        <v>0</v>
      </c>
      <c r="X14306" s="80">
        <v>1.5469999999999999</v>
      </c>
      <c r="Y14306" s="1">
        <v>1</v>
      </c>
      <c r="Z14306" s="11">
        <v>0</v>
      </c>
      <c r="AA14306" s="11">
        <v>0</v>
      </c>
    </row>
    <row r="14307" spans="1:27" ht="15" customHeight="1" x14ac:dyDescent="0.2">
      <c r="A14307" s="1">
        <v>66</v>
      </c>
      <c r="B14307" s="1" t="s">
        <v>166</v>
      </c>
      <c r="C14307" s="1" t="s">
        <v>167</v>
      </c>
      <c r="D14307" s="1">
        <v>1999</v>
      </c>
      <c r="E14307" s="6">
        <v>0</v>
      </c>
      <c r="G14307" s="1">
        <v>0</v>
      </c>
      <c r="H14307" s="1">
        <v>0</v>
      </c>
      <c r="I14307" s="1">
        <v>1.6160000000000001</v>
      </c>
      <c r="M14307" s="1" t="s">
        <v>677</v>
      </c>
      <c r="P14307" s="1" t="s">
        <v>471</v>
      </c>
      <c r="Q14307" s="1">
        <v>0</v>
      </c>
      <c r="S14307" s="1">
        <v>0</v>
      </c>
      <c r="T14307" s="1">
        <v>0</v>
      </c>
      <c r="V14307" s="1">
        <f t="shared" si="285"/>
        <v>0</v>
      </c>
      <c r="W14307" s="1">
        <v>0</v>
      </c>
      <c r="X14307" s="80">
        <v>2.1930000000000001</v>
      </c>
      <c r="Y14307" s="1">
        <v>1</v>
      </c>
      <c r="Z14307" s="11">
        <v>0</v>
      </c>
      <c r="AA14307" s="11">
        <v>0</v>
      </c>
    </row>
    <row r="14308" spans="1:27" ht="15" customHeight="1" x14ac:dyDescent="0.2">
      <c r="A14308" s="1">
        <v>66</v>
      </c>
      <c r="B14308" s="1" t="s">
        <v>166</v>
      </c>
      <c r="C14308" s="1" t="s">
        <v>167</v>
      </c>
      <c r="D14308" s="1">
        <v>2000</v>
      </c>
      <c r="E14308" s="6">
        <v>0</v>
      </c>
      <c r="G14308" s="1">
        <v>0</v>
      </c>
      <c r="H14308" s="1">
        <v>0</v>
      </c>
      <c r="I14308" s="1">
        <v>1.492</v>
      </c>
      <c r="M14308" s="1" t="s">
        <v>677</v>
      </c>
      <c r="P14308" s="1" t="s">
        <v>471</v>
      </c>
      <c r="Q14308" s="1">
        <v>0</v>
      </c>
      <c r="S14308" s="1">
        <v>0</v>
      </c>
      <c r="T14308" s="1">
        <v>0</v>
      </c>
      <c r="V14308" s="1">
        <f t="shared" si="285"/>
        <v>0</v>
      </c>
      <c r="W14308" s="1">
        <v>0</v>
      </c>
      <c r="X14308" s="80">
        <v>3.367</v>
      </c>
      <c r="Y14308" s="1">
        <v>1</v>
      </c>
      <c r="Z14308" s="11">
        <v>0</v>
      </c>
      <c r="AA14308" s="11">
        <v>0</v>
      </c>
    </row>
    <row r="14309" spans="1:27" ht="15" customHeight="1" x14ac:dyDescent="0.2">
      <c r="A14309" s="1">
        <v>66</v>
      </c>
      <c r="B14309" s="1" t="s">
        <v>166</v>
      </c>
      <c r="C14309" s="1" t="s">
        <v>167</v>
      </c>
      <c r="D14309" s="1">
        <v>2001</v>
      </c>
      <c r="E14309" s="6">
        <v>0</v>
      </c>
      <c r="G14309" s="1">
        <v>0</v>
      </c>
      <c r="H14309" s="1">
        <v>0</v>
      </c>
      <c r="I14309" s="1">
        <v>1.45</v>
      </c>
      <c r="M14309" s="1" t="s">
        <v>677</v>
      </c>
      <c r="P14309" s="1" t="s">
        <v>471</v>
      </c>
      <c r="Q14309" s="1">
        <v>0</v>
      </c>
      <c r="S14309" s="1">
        <v>0</v>
      </c>
      <c r="T14309" s="1">
        <v>0</v>
      </c>
      <c r="V14309" s="1">
        <f t="shared" si="285"/>
        <v>0</v>
      </c>
      <c r="W14309" s="1">
        <v>0</v>
      </c>
      <c r="X14309" s="80">
        <v>2.8170000000000002</v>
      </c>
      <c r="Y14309" s="1">
        <v>1</v>
      </c>
      <c r="Z14309" s="11">
        <v>0</v>
      </c>
      <c r="AA14309" s="11">
        <v>0</v>
      </c>
    </row>
    <row r="14310" spans="1:27" ht="15" customHeight="1" x14ac:dyDescent="0.2">
      <c r="A14310" s="1">
        <v>66</v>
      </c>
      <c r="B14310" s="1" t="s">
        <v>166</v>
      </c>
      <c r="C14310" s="1" t="s">
        <v>167</v>
      </c>
      <c r="D14310" s="1">
        <v>2002</v>
      </c>
      <c r="E14310" s="6">
        <v>0</v>
      </c>
      <c r="G14310" s="1">
        <v>0</v>
      </c>
      <c r="H14310" s="1">
        <v>0</v>
      </c>
      <c r="I14310" s="1">
        <v>1.6120000000000001</v>
      </c>
      <c r="M14310" s="1" t="s">
        <v>677</v>
      </c>
      <c r="P14310" s="1" t="s">
        <v>471</v>
      </c>
      <c r="Q14310" s="1">
        <v>0</v>
      </c>
      <c r="S14310" s="1">
        <v>0</v>
      </c>
      <c r="T14310" s="1">
        <v>0</v>
      </c>
      <c r="V14310" s="1">
        <f t="shared" si="285"/>
        <v>0</v>
      </c>
      <c r="W14310" s="1">
        <v>1</v>
      </c>
      <c r="X14310" s="80">
        <v>1.5960000000000001</v>
      </c>
      <c r="Y14310" s="1">
        <v>1</v>
      </c>
      <c r="Z14310" s="52">
        <v>1</v>
      </c>
      <c r="AA14310" s="11">
        <v>0</v>
      </c>
    </row>
    <row r="14311" spans="1:27" ht="15" customHeight="1" x14ac:dyDescent="0.2">
      <c r="A14311" s="1">
        <v>66</v>
      </c>
      <c r="B14311" s="1" t="s">
        <v>166</v>
      </c>
      <c r="C14311" s="1" t="s">
        <v>167</v>
      </c>
      <c r="D14311" s="1">
        <v>2003</v>
      </c>
      <c r="E14311" s="6">
        <v>0</v>
      </c>
      <c r="G14311" s="1">
        <v>0</v>
      </c>
      <c r="H14311" s="1">
        <v>0</v>
      </c>
      <c r="I14311" s="1">
        <v>1.7849999999999999</v>
      </c>
      <c r="M14311" s="1" t="s">
        <v>677</v>
      </c>
      <c r="P14311" s="1" t="s">
        <v>471</v>
      </c>
      <c r="Q14311" s="1">
        <v>0</v>
      </c>
      <c r="S14311" s="1">
        <v>0</v>
      </c>
      <c r="T14311" s="1">
        <v>0</v>
      </c>
      <c r="V14311" s="1">
        <f t="shared" si="285"/>
        <v>0</v>
      </c>
      <c r="W14311" s="1">
        <v>0</v>
      </c>
      <c r="X14311" s="80">
        <v>2.298</v>
      </c>
      <c r="Y14311" s="1">
        <v>1</v>
      </c>
      <c r="Z14311" s="52">
        <v>1</v>
      </c>
      <c r="AA14311" s="11">
        <v>0</v>
      </c>
    </row>
    <row r="14312" spans="1:27" ht="15" customHeight="1" x14ac:dyDescent="0.2">
      <c r="A14312" s="1">
        <v>66</v>
      </c>
      <c r="B14312" s="1" t="s">
        <v>166</v>
      </c>
      <c r="C14312" s="1" t="s">
        <v>167</v>
      </c>
      <c r="D14312" s="1">
        <v>2004</v>
      </c>
      <c r="E14312" s="6">
        <v>0</v>
      </c>
      <c r="G14312" s="1">
        <v>0</v>
      </c>
      <c r="H14312" s="1">
        <v>0</v>
      </c>
      <c r="I14312" s="1">
        <v>1.931</v>
      </c>
      <c r="M14312" s="1" t="s">
        <v>677</v>
      </c>
      <c r="P14312" s="1" t="s">
        <v>471</v>
      </c>
      <c r="Q14312" s="1">
        <v>0</v>
      </c>
      <c r="S14312" s="1">
        <v>0</v>
      </c>
      <c r="T14312" s="1">
        <v>0</v>
      </c>
      <c r="V14312" s="1">
        <f t="shared" si="285"/>
        <v>0</v>
      </c>
      <c r="W14312" s="1">
        <v>0</v>
      </c>
      <c r="X14312" s="80">
        <v>2.6680000000000001</v>
      </c>
      <c r="Y14312" s="1">
        <v>1</v>
      </c>
      <c r="Z14312" s="11">
        <v>0</v>
      </c>
      <c r="AA14312" s="11">
        <v>0</v>
      </c>
    </row>
    <row r="14313" spans="1:27" ht="15" customHeight="1" x14ac:dyDescent="0.2">
      <c r="A14313" s="1">
        <v>66</v>
      </c>
      <c r="B14313" s="1" t="s">
        <v>166</v>
      </c>
      <c r="C14313" s="1" t="s">
        <v>167</v>
      </c>
      <c r="D14313" s="1">
        <v>2005</v>
      </c>
      <c r="E14313" s="6">
        <v>0</v>
      </c>
      <c r="G14313" s="1">
        <v>0</v>
      </c>
      <c r="H14313" s="1">
        <v>0</v>
      </c>
      <c r="I14313" s="1">
        <v>1.722</v>
      </c>
      <c r="M14313" s="1" t="s">
        <v>677</v>
      </c>
      <c r="P14313" s="1" t="s">
        <v>471</v>
      </c>
      <c r="Q14313" s="1">
        <v>0</v>
      </c>
      <c r="S14313" s="1">
        <v>0</v>
      </c>
      <c r="T14313" s="1">
        <v>0</v>
      </c>
      <c r="V14313" s="1">
        <f t="shared" si="285"/>
        <v>0</v>
      </c>
      <c r="W14313" s="1">
        <v>0</v>
      </c>
      <c r="X14313" s="80">
        <v>3.3660000000000001</v>
      </c>
      <c r="Y14313" s="1">
        <v>1</v>
      </c>
      <c r="Z14313" s="11">
        <v>0</v>
      </c>
      <c r="AA14313" s="11">
        <v>0</v>
      </c>
    </row>
    <row r="14314" spans="1:27" ht="15" customHeight="1" x14ac:dyDescent="0.2">
      <c r="A14314" s="1">
        <v>66</v>
      </c>
      <c r="B14314" s="1" t="s">
        <v>166</v>
      </c>
      <c r="C14314" s="1" t="s">
        <v>167</v>
      </c>
      <c r="D14314" s="1">
        <v>2006</v>
      </c>
      <c r="E14314" s="6">
        <v>0</v>
      </c>
      <c r="G14314" s="1">
        <v>0</v>
      </c>
      <c r="H14314" s="1">
        <v>0</v>
      </c>
      <c r="I14314" s="1">
        <v>1.9630000000000001</v>
      </c>
      <c r="M14314" s="1" t="s">
        <v>677</v>
      </c>
      <c r="P14314" s="1" t="s">
        <v>471</v>
      </c>
      <c r="Q14314" s="1">
        <v>0</v>
      </c>
      <c r="S14314" s="1">
        <v>0</v>
      </c>
      <c r="T14314" s="1">
        <v>0</v>
      </c>
      <c r="V14314" s="1">
        <f t="shared" si="285"/>
        <v>0</v>
      </c>
      <c r="W14314" s="1">
        <v>0</v>
      </c>
      <c r="X14314" s="29">
        <v>3.222</v>
      </c>
      <c r="Y14314" s="1">
        <v>1</v>
      </c>
      <c r="Z14314" s="11">
        <v>0</v>
      </c>
      <c r="AA14314" s="11">
        <v>0</v>
      </c>
    </row>
    <row r="14315" spans="1:27" ht="15" customHeight="1" x14ac:dyDescent="0.2">
      <c r="A14315" s="1">
        <v>66</v>
      </c>
      <c r="B14315" s="1" t="s">
        <v>166</v>
      </c>
      <c r="C14315" s="1" t="s">
        <v>167</v>
      </c>
      <c r="D14315" s="1">
        <v>2007</v>
      </c>
      <c r="E14315" s="5">
        <v>1</v>
      </c>
      <c r="G14315" s="1">
        <v>0</v>
      </c>
      <c r="H14315" s="1">
        <v>0</v>
      </c>
      <c r="I14315" s="1">
        <v>1.9846999999999999</v>
      </c>
      <c r="M14315" s="1" t="s">
        <v>677</v>
      </c>
      <c r="P14315" s="1" t="s">
        <v>471</v>
      </c>
      <c r="Q14315" s="1">
        <v>0</v>
      </c>
      <c r="S14315" s="1">
        <v>0</v>
      </c>
      <c r="T14315" s="1">
        <v>0</v>
      </c>
      <c r="V14315" s="1">
        <f t="shared" si="285"/>
        <v>0</v>
      </c>
      <c r="W14315" s="1">
        <v>0</v>
      </c>
      <c r="X14315" s="29">
        <v>2.871</v>
      </c>
      <c r="Y14315" s="1">
        <v>1</v>
      </c>
      <c r="Z14315" s="11">
        <v>0</v>
      </c>
      <c r="AA14315" s="11">
        <v>0</v>
      </c>
    </row>
    <row r="14316" spans="1:27" ht="15" customHeight="1" x14ac:dyDescent="0.2">
      <c r="A14316" s="1">
        <v>66</v>
      </c>
      <c r="B14316" s="1" t="s">
        <v>166</v>
      </c>
      <c r="C14316" s="1" t="s">
        <v>167</v>
      </c>
      <c r="D14316" s="1">
        <v>2008</v>
      </c>
      <c r="E14316" s="5">
        <v>1</v>
      </c>
      <c r="G14316" s="1">
        <v>0</v>
      </c>
      <c r="H14316" s="1">
        <v>0</v>
      </c>
      <c r="I14316" s="1">
        <v>1.4625999999999999</v>
      </c>
      <c r="M14316" s="1" t="s">
        <v>677</v>
      </c>
      <c r="P14316" s="1" t="s">
        <v>471</v>
      </c>
      <c r="Q14316" s="1">
        <v>0</v>
      </c>
      <c r="S14316" s="1">
        <v>0</v>
      </c>
      <c r="T14316" s="1">
        <v>0</v>
      </c>
      <c r="V14316" s="1">
        <f t="shared" si="285"/>
        <v>0</v>
      </c>
      <c r="W14316" s="1">
        <v>1</v>
      </c>
      <c r="X14316" s="29">
        <v>3.8149999999999999</v>
      </c>
      <c r="Y14316" s="1">
        <v>1</v>
      </c>
      <c r="Z14316" s="11">
        <v>0</v>
      </c>
      <c r="AA14316" s="11">
        <v>0</v>
      </c>
    </row>
    <row r="14317" spans="1:27" ht="15" customHeight="1" x14ac:dyDescent="0.2">
      <c r="A14317" s="1">
        <v>66</v>
      </c>
      <c r="B14317" s="1" t="s">
        <v>166</v>
      </c>
      <c r="C14317" s="1" t="s">
        <v>167</v>
      </c>
      <c r="D14317" s="1">
        <v>2009</v>
      </c>
      <c r="E14317" s="5">
        <v>1</v>
      </c>
      <c r="G14317" s="1">
        <v>0</v>
      </c>
      <c r="H14317" s="1">
        <v>0</v>
      </c>
      <c r="I14317" s="1">
        <v>1.6153999999999999</v>
      </c>
      <c r="M14317" s="1" t="s">
        <v>677</v>
      </c>
      <c r="P14317" s="1" t="s">
        <v>471</v>
      </c>
      <c r="Q14317" s="1">
        <v>0</v>
      </c>
      <c r="S14317" s="1">
        <v>0</v>
      </c>
      <c r="T14317" s="1">
        <v>0</v>
      </c>
      <c r="V14317" s="1">
        <f t="shared" si="285"/>
        <v>0</v>
      </c>
      <c r="W14317" s="1">
        <v>0</v>
      </c>
      <c r="X14317" s="29">
        <v>-0.32</v>
      </c>
      <c r="Y14317" s="1">
        <v>1</v>
      </c>
      <c r="Z14317" s="11">
        <v>0</v>
      </c>
      <c r="AA14317" s="11">
        <v>0</v>
      </c>
    </row>
    <row r="14318" spans="1:27" ht="15" customHeight="1" x14ac:dyDescent="0.2">
      <c r="A14318" s="1">
        <v>66</v>
      </c>
      <c r="B14318" s="1" t="s">
        <v>166</v>
      </c>
      <c r="C14318" s="1" t="s">
        <v>167</v>
      </c>
      <c r="D14318" s="1">
        <v>2010</v>
      </c>
      <c r="E14318" s="5">
        <v>1</v>
      </c>
      <c r="G14318" s="1">
        <v>0</v>
      </c>
      <c r="H14318" s="1">
        <v>0</v>
      </c>
      <c r="I14318" s="1">
        <v>1.5599000000000001</v>
      </c>
      <c r="M14318" s="1" t="s">
        <v>677</v>
      </c>
      <c r="P14318" s="1" t="s">
        <v>471</v>
      </c>
      <c r="Q14318" s="1">
        <v>0</v>
      </c>
      <c r="S14318" s="1">
        <v>0</v>
      </c>
      <c r="T14318" s="1">
        <v>0</v>
      </c>
      <c r="V14318" s="1">
        <f t="shared" si="285"/>
        <v>0</v>
      </c>
      <c r="W14318" s="1">
        <v>0</v>
      </c>
      <c r="X14318" s="29">
        <v>1.6379999999999999</v>
      </c>
      <c r="Y14318" s="1">
        <v>1</v>
      </c>
      <c r="Z14318" s="6">
        <v>0</v>
      </c>
      <c r="AA14318" s="6">
        <v>0</v>
      </c>
    </row>
    <row r="14319" spans="1:27" ht="15" customHeight="1" x14ac:dyDescent="0.2">
      <c r="A14319" s="1">
        <v>66</v>
      </c>
      <c r="B14319" s="1" t="s">
        <v>166</v>
      </c>
      <c r="C14319" s="1" t="s">
        <v>167</v>
      </c>
      <c r="D14319" s="1">
        <v>2011</v>
      </c>
      <c r="E14319" s="11">
        <v>0</v>
      </c>
      <c r="G14319" s="1">
        <v>0</v>
      </c>
      <c r="H14319" s="1">
        <v>0</v>
      </c>
      <c r="I14319" s="1">
        <v>1.5535000000000001</v>
      </c>
      <c r="M14319" s="1" t="s">
        <v>677</v>
      </c>
      <c r="P14319" s="1" t="s">
        <v>471</v>
      </c>
      <c r="Q14319" s="1">
        <v>0</v>
      </c>
      <c r="S14319" s="1">
        <v>0</v>
      </c>
      <c r="T14319" s="1">
        <v>0</v>
      </c>
      <c r="V14319" s="1">
        <f t="shared" si="285"/>
        <v>0</v>
      </c>
      <c r="W14319" s="1">
        <v>0</v>
      </c>
      <c r="X14319" s="29">
        <v>3.1419999999999999</v>
      </c>
      <c r="Y14319" s="1">
        <v>1</v>
      </c>
      <c r="Z14319" s="6">
        <v>0</v>
      </c>
      <c r="AA14319" s="6">
        <v>0</v>
      </c>
    </row>
    <row r="14320" spans="1:27" ht="15" customHeight="1" x14ac:dyDescent="0.25">
      <c r="A14320" s="1">
        <v>66</v>
      </c>
      <c r="B14320" s="1" t="s">
        <v>166</v>
      </c>
      <c r="C14320" s="1" t="s">
        <v>167</v>
      </c>
      <c r="D14320" s="1">
        <v>2012</v>
      </c>
      <c r="E14320" s="11">
        <v>0</v>
      </c>
      <c r="G14320" s="1">
        <v>0</v>
      </c>
      <c r="H14320" s="1">
        <v>0</v>
      </c>
      <c r="I14320" s="1">
        <v>1.6251</v>
      </c>
      <c r="M14320" s="1" t="s">
        <v>677</v>
      </c>
      <c r="P14320" s="1" t="s">
        <v>471</v>
      </c>
      <c r="Q14320" s="1">
        <v>0</v>
      </c>
      <c r="S14320" s="1">
        <v>0</v>
      </c>
      <c r="T14320" s="1">
        <v>0</v>
      </c>
      <c r="V14320" s="1">
        <f t="shared" si="285"/>
        <v>0</v>
      </c>
      <c r="W14320" s="1">
        <v>0</v>
      </c>
      <c r="X14320" s="42">
        <v>2.0779999999999998</v>
      </c>
      <c r="Y14320" s="1">
        <v>1</v>
      </c>
      <c r="Z14320" s="6">
        <v>0</v>
      </c>
      <c r="AA14320" s="6">
        <v>0</v>
      </c>
    </row>
    <row r="14321" spans="1:27" ht="15" customHeight="1" x14ac:dyDescent="0.25">
      <c r="A14321" s="1">
        <v>66</v>
      </c>
      <c r="B14321" s="1" t="s">
        <v>166</v>
      </c>
      <c r="C14321" s="1" t="s">
        <v>167</v>
      </c>
      <c r="D14321" s="1">
        <v>2013</v>
      </c>
      <c r="E14321" s="11">
        <v>0</v>
      </c>
      <c r="G14321" s="1">
        <v>0</v>
      </c>
      <c r="H14321" s="1">
        <v>0</v>
      </c>
      <c r="I14321" s="1">
        <v>1.6556</v>
      </c>
      <c r="M14321" s="1" t="s">
        <v>677</v>
      </c>
      <c r="P14321" s="1" t="s">
        <v>471</v>
      </c>
      <c r="Q14321" s="1">
        <v>0</v>
      </c>
      <c r="S14321" s="1">
        <v>0</v>
      </c>
      <c r="T14321" s="1">
        <v>0</v>
      </c>
      <c r="V14321" s="1">
        <f t="shared" si="285"/>
        <v>0</v>
      </c>
      <c r="W14321" s="1">
        <v>0</v>
      </c>
      <c r="X14321" s="42">
        <v>1.4670000000000001</v>
      </c>
      <c r="Y14321" s="1">
        <v>1</v>
      </c>
      <c r="Z14321" s="6">
        <v>0</v>
      </c>
      <c r="AA14321" s="6">
        <v>0</v>
      </c>
    </row>
    <row r="14322" spans="1:27" ht="15" customHeight="1" x14ac:dyDescent="0.25">
      <c r="A14322" s="1">
        <v>66</v>
      </c>
      <c r="B14322" s="1" t="s">
        <v>166</v>
      </c>
      <c r="C14322" s="1" t="s">
        <v>167</v>
      </c>
      <c r="D14322" s="1">
        <v>2014</v>
      </c>
      <c r="E14322" s="11">
        <v>0</v>
      </c>
      <c r="G14322" s="1">
        <v>0</v>
      </c>
      <c r="H14322" s="1">
        <v>0</v>
      </c>
      <c r="I14322" s="1">
        <v>1.5572999999999999</v>
      </c>
      <c r="M14322" s="1" t="s">
        <v>677</v>
      </c>
      <c r="P14322" s="1" t="s">
        <v>471</v>
      </c>
      <c r="Q14322" s="1">
        <v>0</v>
      </c>
      <c r="S14322" s="1">
        <v>0</v>
      </c>
      <c r="T14322" s="1">
        <v>0</v>
      </c>
      <c r="V14322" s="1">
        <f t="shared" si="285"/>
        <v>0</v>
      </c>
      <c r="W14322" s="1">
        <v>0</v>
      </c>
      <c r="X14322" s="42">
        <v>1.61</v>
      </c>
      <c r="Y14322" s="1">
        <v>1</v>
      </c>
      <c r="Z14322" s="6">
        <v>0</v>
      </c>
      <c r="AA14322" s="6">
        <v>0</v>
      </c>
    </row>
    <row r="14323" spans="1:27" ht="15" customHeight="1" x14ac:dyDescent="0.25">
      <c r="A14323" s="1">
        <v>66</v>
      </c>
      <c r="B14323" s="1" t="s">
        <v>166</v>
      </c>
      <c r="C14323" s="1" t="s">
        <v>167</v>
      </c>
      <c r="D14323" s="1">
        <v>2015</v>
      </c>
      <c r="E14323" s="1" t="s">
        <v>5</v>
      </c>
      <c r="G14323" s="1">
        <v>0</v>
      </c>
      <c r="H14323" s="1">
        <v>0</v>
      </c>
      <c r="I14323" s="1">
        <v>1.4738</v>
      </c>
      <c r="M14323" s="1" t="s">
        <v>677</v>
      </c>
      <c r="P14323" s="1" t="s">
        <v>471</v>
      </c>
      <c r="Q14323" s="1">
        <v>0</v>
      </c>
      <c r="S14323" s="1">
        <v>0</v>
      </c>
      <c r="T14323" s="1">
        <v>0</v>
      </c>
      <c r="V14323" s="1">
        <f t="shared" si="285"/>
        <v>0</v>
      </c>
      <c r="W14323" s="1">
        <v>0</v>
      </c>
      <c r="X14323" s="42">
        <v>0.11799999999999999</v>
      </c>
      <c r="Y14323" s="1">
        <v>1</v>
      </c>
      <c r="Z14323" s="1">
        <v>0</v>
      </c>
    </row>
    <row r="14324" spans="1:27" ht="15" customHeight="1" x14ac:dyDescent="0.25">
      <c r="A14324" s="1">
        <v>66</v>
      </c>
      <c r="B14324" s="1" t="s">
        <v>166</v>
      </c>
      <c r="C14324" s="1" t="s">
        <v>167</v>
      </c>
      <c r="D14324" s="1">
        <v>2016</v>
      </c>
      <c r="E14324" s="1" t="s">
        <v>5</v>
      </c>
      <c r="G14324" s="1">
        <v>0</v>
      </c>
      <c r="H14324" s="1">
        <v>0</v>
      </c>
      <c r="I14324" s="1">
        <v>1.3340000000000001</v>
      </c>
      <c r="M14324" s="1" t="s">
        <v>677</v>
      </c>
      <c r="O14324" s="1" t="s">
        <v>656</v>
      </c>
      <c r="P14324" s="1" t="s">
        <v>685</v>
      </c>
      <c r="Q14324" s="1" t="s">
        <v>5</v>
      </c>
      <c r="S14324" s="1">
        <v>0</v>
      </c>
      <c r="T14324" s="1">
        <v>0</v>
      </c>
      <c r="V14324" s="1">
        <f t="shared" si="285"/>
        <v>0</v>
      </c>
      <c r="W14324" s="1" t="s">
        <v>5</v>
      </c>
      <c r="X14324" s="42">
        <v>0.81699999999999995</v>
      </c>
      <c r="Y14324" s="1">
        <v>1</v>
      </c>
      <c r="Z14324" s="1">
        <v>0</v>
      </c>
    </row>
  </sheetData>
  <autoFilter ref="A2:AA15192"/>
  <sortState ref="A2:BL15191">
    <sortCondition ref="C2:C15191"/>
  </sortState>
  <conditionalFormatting sqref="H131:H143">
    <cfRule type="cellIs" dxfId="476" priority="560" stopIfTrue="1" operator="greaterThanOrEqual">
      <formula>15</formula>
    </cfRule>
  </conditionalFormatting>
  <conditionalFormatting sqref="H144:H216">
    <cfRule type="cellIs" dxfId="475" priority="559" stopIfTrue="1" operator="greaterThanOrEqual">
      <formula>15</formula>
    </cfRule>
  </conditionalFormatting>
  <conditionalFormatting sqref="H217:H218">
    <cfRule type="cellIs" dxfId="474" priority="558" stopIfTrue="1" operator="greaterThanOrEqual">
      <formula>15</formula>
    </cfRule>
  </conditionalFormatting>
  <conditionalFormatting sqref="J36:J151">
    <cfRule type="cellIs" dxfId="473" priority="557" stopIfTrue="1" operator="greaterThanOrEqual">
      <formula>15</formula>
    </cfRule>
  </conditionalFormatting>
  <conditionalFormatting sqref="H354:H360 H344:H352 H313:H335">
    <cfRule type="cellIs" dxfId="472" priority="556" stopIfTrue="1" operator="greaterThanOrEqual">
      <formula>15</formula>
    </cfRule>
  </conditionalFormatting>
  <conditionalFormatting sqref="H361:H433">
    <cfRule type="cellIs" dxfId="471" priority="555" stopIfTrue="1" operator="greaterThanOrEqual">
      <formula>15</formula>
    </cfRule>
  </conditionalFormatting>
  <conditionalFormatting sqref="J402:J419 J343:J369">
    <cfRule type="cellIs" dxfId="470" priority="554" stopIfTrue="1" operator="greaterThanOrEqual">
      <formula>15</formula>
    </cfRule>
  </conditionalFormatting>
  <conditionalFormatting sqref="J370:J401">
    <cfRule type="cellIs" dxfId="469" priority="553" stopIfTrue="1" operator="greaterThanOrEqual">
      <formula>15</formula>
    </cfRule>
  </conditionalFormatting>
  <conditionalFormatting sqref="K343:K394 K417:K434">
    <cfRule type="cellIs" dxfId="468" priority="552" stopIfTrue="1" operator="greaterThanOrEqual">
      <formula>15</formula>
    </cfRule>
  </conditionalFormatting>
  <conditionalFormatting sqref="H565:H577">
    <cfRule type="cellIs" dxfId="467" priority="551" stopIfTrue="1" operator="greaterThanOrEqual">
      <formula>15</formula>
    </cfRule>
  </conditionalFormatting>
  <conditionalFormatting sqref="H578:H650">
    <cfRule type="cellIs" dxfId="466" priority="550" stopIfTrue="1" operator="greaterThanOrEqual">
      <formula>15</formula>
    </cfRule>
  </conditionalFormatting>
  <conditionalFormatting sqref="H651:H652">
    <cfRule type="cellIs" dxfId="465" priority="549" stopIfTrue="1" operator="greaterThanOrEqual">
      <formula>15</formula>
    </cfRule>
  </conditionalFormatting>
  <conditionalFormatting sqref="J619:J626 J628:J643">
    <cfRule type="cellIs" dxfId="464" priority="548" stopIfTrue="1" operator="greaterThanOrEqual">
      <formula>15</formula>
    </cfRule>
  </conditionalFormatting>
  <conditionalFormatting sqref="J652">
    <cfRule type="cellIs" dxfId="463" priority="547" stopIfTrue="1" operator="greaterThanOrEqual">
      <formula>15</formula>
    </cfRule>
  </conditionalFormatting>
  <conditionalFormatting sqref="K519:K538 K584:K644">
    <cfRule type="cellIs" dxfId="462" priority="546" stopIfTrue="1" operator="greaterThanOrEqual">
      <formula>15</formula>
    </cfRule>
  </conditionalFormatting>
  <conditionalFormatting sqref="K645:K646">
    <cfRule type="cellIs" dxfId="461" priority="545" stopIfTrue="1" operator="greaterThanOrEqual">
      <formula>15</formula>
    </cfRule>
  </conditionalFormatting>
  <conditionalFormatting sqref="L519:L538 L639:L643 L626:L636 L615:L624">
    <cfRule type="cellIs" dxfId="460" priority="544" stopIfTrue="1" operator="greaterThanOrEqual">
      <formula>15</formula>
    </cfRule>
  </conditionalFormatting>
  <conditionalFormatting sqref="H771:H794">
    <cfRule type="cellIs" dxfId="459" priority="543" stopIfTrue="1" operator="greaterThanOrEqual">
      <formula>15</formula>
    </cfRule>
  </conditionalFormatting>
  <conditionalFormatting sqref="H795:H867">
    <cfRule type="cellIs" dxfId="458" priority="542" stopIfTrue="1" operator="greaterThanOrEqual">
      <formula>15</formula>
    </cfRule>
  </conditionalFormatting>
  <conditionalFormatting sqref="J771:J794">
    <cfRule type="cellIs" dxfId="457" priority="541" stopIfTrue="1" operator="greaterThanOrEqual">
      <formula>15</formula>
    </cfRule>
  </conditionalFormatting>
  <conditionalFormatting sqref="J795:J867">
    <cfRule type="cellIs" dxfId="456" priority="540" stopIfTrue="1" operator="greaterThanOrEqual">
      <formula>15</formula>
    </cfRule>
  </conditionalFormatting>
  <conditionalFormatting sqref="H964:H986 H995:H1011">
    <cfRule type="cellIs" dxfId="455" priority="539" stopIfTrue="1" operator="greaterThanOrEqual">
      <formula>15</formula>
    </cfRule>
  </conditionalFormatting>
  <conditionalFormatting sqref="H1012:H1084">
    <cfRule type="cellIs" dxfId="454" priority="538" stopIfTrue="1" operator="greaterThanOrEqual">
      <formula>15</formula>
    </cfRule>
  </conditionalFormatting>
  <conditionalFormatting sqref="I887:I1069">
    <cfRule type="cellIs" dxfId="453" priority="537" stopIfTrue="1" operator="greaterThanOrEqual">
      <formula>15</formula>
    </cfRule>
  </conditionalFormatting>
  <conditionalFormatting sqref="J1731:J1735 J1536:J1689">
    <cfRule type="cellIs" dxfId="452" priority="530" stopIfTrue="1" operator="greaterThanOrEqual">
      <formula>15</formula>
    </cfRule>
  </conditionalFormatting>
  <conditionalFormatting sqref="K1536:K1737">
    <cfRule type="cellIs" dxfId="451" priority="529" stopIfTrue="1" operator="greaterThanOrEqual">
      <formula>15</formula>
    </cfRule>
  </conditionalFormatting>
  <conditionalFormatting sqref="K1494:K1518 K1454:K1492">
    <cfRule type="cellIs" dxfId="450" priority="534" stopIfTrue="1" operator="greaterThanOrEqual">
      <formula>15</formula>
    </cfRule>
  </conditionalFormatting>
  <conditionalFormatting sqref="K1370:K1453">
    <cfRule type="cellIs" dxfId="449" priority="533" stopIfTrue="1" operator="greaterThanOrEqual">
      <formula>15</formula>
    </cfRule>
  </conditionalFormatting>
  <conditionalFormatting sqref="L1370:L1454">
    <cfRule type="cellIs" dxfId="448" priority="532" stopIfTrue="1" operator="greaterThanOrEqual">
      <formula>15</formula>
    </cfRule>
  </conditionalFormatting>
  <conditionalFormatting sqref="L1455:L1520">
    <cfRule type="cellIs" dxfId="447" priority="531" stopIfTrue="1" operator="greaterThanOrEqual">
      <formula>15</formula>
    </cfRule>
  </conditionalFormatting>
  <conditionalFormatting sqref="K3038:K3039">
    <cfRule type="cellIs" dxfId="446" priority="516" stopIfTrue="1" operator="greaterThanOrEqual">
      <formula>15</formula>
    </cfRule>
  </conditionalFormatting>
  <conditionalFormatting sqref="L2926:L2972">
    <cfRule type="cellIs" dxfId="445" priority="515" stopIfTrue="1" operator="greaterThanOrEqual">
      <formula>15</formula>
    </cfRule>
  </conditionalFormatting>
  <conditionalFormatting sqref="L1536:L1737">
    <cfRule type="cellIs" dxfId="444" priority="528" stopIfTrue="1" operator="greaterThanOrEqual">
      <formula>15</formula>
    </cfRule>
  </conditionalFormatting>
  <conditionalFormatting sqref="J1799:J1954">
    <cfRule type="cellIs" dxfId="443" priority="527" stopIfTrue="1" operator="greaterThanOrEqual">
      <formula>15</formula>
    </cfRule>
  </conditionalFormatting>
  <conditionalFormatting sqref="I2016:I2043">
    <cfRule type="cellIs" dxfId="442" priority="526" stopIfTrue="1" operator="greaterThanOrEqual">
      <formula>15</formula>
    </cfRule>
  </conditionalFormatting>
  <conditionalFormatting sqref="J2016:J2056">
    <cfRule type="cellIs" dxfId="441" priority="525" stopIfTrue="1" operator="greaterThanOrEqual">
      <formula>15</formula>
    </cfRule>
  </conditionalFormatting>
  <conditionalFormatting sqref="J2205:J2333">
    <cfRule type="cellIs" dxfId="440" priority="524" stopIfTrue="1" operator="greaterThanOrEqual">
      <formula>15</formula>
    </cfRule>
  </conditionalFormatting>
  <conditionalFormatting sqref="K2205:K2302">
    <cfRule type="cellIs" dxfId="439" priority="523" stopIfTrue="1" operator="greaterThanOrEqual">
      <formula>15</formula>
    </cfRule>
  </conditionalFormatting>
  <conditionalFormatting sqref="K2373:K2388">
    <cfRule type="cellIs" dxfId="438" priority="522" stopIfTrue="1" operator="greaterThanOrEqual">
      <formula>15</formula>
    </cfRule>
  </conditionalFormatting>
  <conditionalFormatting sqref="L2205:L2320">
    <cfRule type="cellIs" dxfId="437" priority="521" stopIfTrue="1" operator="greaterThanOrEqual">
      <formula>15</formula>
    </cfRule>
  </conditionalFormatting>
  <conditionalFormatting sqref="L2373:L2388">
    <cfRule type="cellIs" dxfId="436" priority="520" stopIfTrue="1" operator="greaterThanOrEqual">
      <formula>15</formula>
    </cfRule>
  </conditionalFormatting>
  <conditionalFormatting sqref="I2440:I2512 I2539:I2549">
    <cfRule type="cellIs" dxfId="435" priority="519" stopIfTrue="1" operator="greaterThanOrEqual">
      <formula>15</formula>
    </cfRule>
  </conditionalFormatting>
  <conditionalFormatting sqref="K2926:K2970">
    <cfRule type="cellIs" dxfId="434" priority="518" stopIfTrue="1" operator="greaterThanOrEqual">
      <formula>15</formula>
    </cfRule>
  </conditionalFormatting>
  <conditionalFormatting sqref="K3024:K3037">
    <cfRule type="cellIs" dxfId="433" priority="517" stopIfTrue="1" operator="greaterThanOrEqual">
      <formula>15</formula>
    </cfRule>
  </conditionalFormatting>
  <conditionalFormatting sqref="H4990">
    <cfRule type="cellIs" dxfId="432" priority="505" stopIfTrue="1" operator="greaterThanOrEqual">
      <formula>15</formula>
    </cfRule>
  </conditionalFormatting>
  <conditionalFormatting sqref="H4917:H4989">
    <cfRule type="cellIs" dxfId="431" priority="504" stopIfTrue="1" operator="greaterThanOrEqual">
      <formula>15</formula>
    </cfRule>
  </conditionalFormatting>
  <conditionalFormatting sqref="L3024:L3037">
    <cfRule type="cellIs" dxfId="430" priority="514" stopIfTrue="1" operator="greaterThanOrEqual">
      <formula>15</formula>
    </cfRule>
  </conditionalFormatting>
  <conditionalFormatting sqref="L3038:L3039">
    <cfRule type="cellIs" dxfId="429" priority="513" stopIfTrue="1" operator="greaterThanOrEqual">
      <formula>15</formula>
    </cfRule>
  </conditionalFormatting>
  <conditionalFormatting sqref="H11862:H11934">
    <cfRule type="cellIs" dxfId="428" priority="449" stopIfTrue="1" operator="greaterThanOrEqual">
      <formula>15</formula>
    </cfRule>
  </conditionalFormatting>
  <conditionalFormatting sqref="H5335:H5351 H5304:H5326">
    <cfRule type="cellIs" dxfId="427" priority="501" stopIfTrue="1" operator="greaterThanOrEqual">
      <formula>15</formula>
    </cfRule>
  </conditionalFormatting>
  <conditionalFormatting sqref="H11935:H11936">
    <cfRule type="cellIs" dxfId="426" priority="448" stopIfTrue="1" operator="greaterThanOrEqual">
      <formula>15</formula>
    </cfRule>
  </conditionalFormatting>
  <conditionalFormatting sqref="H5352:H5426 H5428">
    <cfRule type="cellIs" dxfId="425" priority="500" stopIfTrue="1" operator="greaterThanOrEqual">
      <formula>15</formula>
    </cfRule>
  </conditionalFormatting>
  <conditionalFormatting sqref="H4870:H4892 H4901:H4916">
    <cfRule type="cellIs" dxfId="424" priority="506" stopIfTrue="1" operator="greaterThanOrEqual">
      <formula>15</formula>
    </cfRule>
  </conditionalFormatting>
  <conditionalFormatting sqref="H5521:H5543 H5552:H5568">
    <cfRule type="cellIs" dxfId="423" priority="499" stopIfTrue="1" operator="greaterThanOrEqual">
      <formula>15</formula>
    </cfRule>
  </conditionalFormatting>
  <conditionalFormatting sqref="H5569:H5641">
    <cfRule type="cellIs" dxfId="422" priority="498" stopIfTrue="1" operator="greaterThanOrEqual">
      <formula>15</formula>
    </cfRule>
  </conditionalFormatting>
  <conditionalFormatting sqref="H5738:H5760 H5769:H5785">
    <cfRule type="cellIs" dxfId="421" priority="497" stopIfTrue="1" operator="greaterThanOrEqual">
      <formula>15</formula>
    </cfRule>
  </conditionalFormatting>
  <conditionalFormatting sqref="H5786:H5858">
    <cfRule type="cellIs" dxfId="420" priority="496" stopIfTrue="1" operator="greaterThanOrEqual">
      <formula>15</formula>
    </cfRule>
  </conditionalFormatting>
  <conditionalFormatting sqref="H5859:H5860">
    <cfRule type="cellIs" dxfId="419" priority="495" stopIfTrue="1" operator="greaterThanOrEqual">
      <formula>15</formula>
    </cfRule>
  </conditionalFormatting>
  <conditionalFormatting sqref="H5955:H5977 H5986:H6002">
    <cfRule type="cellIs" dxfId="418" priority="494" stopIfTrue="1" operator="greaterThanOrEqual">
      <formula>15</formula>
    </cfRule>
  </conditionalFormatting>
  <conditionalFormatting sqref="H6003:H6075">
    <cfRule type="cellIs" dxfId="417" priority="493" stopIfTrue="1" operator="greaterThanOrEqual">
      <formula>15</formula>
    </cfRule>
  </conditionalFormatting>
  <conditionalFormatting sqref="H6076:H6077">
    <cfRule type="cellIs" dxfId="416" priority="492" stopIfTrue="1" operator="greaterThanOrEqual">
      <formula>15</formula>
    </cfRule>
  </conditionalFormatting>
  <conditionalFormatting sqref="I6808:I6928">
    <cfRule type="cellIs" dxfId="415" priority="491" stopIfTrue="1" operator="greaterThanOrEqual">
      <formula>15</formula>
    </cfRule>
  </conditionalFormatting>
  <conditionalFormatting sqref="H9024:H9040">
    <cfRule type="cellIs" dxfId="414" priority="490" stopIfTrue="1" operator="greaterThanOrEqual">
      <formula>15</formula>
    </cfRule>
  </conditionalFormatting>
  <conditionalFormatting sqref="H9041:H9115">
    <cfRule type="cellIs" dxfId="413" priority="489" stopIfTrue="1" operator="greaterThanOrEqual">
      <formula>15</formula>
    </cfRule>
  </conditionalFormatting>
  <conditionalFormatting sqref="H9241:H9257">
    <cfRule type="cellIs" dxfId="412" priority="488" stopIfTrue="1" operator="greaterThanOrEqual">
      <formula>15</formula>
    </cfRule>
  </conditionalFormatting>
  <conditionalFormatting sqref="H9258:H9332">
    <cfRule type="cellIs" dxfId="411" priority="487" stopIfTrue="1" operator="greaterThanOrEqual">
      <formula>15</formula>
    </cfRule>
  </conditionalFormatting>
  <conditionalFormatting sqref="H9427:H9449 H9458:H9474">
    <cfRule type="cellIs" dxfId="410" priority="486" stopIfTrue="1" operator="greaterThanOrEqual">
      <formula>15</formula>
    </cfRule>
  </conditionalFormatting>
  <conditionalFormatting sqref="H9475:H9547">
    <cfRule type="cellIs" dxfId="409" priority="485" stopIfTrue="1" operator="greaterThanOrEqual">
      <formula>15</formula>
    </cfRule>
  </conditionalFormatting>
  <conditionalFormatting sqref="H9548:H9549">
    <cfRule type="cellIs" dxfId="408" priority="484" stopIfTrue="1" operator="greaterThanOrEqual">
      <formula>15</formula>
    </cfRule>
  </conditionalFormatting>
  <conditionalFormatting sqref="H9892:H9908">
    <cfRule type="cellIs" dxfId="407" priority="483" stopIfTrue="1" operator="greaterThanOrEqual">
      <formula>15</formula>
    </cfRule>
  </conditionalFormatting>
  <conditionalFormatting sqref="H9909:H9981">
    <cfRule type="cellIs" dxfId="406" priority="482" stopIfTrue="1" operator="greaterThanOrEqual">
      <formula>15</formula>
    </cfRule>
  </conditionalFormatting>
  <conditionalFormatting sqref="H9982:H9983">
    <cfRule type="cellIs" dxfId="405" priority="481" stopIfTrue="1" operator="greaterThanOrEqual">
      <formula>15</formula>
    </cfRule>
  </conditionalFormatting>
  <conditionalFormatting sqref="H10295:H10317 H10326:H10342">
    <cfRule type="cellIs" dxfId="404" priority="480" stopIfTrue="1" operator="greaterThanOrEqual">
      <formula>15</formula>
    </cfRule>
  </conditionalFormatting>
  <conditionalFormatting sqref="H10343:H10415">
    <cfRule type="cellIs" dxfId="403" priority="479" stopIfTrue="1" operator="greaterThanOrEqual">
      <formula>15</formula>
    </cfRule>
  </conditionalFormatting>
  <conditionalFormatting sqref="H10416:H10417">
    <cfRule type="cellIs" dxfId="402" priority="478" stopIfTrue="1" operator="greaterThanOrEqual">
      <formula>15</formula>
    </cfRule>
  </conditionalFormatting>
  <conditionalFormatting sqref="H10543:H10551 H10523:H10534 H10553:H10559">
    <cfRule type="cellIs" dxfId="401" priority="477" stopIfTrue="1" operator="greaterThanOrEqual">
      <formula>15</formula>
    </cfRule>
  </conditionalFormatting>
  <conditionalFormatting sqref="H10560:H10634">
    <cfRule type="cellIs" dxfId="400" priority="476" stopIfTrue="1" operator="greaterThanOrEqual">
      <formula>15</formula>
    </cfRule>
  </conditionalFormatting>
  <conditionalFormatting sqref="H10740:H10751 H10770:H10776 H10760:H10768">
    <cfRule type="cellIs" dxfId="399" priority="475" stopIfTrue="1" operator="greaterThanOrEqual">
      <formula>15</formula>
    </cfRule>
  </conditionalFormatting>
  <conditionalFormatting sqref="H10777:H10851">
    <cfRule type="cellIs" dxfId="398" priority="474" stopIfTrue="1" operator="greaterThanOrEqual">
      <formula>15</formula>
    </cfRule>
  </conditionalFormatting>
  <conditionalFormatting sqref="H10946:H10993">
    <cfRule type="cellIs" dxfId="397" priority="473" stopIfTrue="1" operator="greaterThanOrEqual">
      <formula>15</formula>
    </cfRule>
  </conditionalFormatting>
  <conditionalFormatting sqref="H10994:H11066">
    <cfRule type="cellIs" dxfId="396" priority="472" stopIfTrue="1" operator="greaterThanOrEqual">
      <formula>15</formula>
    </cfRule>
  </conditionalFormatting>
  <conditionalFormatting sqref="H11067:H11068">
    <cfRule type="cellIs" dxfId="395" priority="471" stopIfTrue="1" operator="greaterThanOrEqual">
      <formula>15</formula>
    </cfRule>
  </conditionalFormatting>
  <conditionalFormatting sqref="H11163:H11185 H11194:H11202 H11204:H11210">
    <cfRule type="cellIs" dxfId="394" priority="470" stopIfTrue="1" operator="greaterThanOrEqual">
      <formula>15</formula>
    </cfRule>
  </conditionalFormatting>
  <conditionalFormatting sqref="H11211:H11283">
    <cfRule type="cellIs" dxfId="393" priority="469" stopIfTrue="1" operator="greaterThanOrEqual">
      <formula>15</formula>
    </cfRule>
  </conditionalFormatting>
  <conditionalFormatting sqref="H11284:H11285">
    <cfRule type="cellIs" dxfId="392" priority="468" stopIfTrue="1" operator="greaterThanOrEqual">
      <formula>15</formula>
    </cfRule>
  </conditionalFormatting>
  <conditionalFormatting sqref="K11271:K11276">
    <cfRule type="cellIs" dxfId="391" priority="467" stopIfTrue="1" operator="greaterThanOrEqual">
      <formula>15</formula>
    </cfRule>
  </conditionalFormatting>
  <conditionalFormatting sqref="J11270:J11276">
    <cfRule type="cellIs" dxfId="390" priority="466" stopIfTrue="1" operator="greaterThanOrEqual">
      <formula>15</formula>
    </cfRule>
  </conditionalFormatting>
  <conditionalFormatting sqref="H11411:H11427 H11380:H11402">
    <cfRule type="cellIs" dxfId="389" priority="465" stopIfTrue="1" operator="greaterThanOrEqual">
      <formula>15</formula>
    </cfRule>
  </conditionalFormatting>
  <conditionalFormatting sqref="H11428:H11500">
    <cfRule type="cellIs" dxfId="388" priority="464" stopIfTrue="1" operator="greaterThanOrEqual">
      <formula>15</formula>
    </cfRule>
  </conditionalFormatting>
  <conditionalFormatting sqref="H11501:H11502">
    <cfRule type="cellIs" dxfId="387" priority="463" stopIfTrue="1" operator="greaterThanOrEqual">
      <formula>15</formula>
    </cfRule>
  </conditionalFormatting>
  <conditionalFormatting sqref="H11628:H11644 H11597:H11619">
    <cfRule type="cellIs" dxfId="386" priority="453" stopIfTrue="1" operator="greaterThanOrEqual">
      <formula>15</formula>
    </cfRule>
  </conditionalFormatting>
  <conditionalFormatting sqref="H11645:H11717">
    <cfRule type="cellIs" dxfId="385" priority="452" stopIfTrue="1" operator="greaterThanOrEqual">
      <formula>15</formula>
    </cfRule>
  </conditionalFormatting>
  <conditionalFormatting sqref="H11718:H11719">
    <cfRule type="cellIs" dxfId="384" priority="451" stopIfTrue="1" operator="greaterThanOrEqual">
      <formula>15</formula>
    </cfRule>
  </conditionalFormatting>
  <conditionalFormatting sqref="H11814:H11836 H11845:H11861">
    <cfRule type="cellIs" dxfId="383" priority="450" stopIfTrue="1" operator="greaterThanOrEqual">
      <formula>15</formula>
    </cfRule>
  </conditionalFormatting>
  <conditionalFormatting sqref="H12062:H12078">
    <cfRule type="cellIs" dxfId="382" priority="447" stopIfTrue="1" operator="greaterThanOrEqual">
      <formula>15</formula>
    </cfRule>
  </conditionalFormatting>
  <conditionalFormatting sqref="H12079:H12151">
    <cfRule type="cellIs" dxfId="381" priority="446" stopIfTrue="1" operator="greaterThanOrEqual">
      <formula>15</formula>
    </cfRule>
  </conditionalFormatting>
  <conditionalFormatting sqref="H12152:H12153">
    <cfRule type="cellIs" dxfId="380" priority="445" stopIfTrue="1" operator="greaterThanOrEqual">
      <formula>15</formula>
    </cfRule>
  </conditionalFormatting>
  <conditionalFormatting sqref="I12178:I12256">
    <cfRule type="cellIs" dxfId="379" priority="444" stopIfTrue="1" operator="greaterThanOrEqual">
      <formula>15</formula>
    </cfRule>
  </conditionalFormatting>
  <conditionalFormatting sqref="H12496:H12512">
    <cfRule type="cellIs" dxfId="378" priority="443" stopIfTrue="1" operator="greaterThanOrEqual">
      <formula>15</formula>
    </cfRule>
  </conditionalFormatting>
  <conditionalFormatting sqref="H12513:H12585">
    <cfRule type="cellIs" dxfId="377" priority="442" stopIfTrue="1" operator="greaterThanOrEqual">
      <formula>15</formula>
    </cfRule>
  </conditionalFormatting>
  <conditionalFormatting sqref="H12586:H12587">
    <cfRule type="cellIs" dxfId="376" priority="441" stopIfTrue="1" operator="greaterThanOrEqual">
      <formula>15</formula>
    </cfRule>
  </conditionalFormatting>
  <conditionalFormatting sqref="H12713:H12729">
    <cfRule type="cellIs" dxfId="375" priority="440" stopIfTrue="1" operator="greaterThanOrEqual">
      <formula>15</formula>
    </cfRule>
  </conditionalFormatting>
  <conditionalFormatting sqref="I12822:I13006">
    <cfRule type="cellIs" dxfId="374" priority="439" stopIfTrue="1" operator="greaterThanOrEqual">
      <formula>15</formula>
    </cfRule>
  </conditionalFormatting>
  <conditionalFormatting sqref="H13364:H13380">
    <cfRule type="cellIs" dxfId="373" priority="438" stopIfTrue="1" operator="greaterThanOrEqual">
      <formula>15</formula>
    </cfRule>
  </conditionalFormatting>
  <conditionalFormatting sqref="H13381:H13453">
    <cfRule type="cellIs" dxfId="372" priority="437" stopIfTrue="1" operator="greaterThanOrEqual">
      <formula>15</formula>
    </cfRule>
  </conditionalFormatting>
  <conditionalFormatting sqref="H13454:H13455">
    <cfRule type="cellIs" dxfId="371" priority="436" stopIfTrue="1" operator="greaterThanOrEqual">
      <formula>15</formula>
    </cfRule>
  </conditionalFormatting>
  <conditionalFormatting sqref="H13581:H13597">
    <cfRule type="cellIs" dxfId="370" priority="435" stopIfTrue="1" operator="greaterThanOrEqual">
      <formula>15</formula>
    </cfRule>
  </conditionalFormatting>
  <conditionalFormatting sqref="H13598:H13670">
    <cfRule type="cellIs" dxfId="369" priority="434" stopIfTrue="1" operator="greaterThanOrEqual">
      <formula>15</formula>
    </cfRule>
  </conditionalFormatting>
  <conditionalFormatting sqref="H13671:H13672">
    <cfRule type="cellIs" dxfId="368" priority="433" stopIfTrue="1" operator="greaterThanOrEqual">
      <formula>15</formula>
    </cfRule>
  </conditionalFormatting>
  <conditionalFormatting sqref="H14015:H14031">
    <cfRule type="cellIs" dxfId="367" priority="432" stopIfTrue="1" operator="greaterThanOrEqual">
      <formula>15</formula>
    </cfRule>
  </conditionalFormatting>
  <conditionalFormatting sqref="H14032:H14103">
    <cfRule type="cellIs" dxfId="366" priority="431" stopIfTrue="1" operator="greaterThanOrEqual">
      <formula>15</formula>
    </cfRule>
  </conditionalFormatting>
  <conditionalFormatting sqref="I14091:I14097">
    <cfRule type="cellIs" dxfId="365" priority="430" stopIfTrue="1" operator="greaterThanOrEqual">
      <formula>15</formula>
    </cfRule>
  </conditionalFormatting>
  <conditionalFormatting sqref="H14232:H14248">
    <cfRule type="cellIs" dxfId="364" priority="429" stopIfTrue="1" operator="greaterThanOrEqual">
      <formula>15</formula>
    </cfRule>
  </conditionalFormatting>
  <conditionalFormatting sqref="H14249:H14319 H14322:H14324">
    <cfRule type="cellIs" dxfId="363" priority="428" stopIfTrue="1" operator="greaterThanOrEqual">
      <formula>15</formula>
    </cfRule>
  </conditionalFormatting>
  <conditionalFormatting sqref="I14308:I14314">
    <cfRule type="cellIs" dxfId="362" priority="427" stopIfTrue="1" operator="greaterThanOrEqual">
      <formula>15</formula>
    </cfRule>
  </conditionalFormatting>
  <conditionalFormatting sqref="H5427">
    <cfRule type="cellIs" dxfId="361" priority="426" stopIfTrue="1" operator="greaterThanOrEqual">
      <formula>15</formula>
    </cfRule>
  </conditionalFormatting>
  <conditionalFormatting sqref="H5861">
    <cfRule type="cellIs" dxfId="360" priority="425" stopIfTrue="1" operator="greaterThanOrEqual">
      <formula>15</formula>
    </cfRule>
  </conditionalFormatting>
  <conditionalFormatting sqref="H14325">
    <cfRule type="cellIs" dxfId="359" priority="424" stopIfTrue="1" operator="greaterThanOrEqual">
      <formula>15</formula>
    </cfRule>
  </conditionalFormatting>
  <conditionalFormatting sqref="K887:K1071">
    <cfRule type="cellIs" dxfId="358" priority="423" stopIfTrue="1" operator="greaterThanOrEqual">
      <formula>15</formula>
    </cfRule>
  </conditionalFormatting>
  <conditionalFormatting sqref="E1778 E1806 E1813">
    <cfRule type="cellIs" dxfId="357" priority="422" stopIfTrue="1" operator="greaterThanOrEqual">
      <formula>15</formula>
    </cfRule>
  </conditionalFormatting>
  <conditionalFormatting sqref="E1779">
    <cfRule type="cellIs" dxfId="356" priority="421" stopIfTrue="1" operator="greaterThanOrEqual">
      <formula>15</formula>
    </cfRule>
  </conditionalFormatting>
  <conditionalFormatting sqref="E3872:E3893">
    <cfRule type="cellIs" dxfId="355" priority="420" stopIfTrue="1" operator="greaterThanOrEqual">
      <formula>15</formula>
    </cfRule>
  </conditionalFormatting>
  <conditionalFormatting sqref="E4127:E4341">
    <cfRule type="cellIs" dxfId="354" priority="419" stopIfTrue="1" operator="greaterThanOrEqual">
      <formula>15</formula>
    </cfRule>
  </conditionalFormatting>
  <conditionalFormatting sqref="E4524:E4553 E4465 E4475 E4483">
    <cfRule type="cellIs" dxfId="353" priority="418" stopIfTrue="1" operator="greaterThanOrEqual">
      <formula>15</formula>
    </cfRule>
  </conditionalFormatting>
  <conditionalFormatting sqref="E4444">
    <cfRule type="cellIs" dxfId="352" priority="417" stopIfTrue="1" operator="greaterThanOrEqual">
      <formula>15</formula>
    </cfRule>
  </conditionalFormatting>
  <conditionalFormatting sqref="E4566 E4563 E4650 E4755:E4756 E4691:E4693 E4668 E4642:E4643">
    <cfRule type="cellIs" dxfId="351" priority="416" stopIfTrue="1" operator="greaterThanOrEqual">
      <formula>15</formula>
    </cfRule>
  </conditionalFormatting>
  <conditionalFormatting sqref="E4588:E4589">
    <cfRule type="cellIs" dxfId="350" priority="415" stopIfTrue="1" operator="greaterThanOrEqual">
      <formula>15</formula>
    </cfRule>
  </conditionalFormatting>
  <conditionalFormatting sqref="E4599:E4600">
    <cfRule type="cellIs" dxfId="349" priority="414" stopIfTrue="1" operator="greaterThanOrEqual">
      <formula>15</formula>
    </cfRule>
  </conditionalFormatting>
  <conditionalFormatting sqref="E4609">
    <cfRule type="cellIs" dxfId="348" priority="413" stopIfTrue="1" operator="greaterThanOrEqual">
      <formula>15</formula>
    </cfRule>
  </conditionalFormatting>
  <conditionalFormatting sqref="E4628:E4629">
    <cfRule type="cellIs" dxfId="347" priority="412" stopIfTrue="1" operator="greaterThanOrEqual">
      <formula>15</formula>
    </cfRule>
  </conditionalFormatting>
  <conditionalFormatting sqref="E4567">
    <cfRule type="cellIs" dxfId="346" priority="411" stopIfTrue="1" operator="greaterThanOrEqual">
      <formula>15</formula>
    </cfRule>
  </conditionalFormatting>
  <conditionalFormatting sqref="E5175:E5204">
    <cfRule type="cellIs" dxfId="345" priority="410" stopIfTrue="1" operator="greaterThanOrEqual">
      <formula>15</formula>
    </cfRule>
  </conditionalFormatting>
  <conditionalFormatting sqref="E5343 E5403:E5412">
    <cfRule type="cellIs" dxfId="344" priority="408" stopIfTrue="1" operator="greaterThanOrEqual">
      <formula>15</formula>
    </cfRule>
  </conditionalFormatting>
  <conditionalFormatting sqref="E5345:E5402">
    <cfRule type="cellIs" dxfId="343" priority="409" stopIfTrue="1" operator="equal">
      <formula>1</formula>
    </cfRule>
  </conditionalFormatting>
  <conditionalFormatting sqref="E5344">
    <cfRule type="cellIs" dxfId="342" priority="407" stopIfTrue="1" operator="greaterThanOrEqual">
      <formula>15</formula>
    </cfRule>
  </conditionalFormatting>
  <conditionalFormatting sqref="E5635 E5630 E5619">
    <cfRule type="cellIs" dxfId="341" priority="406" stopIfTrue="1" operator="greaterThanOrEqual">
      <formula>15</formula>
    </cfRule>
  </conditionalFormatting>
  <conditionalFormatting sqref="E5845 E5847:E5848">
    <cfRule type="cellIs" dxfId="340" priority="405" stopIfTrue="1" operator="greaterThanOrEqual">
      <formula>15</formula>
    </cfRule>
  </conditionalFormatting>
  <conditionalFormatting sqref="E6414:E6417 E6420:E6425 E6429:E6443 E6297:E6359 E6364:E6404 E6406:E6409 E6446:E6496">
    <cfRule type="cellIs" dxfId="339" priority="404" stopIfTrue="1" operator="greaterThanOrEqual">
      <formula>15</formula>
    </cfRule>
  </conditionalFormatting>
  <conditionalFormatting sqref="E6410">
    <cfRule type="cellIs" dxfId="338" priority="403" stopIfTrue="1" operator="greaterThanOrEqual">
      <formula>15</formula>
    </cfRule>
  </conditionalFormatting>
  <conditionalFormatting sqref="E7995:E8021">
    <cfRule type="cellIs" dxfId="337" priority="392" stopIfTrue="1" operator="greaterThanOrEqual">
      <formula>15</formula>
    </cfRule>
  </conditionalFormatting>
  <conditionalFormatting sqref="E6080:E6264 E6267:E6272 E6274:E6286">
    <cfRule type="cellIs" dxfId="336" priority="402" stopIfTrue="1" operator="greaterThanOrEqual">
      <formula>15</formula>
    </cfRule>
  </conditionalFormatting>
  <conditionalFormatting sqref="E6273">
    <cfRule type="cellIs" dxfId="335" priority="401" stopIfTrue="1" operator="greaterThanOrEqual">
      <formula>15</formula>
    </cfRule>
  </conditionalFormatting>
  <conditionalFormatting sqref="E7014 E7038:E7146 E7016:E7036">
    <cfRule type="cellIs" dxfId="334" priority="400" stopIfTrue="1" operator="greaterThanOrEqual">
      <formula>15</formula>
    </cfRule>
  </conditionalFormatting>
  <conditionalFormatting sqref="E7156:E7159">
    <cfRule type="cellIs" dxfId="333" priority="399" stopIfTrue="1" operator="greaterThanOrEqual">
      <formula>15</formula>
    </cfRule>
  </conditionalFormatting>
  <conditionalFormatting sqref="E7015">
    <cfRule type="cellIs" dxfId="332" priority="398" stopIfTrue="1" operator="greaterThanOrEqual">
      <formula>15</formula>
    </cfRule>
  </conditionalFormatting>
  <conditionalFormatting sqref="E7037">
    <cfRule type="cellIs" dxfId="331" priority="397" stopIfTrue="1" operator="greaterThanOrEqual">
      <formula>15</formula>
    </cfRule>
  </conditionalFormatting>
  <conditionalFormatting sqref="E7160">
    <cfRule type="cellIs" dxfId="330" priority="396" stopIfTrue="1" operator="greaterThanOrEqual">
      <formula>15</formula>
    </cfRule>
  </conditionalFormatting>
  <conditionalFormatting sqref="E7161:E7162">
    <cfRule type="cellIs" dxfId="329" priority="395" stopIfTrue="1" operator="greaterThanOrEqual">
      <formula>15</formula>
    </cfRule>
  </conditionalFormatting>
  <conditionalFormatting sqref="E7165:E7366">
    <cfRule type="cellIs" dxfId="328" priority="394" stopIfTrue="1" operator="greaterThanOrEqual">
      <formula>15</formula>
    </cfRule>
  </conditionalFormatting>
  <conditionalFormatting sqref="E14760:E14965">
    <cfRule type="cellIs" dxfId="327" priority="336" stopIfTrue="1" operator="greaterThanOrEqual">
      <formula>15</formula>
    </cfRule>
  </conditionalFormatting>
  <conditionalFormatting sqref="E7816:E7994">
    <cfRule type="cellIs" dxfId="326" priority="393" stopIfTrue="1" operator="equal">
      <formula>1</formula>
    </cfRule>
  </conditionalFormatting>
  <conditionalFormatting sqref="E8451:E8455">
    <cfRule type="cellIs" dxfId="325" priority="388" stopIfTrue="1" operator="greaterThanOrEqual">
      <formula>15</formula>
    </cfRule>
  </conditionalFormatting>
  <conditionalFormatting sqref="E8449:E8450">
    <cfRule type="cellIs" dxfId="324" priority="387" stopIfTrue="1" operator="greaterThanOrEqual">
      <formula>15</formula>
    </cfRule>
  </conditionalFormatting>
  <conditionalFormatting sqref="E8448">
    <cfRule type="cellIs" dxfId="323" priority="386" stopIfTrue="1" operator="greaterThanOrEqual">
      <formula>15</formula>
    </cfRule>
  </conditionalFormatting>
  <conditionalFormatting sqref="E8998:E9111">
    <cfRule type="cellIs" dxfId="322" priority="385" stopIfTrue="1" operator="greaterThanOrEqual">
      <formula>15</formula>
    </cfRule>
  </conditionalFormatting>
  <conditionalFormatting sqref="E9112">
    <cfRule type="cellIs" dxfId="321" priority="384" stopIfTrue="1" operator="greaterThanOrEqual">
      <formula>15</formula>
    </cfRule>
  </conditionalFormatting>
  <conditionalFormatting sqref="E9114:E9115">
    <cfRule type="cellIs" dxfId="320" priority="382" stopIfTrue="1" operator="greaterThanOrEqual">
      <formula>15</formula>
    </cfRule>
  </conditionalFormatting>
  <conditionalFormatting sqref="E9113">
    <cfRule type="cellIs" dxfId="319" priority="383" stopIfTrue="1" operator="greaterThanOrEqual">
      <formula>15</formula>
    </cfRule>
  </conditionalFormatting>
  <conditionalFormatting sqref="E9211">
    <cfRule type="cellIs" dxfId="318" priority="381" stopIfTrue="1" operator="greaterThanOrEqual">
      <formula>15</formula>
    </cfRule>
  </conditionalFormatting>
  <conditionalFormatting sqref="E9335:E9521">
    <cfRule type="cellIs" dxfId="317" priority="380" stopIfTrue="1" operator="greaterThanOrEqual">
      <formula>15</formula>
    </cfRule>
  </conditionalFormatting>
  <conditionalFormatting sqref="E9552:E9752">
    <cfRule type="cellIs" dxfId="316" priority="379" stopIfTrue="1" operator="greaterThanOrEqual">
      <formula>15</formula>
    </cfRule>
  </conditionalFormatting>
  <conditionalFormatting sqref="E9761:E9766">
    <cfRule type="cellIs" dxfId="315" priority="378" stopIfTrue="1" operator="greaterThanOrEqual">
      <formula>15</formula>
    </cfRule>
  </conditionalFormatting>
  <conditionalFormatting sqref="E9956:E9962">
    <cfRule type="cellIs" dxfId="314" priority="377" stopIfTrue="1" operator="greaterThanOrEqual">
      <formula>15</formula>
    </cfRule>
  </conditionalFormatting>
  <conditionalFormatting sqref="E10176:E10194 E9986:E10167">
    <cfRule type="cellIs" dxfId="313" priority="376" stopIfTrue="1" operator="equal">
      <formula>1</formula>
    </cfRule>
  </conditionalFormatting>
  <conditionalFormatting sqref="E10203:E10408">
    <cfRule type="cellIs" dxfId="312" priority="375" stopIfTrue="1" operator="greaterThanOrEqual">
      <formula>15</formula>
    </cfRule>
  </conditionalFormatting>
  <conditionalFormatting sqref="E10818:E10836">
    <cfRule type="cellIs" dxfId="311" priority="374" stopIfTrue="1" operator="greaterThanOrEqual">
      <formula>15</formula>
    </cfRule>
  </conditionalFormatting>
  <conditionalFormatting sqref="E10988 E10985:E10986 E11033:E11059">
    <cfRule type="cellIs" dxfId="310" priority="373" stopIfTrue="1" operator="greaterThanOrEqual">
      <formula>15</formula>
    </cfRule>
  </conditionalFormatting>
  <conditionalFormatting sqref="E11117:E11118 E11161 E11099 E11163:E11281">
    <cfRule type="cellIs" dxfId="309" priority="372" stopIfTrue="1" operator="greaterThanOrEqual">
      <formula>15</formula>
    </cfRule>
  </conditionalFormatting>
  <conditionalFormatting sqref="E11282:E11283">
    <cfRule type="cellIs" dxfId="308" priority="371" stopIfTrue="1" operator="greaterThanOrEqual">
      <formula>15</formula>
    </cfRule>
  </conditionalFormatting>
  <conditionalFormatting sqref="E11284:E11285">
    <cfRule type="cellIs" dxfId="307" priority="370" stopIfTrue="1" operator="greaterThanOrEqual">
      <formula>15</formula>
    </cfRule>
  </conditionalFormatting>
  <conditionalFormatting sqref="E11420:E11466">
    <cfRule type="cellIs" dxfId="306" priority="369" stopIfTrue="1" operator="equal">
      <formula>1</formula>
    </cfRule>
  </conditionalFormatting>
  <conditionalFormatting sqref="E11705:E11710">
    <cfRule type="cellIs" dxfId="305" priority="368" stopIfTrue="1" operator="greaterThanOrEqual">
      <formula>15</formula>
    </cfRule>
  </conditionalFormatting>
  <conditionalFormatting sqref="E11722:E11936">
    <cfRule type="cellIs" dxfId="304" priority="367" stopIfTrue="1" operator="greaterThanOrEqual">
      <formula>15</formula>
    </cfRule>
  </conditionalFormatting>
  <conditionalFormatting sqref="E12118:E12127 E12129:E12148">
    <cfRule type="cellIs" dxfId="303" priority="366" stopIfTrue="1" operator="greaterThanOrEqual">
      <formula>15</formula>
    </cfRule>
  </conditionalFormatting>
  <conditionalFormatting sqref="E12552:E12578">
    <cfRule type="cellIs" dxfId="302" priority="365" stopIfTrue="1" operator="greaterThanOrEqual">
      <formula>15</formula>
    </cfRule>
  </conditionalFormatting>
  <conditionalFormatting sqref="E12590:E12600 E12605:E12665 E12670:E12798">
    <cfRule type="cellIs" dxfId="301" priority="363" stopIfTrue="1" operator="greaterThanOrEqual">
      <formula>15</formula>
    </cfRule>
  </conditionalFormatting>
  <conditionalFormatting sqref="E12801:E12804">
    <cfRule type="cellIs" dxfId="300" priority="364" stopIfTrue="1" operator="greaterThanOrEqual">
      <formula>1</formula>
    </cfRule>
  </conditionalFormatting>
  <conditionalFormatting sqref="E12799:E12800">
    <cfRule type="cellIs" dxfId="299" priority="362" stopIfTrue="1" operator="greaterThanOrEqual">
      <formula>15</formula>
    </cfRule>
  </conditionalFormatting>
  <conditionalFormatting sqref="E13919:E13928 E14084:E14086 E14088:E14098 E13983:E13999 E13959:E13969 E13933:E13938 E13943:E13948 E13951:E13957 E14077:E14082 E14007:E14065 E14069:E14075 E13892:E13901 E13904:E13905 E13910:E13916 E14001:E14005 E13972:E13981">
    <cfRule type="cellIs" dxfId="298" priority="361" stopIfTrue="1" operator="equal">
      <formula>1</formula>
    </cfRule>
  </conditionalFormatting>
  <conditionalFormatting sqref="E13941:E13942">
    <cfRule type="cellIs" dxfId="297" priority="360" stopIfTrue="1" operator="equal">
      <formula>1</formula>
    </cfRule>
  </conditionalFormatting>
  <conditionalFormatting sqref="E13932">
    <cfRule type="cellIs" dxfId="296" priority="359" stopIfTrue="1" operator="equal">
      <formula>1</formula>
    </cfRule>
  </conditionalFormatting>
  <conditionalFormatting sqref="E13902">
    <cfRule type="cellIs" dxfId="295" priority="358" stopIfTrue="1" operator="equal">
      <formula>1</formula>
    </cfRule>
  </conditionalFormatting>
  <conditionalFormatting sqref="E14006">
    <cfRule type="cellIs" dxfId="294" priority="357" stopIfTrue="1" operator="equal">
      <formula>1</formula>
    </cfRule>
  </conditionalFormatting>
  <conditionalFormatting sqref="E14292:E14300 E14146:E14147 E14316:E14318 E14127:E14128 E14238:E14242 E14202 E14216 E14223 E14134">
    <cfRule type="cellIs" dxfId="293" priority="355" stopIfTrue="1" operator="greaterThanOrEqual">
      <formula>15</formula>
    </cfRule>
  </conditionalFormatting>
  <conditionalFormatting sqref="E14135 E14224:E14237 E14149 E14243:E14291 E14109:E14122 E14217:E14222 E14203:E14215 E14301:E14315 E14200:E14201 E14167:E14169 E14183:E14192 E14194:E14198 E14129:E14133 E14124:E14125 E14138:E14144 E14151:E14165 E14171:E14172 E14174:E14181">
    <cfRule type="cellIs" dxfId="292" priority="356" stopIfTrue="1" operator="equal">
      <formula>1</formula>
    </cfRule>
  </conditionalFormatting>
  <conditionalFormatting sqref="E14319">
    <cfRule type="cellIs" dxfId="291" priority="354" stopIfTrue="1" operator="greaterThanOrEqual">
      <formula>15</formula>
    </cfRule>
  </conditionalFormatting>
  <conditionalFormatting sqref="E14123">
    <cfRule type="cellIs" dxfId="290" priority="353" stopIfTrue="1" operator="greaterThanOrEqual">
      <formula>15</formula>
    </cfRule>
  </conditionalFormatting>
  <conditionalFormatting sqref="E14136:E14137">
    <cfRule type="cellIs" dxfId="289" priority="352" stopIfTrue="1" operator="equal">
      <formula>1</formula>
    </cfRule>
  </conditionalFormatting>
  <conditionalFormatting sqref="E14145">
    <cfRule type="cellIs" dxfId="288" priority="351" stopIfTrue="1" operator="equal">
      <formula>1</formula>
    </cfRule>
  </conditionalFormatting>
  <conditionalFormatting sqref="E14148">
    <cfRule type="cellIs" dxfId="287" priority="350" stopIfTrue="1" operator="equal">
      <formula>1</formula>
    </cfRule>
  </conditionalFormatting>
  <conditionalFormatting sqref="E14150">
    <cfRule type="cellIs" dxfId="286" priority="349" stopIfTrue="1" operator="greaterThanOrEqual">
      <formula>15</formula>
    </cfRule>
  </conditionalFormatting>
  <conditionalFormatting sqref="E14199">
    <cfRule type="cellIs" dxfId="285" priority="348" stopIfTrue="1" operator="equal">
      <formula>1</formula>
    </cfRule>
  </conditionalFormatting>
  <conditionalFormatting sqref="E14126">
    <cfRule type="cellIs" dxfId="284" priority="347" stopIfTrue="1" operator="greaterThanOrEqual">
      <formula>15</formula>
    </cfRule>
  </conditionalFormatting>
  <conditionalFormatting sqref="E14424 E14497 E14528 E14419 E14507:E14510">
    <cfRule type="cellIs" dxfId="283" priority="345" stopIfTrue="1" operator="greaterThanOrEqual">
      <formula>15</formula>
    </cfRule>
  </conditionalFormatting>
  <conditionalFormatting sqref="E14425:E14496 E14498:E14506 E14512:E14527 E14532:E14535 E14326:E14418 E14420:E14423">
    <cfRule type="cellIs" dxfId="282" priority="346" stopIfTrue="1" operator="equal">
      <formula>1</formula>
    </cfRule>
  </conditionalFormatting>
  <conditionalFormatting sqref="E14511">
    <cfRule type="cellIs" dxfId="281" priority="343" stopIfTrue="1" operator="greaterThanOrEqual">
      <formula>15</formula>
    </cfRule>
  </conditionalFormatting>
  <conditionalFormatting sqref="E14529:E14531">
    <cfRule type="cellIs" dxfId="280" priority="344" stopIfTrue="1" operator="greaterThanOrEqual">
      <formula>15</formula>
    </cfRule>
  </conditionalFormatting>
  <conditionalFormatting sqref="E14736:E14737 E14721:E14729">
    <cfRule type="cellIs" dxfId="279" priority="341" stopIfTrue="1" operator="greaterThanOrEqual">
      <formula>15</formula>
    </cfRule>
  </conditionalFormatting>
  <conditionalFormatting sqref="E14543:E14720 E14730:E14735 E14742:E14751">
    <cfRule type="cellIs" dxfId="278" priority="342" stopIfTrue="1" operator="equal">
      <formula>1</formula>
    </cfRule>
  </conditionalFormatting>
  <conditionalFormatting sqref="E14752:E14753">
    <cfRule type="cellIs" dxfId="277" priority="340" stopIfTrue="1" operator="greaterThanOrEqual">
      <formula>15</formula>
    </cfRule>
  </conditionalFormatting>
  <conditionalFormatting sqref="E14738:E14739">
    <cfRule type="cellIs" dxfId="276" priority="339" stopIfTrue="1" operator="greaterThanOrEqual">
      <formula>15</formula>
    </cfRule>
  </conditionalFormatting>
  <conditionalFormatting sqref="E14741">
    <cfRule type="cellIs" dxfId="275" priority="338" stopIfTrue="1" operator="equal">
      <formula>1</formula>
    </cfRule>
  </conditionalFormatting>
  <conditionalFormatting sqref="E14740">
    <cfRule type="cellIs" dxfId="274" priority="337" stopIfTrue="1" operator="equal">
      <formula>1</formula>
    </cfRule>
  </conditionalFormatting>
  <conditionalFormatting sqref="X209:X220">
    <cfRule type="cellIs" dxfId="273" priority="334" stopIfTrue="1" operator="greaterThanOrEqual">
      <formula>40</formula>
    </cfRule>
    <cfRule type="cellIs" dxfId="272" priority="335" stopIfTrue="1" operator="greaterThanOrEqual">
      <formula>20</formula>
    </cfRule>
  </conditionalFormatting>
  <conditionalFormatting sqref="X427:X437">
    <cfRule type="cellIs" dxfId="271" priority="332" stopIfTrue="1" operator="greaterThanOrEqual">
      <formula>40</formula>
    </cfRule>
    <cfRule type="cellIs" dxfId="270" priority="333" stopIfTrue="1" operator="greaterThanOrEqual">
      <formula>20</formula>
    </cfRule>
  </conditionalFormatting>
  <conditionalFormatting sqref="X1078:X1086">
    <cfRule type="cellIs" dxfId="269" priority="330" stopIfTrue="1" operator="greaterThanOrEqual">
      <formula>40</formula>
    </cfRule>
    <cfRule type="cellIs" dxfId="268" priority="331" stopIfTrue="1" operator="greaterThan">
      <formula>20</formula>
    </cfRule>
  </conditionalFormatting>
  <conditionalFormatting sqref="X1295:X1303">
    <cfRule type="cellIs" dxfId="267" priority="328" stopIfTrue="1" operator="greaterThanOrEqual">
      <formula>40</formula>
    </cfRule>
    <cfRule type="cellIs" dxfId="266" priority="329" stopIfTrue="1" operator="greaterThan">
      <formula>20</formula>
    </cfRule>
  </conditionalFormatting>
  <conditionalFormatting sqref="X1306:X1442 X1512:X1520">
    <cfRule type="cellIs" dxfId="265" priority="326" stopIfTrue="1" operator="greaterThanOrEqual">
      <formula>40</formula>
    </cfRule>
    <cfRule type="cellIs" dxfId="264" priority="327" stopIfTrue="1" operator="greaterThanOrEqual">
      <formula>20</formula>
    </cfRule>
  </conditionalFormatting>
  <conditionalFormatting sqref="X1729:X1737">
    <cfRule type="cellIs" dxfId="263" priority="324" stopIfTrue="1" operator="greaterThanOrEqual">
      <formula>40</formula>
    </cfRule>
    <cfRule type="cellIs" dxfId="262" priority="325" stopIfTrue="1" operator="greaterThanOrEqual">
      <formula>20</formula>
    </cfRule>
  </conditionalFormatting>
  <conditionalFormatting sqref="X1946:X1954">
    <cfRule type="cellIs" dxfId="261" priority="322" stopIfTrue="1" operator="greaterThanOrEqual">
      <formula>40</formula>
    </cfRule>
    <cfRule type="cellIs" dxfId="260" priority="323" stopIfTrue="1" operator="greaterThanOrEqual">
      <formula>20</formula>
    </cfRule>
  </conditionalFormatting>
  <conditionalFormatting sqref="X1740:X1939">
    <cfRule type="cellIs" dxfId="259" priority="320" stopIfTrue="1" operator="greaterThanOrEqual">
      <formula>40</formula>
    </cfRule>
    <cfRule type="cellIs" dxfId="258" priority="321" stopIfTrue="1" operator="greaterThanOrEqual">
      <formula>20</formula>
    </cfRule>
  </conditionalFormatting>
  <conditionalFormatting sqref="AA1950:AA1956">
    <cfRule type="cellIs" dxfId="257" priority="318" stopIfTrue="1" operator="greaterThanOrEqual">
      <formula>40</formula>
    </cfRule>
    <cfRule type="cellIs" dxfId="256" priority="319" stopIfTrue="1" operator="greaterThanOrEqual">
      <formula>20</formula>
    </cfRule>
  </conditionalFormatting>
  <conditionalFormatting sqref="X2016:X2056">
    <cfRule type="cellIs" dxfId="255" priority="315" stopIfTrue="1" operator="greaterThanOrEqual">
      <formula>15</formula>
    </cfRule>
  </conditionalFormatting>
  <conditionalFormatting sqref="X2114:X2121 X2162:X2171">
    <cfRule type="cellIs" dxfId="254" priority="316" stopIfTrue="1" operator="greaterThanOrEqual">
      <formula>40</formula>
    </cfRule>
    <cfRule type="cellIs" dxfId="253" priority="317" stopIfTrue="1" operator="greaterThanOrEqual">
      <formula>20</formula>
    </cfRule>
  </conditionalFormatting>
  <conditionalFormatting sqref="X2174:X2326 X2355:X2378 X2340:X2341 X2334:X2335">
    <cfRule type="cellIs" dxfId="252" priority="314" stopIfTrue="1" operator="greaterThanOrEqual">
      <formula>20</formula>
    </cfRule>
  </conditionalFormatting>
  <conditionalFormatting sqref="X2380:X2388">
    <cfRule type="cellIs" dxfId="251" priority="312" stopIfTrue="1" operator="greaterThanOrEqual">
      <formula>40</formula>
    </cfRule>
    <cfRule type="cellIs" dxfId="250" priority="313" stopIfTrue="1" operator="greaterThanOrEqual">
      <formula>20</formula>
    </cfRule>
  </conditionalFormatting>
  <conditionalFormatting sqref="X2391:X2595">
    <cfRule type="cellIs" dxfId="249" priority="311" stopIfTrue="1" operator="greaterThanOrEqual">
      <formula>20</formula>
    </cfRule>
  </conditionalFormatting>
  <conditionalFormatting sqref="X2597:X2605">
    <cfRule type="cellIs" dxfId="248" priority="309" stopIfTrue="1" operator="greaterThanOrEqual">
      <formula>40</formula>
    </cfRule>
    <cfRule type="cellIs" dxfId="247" priority="310" stopIfTrue="1" operator="greaterThanOrEqual">
      <formula>20</formula>
    </cfRule>
  </conditionalFormatting>
  <conditionalFormatting sqref="X2814:X2822">
    <cfRule type="cellIs" dxfId="246" priority="307" stopIfTrue="1" operator="greaterThanOrEqual">
      <formula>40</formula>
    </cfRule>
    <cfRule type="cellIs" dxfId="245" priority="308" stopIfTrue="1" operator="greaterThanOrEqual">
      <formula>20</formula>
    </cfRule>
  </conditionalFormatting>
  <conditionalFormatting sqref="X2608:X2726 X2728:X2812">
    <cfRule type="cellIs" dxfId="244" priority="305" stopIfTrue="1" operator="greaterThanOrEqual">
      <formula>40</formula>
    </cfRule>
    <cfRule type="cellIs" dxfId="243" priority="306" stopIfTrue="1" operator="greaterThanOrEqual">
      <formula>20</formula>
    </cfRule>
  </conditionalFormatting>
  <conditionalFormatting sqref="AA2818:AA2824">
    <cfRule type="cellIs" dxfId="242" priority="304" stopIfTrue="1" operator="greaterThanOrEqual">
      <formula>20</formula>
    </cfRule>
  </conditionalFormatting>
  <conditionalFormatting sqref="X3031:X3039">
    <cfRule type="cellIs" dxfId="241" priority="301" stopIfTrue="1" operator="greaterThanOrEqual">
      <formula>40</formula>
    </cfRule>
    <cfRule type="cellIs" dxfId="240" priority="302" stopIfTrue="1" operator="greaterThanOrEqual">
      <formula>20</formula>
    </cfRule>
  </conditionalFormatting>
  <conditionalFormatting sqref="X2962:X3029">
    <cfRule type="cellIs" dxfId="239" priority="303" stopIfTrue="1" operator="greaterThanOrEqual">
      <formula>40</formula>
    </cfRule>
  </conditionalFormatting>
  <conditionalFormatting sqref="X3194:X3241 Z3252:AA3256 AA3257:AA3258">
    <cfRule type="cellIs" dxfId="238" priority="300" stopIfTrue="1" operator="greaterThanOrEqual">
      <formula>20</formula>
    </cfRule>
  </conditionalFormatting>
  <conditionalFormatting sqref="X3042:X3193 X3248:X3256">
    <cfRule type="cellIs" dxfId="237" priority="298" stopIfTrue="1" operator="greaterThanOrEqual">
      <formula>40</formula>
    </cfRule>
    <cfRule type="cellIs" dxfId="236" priority="299" stopIfTrue="1" operator="greaterThanOrEqual">
      <formula>20</formula>
    </cfRule>
  </conditionalFormatting>
  <conditionalFormatting sqref="X3260:X3463">
    <cfRule type="cellIs" dxfId="235" priority="294" stopIfTrue="1" operator="between">
      <formula>20</formula>
      <formula>40</formula>
    </cfRule>
    <cfRule type="cellIs" dxfId="234" priority="295" stopIfTrue="1" operator="greaterThanOrEqual">
      <formula>40</formula>
    </cfRule>
  </conditionalFormatting>
  <conditionalFormatting sqref="X3465:X3473">
    <cfRule type="cellIs" dxfId="233" priority="296" stopIfTrue="1" operator="greaterThanOrEqual">
      <formula>40</formula>
    </cfRule>
    <cfRule type="cellIs" dxfId="232" priority="297" stopIfTrue="1" operator="greaterThan">
      <formula>20</formula>
    </cfRule>
  </conditionalFormatting>
  <conditionalFormatting sqref="X3682:X3690">
    <cfRule type="cellIs" dxfId="231" priority="291" stopIfTrue="1" operator="greaterThanOrEqual">
      <formula>40</formula>
    </cfRule>
    <cfRule type="cellIs" dxfId="230" priority="292" stopIfTrue="1" operator="greaterThanOrEqual">
      <formula>20</formula>
    </cfRule>
  </conditionalFormatting>
  <conditionalFormatting sqref="X3693:X3831 X3895:X3896 X3841:X3866 X3868:X3875">
    <cfRule type="cellIs" dxfId="229" priority="287" stopIfTrue="1" operator="greaterThanOrEqual">
      <formula>40</formula>
    </cfRule>
    <cfRule type="cellIs" dxfId="228" priority="288" stopIfTrue="1" operator="greaterThanOrEqual">
      <formula>20</formula>
    </cfRule>
  </conditionalFormatting>
  <conditionalFormatting sqref="X3899:X3907">
    <cfRule type="cellIs" dxfId="227" priority="289" stopIfTrue="1" operator="greaterThanOrEqual">
      <formula>40</formula>
    </cfRule>
    <cfRule type="cellIs" dxfId="226" priority="290" stopIfTrue="1" operator="greaterThanOrEqual">
      <formula>20</formula>
    </cfRule>
  </conditionalFormatting>
  <conditionalFormatting sqref="X3910:X4043 X4053:X4095 X4103:X4113">
    <cfRule type="cellIs" dxfId="225" priority="282" stopIfTrue="1" operator="greaterThanOrEqual">
      <formula>40</formula>
    </cfRule>
    <cfRule type="cellIs" dxfId="224" priority="283" stopIfTrue="1" operator="greaterThanOrEqual">
      <formula>20</formula>
    </cfRule>
  </conditionalFormatting>
  <conditionalFormatting sqref="X4116:X4124">
    <cfRule type="cellIs" dxfId="223" priority="284" stopIfTrue="1" operator="greaterThanOrEqual">
      <formula>40</formula>
    </cfRule>
    <cfRule type="cellIs" dxfId="222" priority="285" stopIfTrue="1" operator="greaterThanOrEqual">
      <formula>20</formula>
    </cfRule>
  </conditionalFormatting>
  <conditionalFormatting sqref="X4127:X4326">
    <cfRule type="cellIs" dxfId="221" priority="275" stopIfTrue="1" operator="greaterThanOrEqual">
      <formula>40</formula>
    </cfRule>
    <cfRule type="cellIs" dxfId="220" priority="276" stopIfTrue="1" operator="greaterThanOrEqual">
      <formula>20</formula>
    </cfRule>
  </conditionalFormatting>
  <conditionalFormatting sqref="X4327:X4328">
    <cfRule type="cellIs" dxfId="219" priority="277" stopIfTrue="1" operator="greaterThanOrEqual">
      <formula>40</formula>
    </cfRule>
    <cfRule type="cellIs" dxfId="218" priority="278" stopIfTrue="1" operator="lessThan">
      <formula>0</formula>
    </cfRule>
  </conditionalFormatting>
  <conditionalFormatting sqref="X4333:X4341">
    <cfRule type="cellIs" dxfId="217" priority="279" stopIfTrue="1" operator="greaterThanOrEqual">
      <formula>40</formula>
    </cfRule>
    <cfRule type="cellIs" dxfId="216" priority="280" stopIfTrue="1" operator="greaterThanOrEqual">
      <formula>20</formula>
    </cfRule>
  </conditionalFormatting>
  <conditionalFormatting sqref="X4344:X4458 X4463:X4488 X4493:X4547">
    <cfRule type="cellIs" dxfId="215" priority="270" stopIfTrue="1" operator="greaterThanOrEqual">
      <formula>40</formula>
    </cfRule>
    <cfRule type="cellIs" dxfId="214" priority="271" stopIfTrue="1" operator="greaterThanOrEqual">
      <formula>20</formula>
    </cfRule>
  </conditionalFormatting>
  <conditionalFormatting sqref="X4550:X4558">
    <cfRule type="cellIs" dxfId="213" priority="272" stopIfTrue="1" operator="greaterThanOrEqual">
      <formula>40</formula>
    </cfRule>
    <cfRule type="cellIs" dxfId="212" priority="273" stopIfTrue="1" operator="greaterThan">
      <formula>20</formula>
    </cfRule>
  </conditionalFormatting>
  <conditionalFormatting sqref="X4561:X4696 X4710:X4765">
    <cfRule type="cellIs" dxfId="211" priority="265" stopIfTrue="1" operator="greaterThanOrEqual">
      <formula>40</formula>
    </cfRule>
    <cfRule type="cellIs" dxfId="210" priority="266" stopIfTrue="1" operator="greaterThanOrEqual">
      <formula>20</formula>
    </cfRule>
  </conditionalFormatting>
  <conditionalFormatting sqref="X4767:X4775">
    <cfRule type="cellIs" dxfId="209" priority="267" stopIfTrue="1" operator="greaterThanOrEqual">
      <formula>40</formula>
    </cfRule>
    <cfRule type="cellIs" dxfId="208" priority="268" stopIfTrue="1" operator="greaterThan">
      <formula>20</formula>
    </cfRule>
  </conditionalFormatting>
  <conditionalFormatting sqref="X4778:X4983">
    <cfRule type="cellIs" dxfId="207" priority="260" stopIfTrue="1" operator="greaterThanOrEqual">
      <formula>20</formula>
    </cfRule>
    <cfRule type="cellIs" dxfId="206" priority="261" stopIfTrue="1" operator="greaterThanOrEqual">
      <formula>20</formula>
    </cfRule>
  </conditionalFormatting>
  <conditionalFormatting sqref="X4984:X4992">
    <cfRule type="cellIs" dxfId="205" priority="262" stopIfTrue="1" operator="greaterThanOrEqual">
      <formula>40</formula>
    </cfRule>
    <cfRule type="cellIs" dxfId="204" priority="263" stopIfTrue="1" operator="greaterThan">
      <formula>20</formula>
    </cfRule>
  </conditionalFormatting>
  <conditionalFormatting sqref="X4995:X5085">
    <cfRule type="cellIs" dxfId="203" priority="251" stopIfTrue="1" operator="greaterThanOrEqual">
      <formula>40</formula>
    </cfRule>
    <cfRule type="cellIs" dxfId="202" priority="252" stopIfTrue="1" operator="greaterThanOrEqual">
      <formula>20</formula>
    </cfRule>
  </conditionalFormatting>
  <conditionalFormatting sqref="Z4995:AA5143 AA5144:AA5211">
    <cfRule type="cellIs" dxfId="201" priority="253" stopIfTrue="1" operator="greaterThanOrEqual">
      <formula>1</formula>
    </cfRule>
    <cfRule type="cellIs" dxfId="200" priority="254" stopIfTrue="1" operator="greaterThanOrEqual">
      <formula>20</formula>
    </cfRule>
  </conditionalFormatting>
  <conditionalFormatting sqref="X5086:X5200">
    <cfRule type="cellIs" dxfId="199" priority="256" stopIfTrue="1" operator="greaterThanOrEqual">
      <formula>20</formula>
    </cfRule>
    <cfRule type="cellIs" dxfId="198" priority="257" stopIfTrue="1" operator="greaterThanOrEqual">
      <formula>20</formula>
    </cfRule>
  </conditionalFormatting>
  <conditionalFormatting sqref="X5201:X5209">
    <cfRule type="cellIs" dxfId="197" priority="258" stopIfTrue="1" operator="greaterThanOrEqual">
      <formula>40</formula>
    </cfRule>
    <cfRule type="cellIs" dxfId="196" priority="259" stopIfTrue="1" operator="greaterThanOrEqual">
      <formula>20</formula>
    </cfRule>
  </conditionalFormatting>
  <conditionalFormatting sqref="Z5212:Z5426 AA5422:AA5428">
    <cfRule type="cellIs" dxfId="195" priority="246" stopIfTrue="1" operator="equal">
      <formula>1</formula>
    </cfRule>
  </conditionalFormatting>
  <conditionalFormatting sqref="AA5212:AA5421">
    <cfRule type="cellIs" dxfId="194" priority="247" stopIfTrue="1" operator="equal">
      <formula>1</formula>
    </cfRule>
  </conditionalFormatting>
  <conditionalFormatting sqref="X5212:X5416">
    <cfRule type="cellIs" dxfId="193" priority="244" stopIfTrue="1" operator="greaterThanOrEqual">
      <formula>40</formula>
    </cfRule>
    <cfRule type="cellIs" dxfId="192" priority="245" stopIfTrue="1" operator="greaterThanOrEqual">
      <formula>20</formula>
    </cfRule>
  </conditionalFormatting>
  <conditionalFormatting sqref="X5418:X5426">
    <cfRule type="cellIs" dxfId="191" priority="248" stopIfTrue="1" operator="greaterThanOrEqual">
      <formula>40</formula>
    </cfRule>
    <cfRule type="cellIs" dxfId="190" priority="249" stopIfTrue="1" operator="greaterThan">
      <formula>20</formula>
    </cfRule>
  </conditionalFormatting>
  <conditionalFormatting sqref="X5621:X5630">
    <cfRule type="cellIs" dxfId="189" priority="240" stopIfTrue="1" operator="greaterThanOrEqual">
      <formula>40</formula>
    </cfRule>
    <cfRule type="cellIs" dxfId="188" priority="241" stopIfTrue="1" operator="lessThan">
      <formula>0</formula>
    </cfRule>
  </conditionalFormatting>
  <conditionalFormatting sqref="X5429:X5620">
    <cfRule type="cellIs" dxfId="187" priority="238" stopIfTrue="1" operator="greaterThanOrEqual">
      <formula>40</formula>
    </cfRule>
    <cfRule type="cellIs" dxfId="186" priority="239" stopIfTrue="1" operator="greaterThanOrEqual">
      <formula>20</formula>
    </cfRule>
  </conditionalFormatting>
  <conditionalFormatting sqref="X5635:X5643">
    <cfRule type="cellIs" dxfId="185" priority="242" stopIfTrue="1" operator="greaterThanOrEqual">
      <formula>40</formula>
    </cfRule>
    <cfRule type="cellIs" dxfId="184" priority="243" stopIfTrue="1" operator="greaterThanOrEqual">
      <formula>20</formula>
    </cfRule>
  </conditionalFormatting>
  <conditionalFormatting sqref="X5646:X5851">
    <cfRule type="cellIs" dxfId="183" priority="233" stopIfTrue="1" operator="greaterThanOrEqual">
      <formula>40</formula>
    </cfRule>
    <cfRule type="cellIs" dxfId="182" priority="234" stopIfTrue="1" operator="greaterThanOrEqual">
      <formula>20</formula>
    </cfRule>
  </conditionalFormatting>
  <conditionalFormatting sqref="X5852:X5860">
    <cfRule type="cellIs" dxfId="181" priority="235" stopIfTrue="1" operator="greaterThanOrEqual">
      <formula>40</formula>
    </cfRule>
    <cfRule type="cellIs" dxfId="180" priority="236" stopIfTrue="1" operator="greaterThanOrEqual">
      <formula>20</formula>
    </cfRule>
  </conditionalFormatting>
  <conditionalFormatting sqref="X5863:X5986 X5988:X6007 X6010:X6042">
    <cfRule type="cellIs" dxfId="179" priority="226" stopIfTrue="1" operator="greaterThanOrEqual">
      <formula>40</formula>
    </cfRule>
    <cfRule type="cellIs" dxfId="178" priority="227" stopIfTrue="1" operator="greaterThanOrEqual">
      <formula>20</formula>
    </cfRule>
  </conditionalFormatting>
  <conditionalFormatting sqref="X6069:X6077">
    <cfRule type="cellIs" dxfId="177" priority="228" stopIfTrue="1" operator="greaterThanOrEqual">
      <formula>40</formula>
    </cfRule>
    <cfRule type="cellIs" dxfId="176" priority="229" stopIfTrue="1" operator="greaterThan">
      <formula>20</formula>
    </cfRule>
  </conditionalFormatting>
  <conditionalFormatting sqref="Z6080:Z6289">
    <cfRule type="cellIs" dxfId="175" priority="223" stopIfTrue="1" operator="equal">
      <formula>1</formula>
    </cfRule>
  </conditionalFormatting>
  <conditionalFormatting sqref="X6181:X6249 X6267:X6289">
    <cfRule type="cellIs" dxfId="174" priority="224" stopIfTrue="1" operator="greaterThanOrEqual">
      <formula>20</formula>
    </cfRule>
  </conditionalFormatting>
  <conditionalFormatting sqref="X6297:X6300 X6441:X6502 X6302:X6438">
    <cfRule type="cellIs" dxfId="173" priority="219" stopIfTrue="1" operator="greaterThanOrEqual">
      <formula>40</formula>
    </cfRule>
    <cfRule type="cellIs" dxfId="172" priority="220" stopIfTrue="1" operator="greaterThanOrEqual">
      <formula>20</formula>
    </cfRule>
  </conditionalFormatting>
  <conditionalFormatting sqref="X6503:X6511">
    <cfRule type="cellIs" dxfId="171" priority="221" stopIfTrue="1" operator="greaterThanOrEqual">
      <formula>40</formula>
    </cfRule>
    <cfRule type="cellIs" dxfId="170" priority="222" stopIfTrue="1" operator="greaterThanOrEqual">
      <formula>20</formula>
    </cfRule>
  </conditionalFormatting>
  <conditionalFormatting sqref="X6514:X6532 X6714:X6719 X6683:X6711 X6666:X6673 X6657 X6635:X6655 X6572:X6633 X6534:X6570">
    <cfRule type="cellIs" dxfId="169" priority="214" stopIfTrue="1" operator="greaterThanOrEqual">
      <formula>40</formula>
    </cfRule>
    <cfRule type="cellIs" dxfId="168" priority="215" stopIfTrue="1" operator="greaterThanOrEqual">
      <formula>20</formula>
    </cfRule>
  </conditionalFormatting>
  <conditionalFormatting sqref="X6720:X6728">
    <cfRule type="cellIs" dxfId="167" priority="216" stopIfTrue="1" operator="greaterThanOrEqual">
      <formula>40</formula>
    </cfRule>
    <cfRule type="cellIs" dxfId="166" priority="217" stopIfTrue="1" operator="greaterThanOrEqual">
      <formula>20</formula>
    </cfRule>
  </conditionalFormatting>
  <conditionalFormatting sqref="X6949:X6957 X7069:X7090 X7096:X7153 X6976:X7063">
    <cfRule type="cellIs" dxfId="165" priority="209" stopIfTrue="1" operator="greaterThanOrEqual">
      <formula>40</formula>
    </cfRule>
    <cfRule type="cellIs" dxfId="164" priority="210" stopIfTrue="1" operator="greaterThanOrEqual">
      <formula>20</formula>
    </cfRule>
  </conditionalFormatting>
  <conditionalFormatting sqref="X7154:X7162">
    <cfRule type="cellIs" dxfId="163" priority="211" stopIfTrue="1" operator="greaterThanOrEqual">
      <formula>40</formula>
    </cfRule>
    <cfRule type="cellIs" dxfId="162" priority="212" stopIfTrue="1" operator="greaterThan">
      <formula>20</formula>
    </cfRule>
  </conditionalFormatting>
  <conditionalFormatting sqref="X7165:X7225 X7314:X7370 X7235:X7308">
    <cfRule type="cellIs" dxfId="161" priority="204" stopIfTrue="1" operator="greaterThanOrEqual">
      <formula>40</formula>
    </cfRule>
    <cfRule type="cellIs" dxfId="160" priority="205" stopIfTrue="1" operator="greaterThanOrEqual">
      <formula>20</formula>
    </cfRule>
  </conditionalFormatting>
  <conditionalFormatting sqref="X7371:X7379">
    <cfRule type="cellIs" dxfId="159" priority="206" stopIfTrue="1" operator="greaterThanOrEqual">
      <formula>40</formula>
    </cfRule>
    <cfRule type="cellIs" dxfId="158" priority="207" stopIfTrue="1" operator="greaterThanOrEqual">
      <formula>20</formula>
    </cfRule>
  </conditionalFormatting>
  <conditionalFormatting sqref="X7382:X7390">
    <cfRule type="cellIs" dxfId="157" priority="199" stopIfTrue="1" operator="greaterThanOrEqual">
      <formula>40</formula>
    </cfRule>
    <cfRule type="cellIs" dxfId="156" priority="200" stopIfTrue="1" operator="greaterThanOrEqual">
      <formula>20</formula>
    </cfRule>
  </conditionalFormatting>
  <conditionalFormatting sqref="X7588:X7596">
    <cfRule type="cellIs" dxfId="155" priority="201" stopIfTrue="1" operator="greaterThanOrEqual">
      <formula>40</formula>
    </cfRule>
    <cfRule type="cellIs" dxfId="154" priority="202" stopIfTrue="1" operator="greaterThanOrEqual">
      <formula>20</formula>
    </cfRule>
  </conditionalFormatting>
  <conditionalFormatting sqref="X7619:X7640 X7643:X7657 X7660:X7675 X7680 X7684:X7686 X7706:X7738 X7756:X7805 X7599:X7615">
    <cfRule type="cellIs" dxfId="153" priority="196" stopIfTrue="1" operator="greaterThanOrEqual">
      <formula>40</formula>
    </cfRule>
    <cfRule type="cellIs" dxfId="152" priority="197" stopIfTrue="1" operator="greaterThanOrEqual">
      <formula>20</formula>
    </cfRule>
  </conditionalFormatting>
  <conditionalFormatting sqref="X7816:X8021">
    <cfRule type="cellIs" dxfId="151" priority="191" stopIfTrue="1" operator="greaterThanOrEqual">
      <formula>40</formula>
    </cfRule>
    <cfRule type="cellIs" dxfId="150" priority="192" stopIfTrue="1" operator="greaterThanOrEqual">
      <formula>20</formula>
    </cfRule>
  </conditionalFormatting>
  <conditionalFormatting sqref="X8022:X8030">
    <cfRule type="cellIs" dxfId="149" priority="193" stopIfTrue="1" operator="greaterThanOrEqual">
      <formula>40</formula>
    </cfRule>
    <cfRule type="cellIs" dxfId="148" priority="194" stopIfTrue="1" operator="greaterThanOrEqual">
      <formula>20</formula>
    </cfRule>
  </conditionalFormatting>
  <conditionalFormatting sqref="X8033:X8212">
    <cfRule type="cellIs" dxfId="147" priority="182" stopIfTrue="1" operator="greaterThanOrEqual">
      <formula>40</formula>
    </cfRule>
    <cfRule type="cellIs" dxfId="146" priority="183" stopIfTrue="1" operator="greaterThanOrEqual">
      <formula>20</formula>
    </cfRule>
  </conditionalFormatting>
  <conditionalFormatting sqref="X8213:X8234">
    <cfRule type="cellIs" dxfId="145" priority="184" stopIfTrue="1" operator="greaterThanOrEqual">
      <formula>40</formula>
    </cfRule>
    <cfRule type="cellIs" dxfId="144" priority="185" stopIfTrue="1" operator="lessThan">
      <formula>0</formula>
    </cfRule>
  </conditionalFormatting>
  <conditionalFormatting sqref="Z8033:Z8247">
    <cfRule type="cellIs" dxfId="143" priority="186" stopIfTrue="1" operator="equal">
      <formula>1</formula>
    </cfRule>
  </conditionalFormatting>
  <conditionalFormatting sqref="AA8033:AA8247">
    <cfRule type="cellIs" dxfId="142" priority="187" stopIfTrue="1" operator="equal">
      <formula>1</formula>
    </cfRule>
  </conditionalFormatting>
  <conditionalFormatting sqref="X8239:X8247">
    <cfRule type="cellIs" dxfId="141" priority="188" stopIfTrue="1" operator="greaterThanOrEqual">
      <formula>40</formula>
    </cfRule>
    <cfRule type="cellIs" dxfId="140" priority="189" stopIfTrue="1" operator="greaterThanOrEqual">
      <formula>20</formula>
    </cfRule>
  </conditionalFormatting>
  <conditionalFormatting sqref="X8250:X8252 X8255 X8265 X8271 X8289 X8328:X8366 X8257:X8260 X8369:X8425 X8448:X8455">
    <cfRule type="cellIs" dxfId="139" priority="178" stopIfTrue="1" operator="greaterThanOrEqual">
      <formula>40</formula>
    </cfRule>
    <cfRule type="cellIs" dxfId="138" priority="179" stopIfTrue="1" operator="greaterThanOrEqual">
      <formula>20</formula>
    </cfRule>
  </conditionalFormatting>
  <conditionalFormatting sqref="X8456:X8464">
    <cfRule type="cellIs" dxfId="137" priority="180" stopIfTrue="1" operator="greaterThanOrEqual">
      <formula>40</formula>
    </cfRule>
    <cfRule type="cellIs" dxfId="136" priority="181" stopIfTrue="1" operator="greaterThanOrEqual">
      <formula>20</formula>
    </cfRule>
  </conditionalFormatting>
  <conditionalFormatting sqref="X8467:X8606 X8619:X8646">
    <cfRule type="cellIs" dxfId="135" priority="171" stopIfTrue="1" operator="greaterThanOrEqual">
      <formula>40</formula>
    </cfRule>
    <cfRule type="cellIs" dxfId="134" priority="172" stopIfTrue="1" operator="greaterThanOrEqual">
      <formula>20</formula>
    </cfRule>
  </conditionalFormatting>
  <conditionalFormatting sqref="X8647:X8668">
    <cfRule type="cellIs" dxfId="133" priority="173" stopIfTrue="1" operator="greaterThanOrEqual">
      <formula>40</formula>
    </cfRule>
    <cfRule type="cellIs" dxfId="132" priority="174" stopIfTrue="1" operator="lessThan">
      <formula>0</formula>
    </cfRule>
  </conditionalFormatting>
  <conditionalFormatting sqref="X8673:X8681">
    <cfRule type="cellIs" dxfId="131" priority="175" stopIfTrue="1" operator="greaterThanOrEqual">
      <formula>40</formula>
    </cfRule>
    <cfRule type="cellIs" dxfId="130" priority="176" stopIfTrue="1" operator="greaterThanOrEqual">
      <formula>20</formula>
    </cfRule>
  </conditionalFormatting>
  <conditionalFormatting sqref="X8684:X8761">
    <cfRule type="cellIs" dxfId="129" priority="168" stopIfTrue="1" operator="greaterThanOrEqual">
      <formula>40</formula>
    </cfRule>
    <cfRule type="cellIs" dxfId="128" priority="169" stopIfTrue="1" operator="greaterThanOrEqual">
      <formula>20</formula>
    </cfRule>
  </conditionalFormatting>
  <conditionalFormatting sqref="X8901:X9104">
    <cfRule type="cellIs" dxfId="127" priority="163" stopIfTrue="1" operator="greaterThanOrEqual">
      <formula>40</formula>
    </cfRule>
    <cfRule type="cellIs" dxfId="126" priority="164" stopIfTrue="1" operator="greaterThanOrEqual">
      <formula>20</formula>
    </cfRule>
  </conditionalFormatting>
  <conditionalFormatting sqref="X9107:X9115">
    <cfRule type="cellIs" dxfId="125" priority="165" stopIfTrue="1" operator="greaterThanOrEqual">
      <formula>40</formula>
    </cfRule>
    <cfRule type="cellIs" dxfId="124" priority="166" stopIfTrue="1" operator="greaterThan">
      <formula>20</formula>
    </cfRule>
  </conditionalFormatting>
  <conditionalFormatting sqref="X9118:X9317">
    <cfRule type="cellIs" dxfId="123" priority="160" stopIfTrue="1" operator="greaterThanOrEqual">
      <formula>40</formula>
    </cfRule>
    <cfRule type="cellIs" dxfId="122" priority="161" stopIfTrue="1" operator="greaterThanOrEqual">
      <formula>20</formula>
    </cfRule>
  </conditionalFormatting>
  <conditionalFormatting sqref="X9335:X9472 X9528:X9534 X9480:X9513">
    <cfRule type="cellIs" dxfId="121" priority="153" stopIfTrue="1" operator="greaterThanOrEqual">
      <formula>40</formula>
    </cfRule>
    <cfRule type="cellIs" dxfId="120" priority="154" stopIfTrue="1" operator="greaterThanOrEqual">
      <formula>20</formula>
    </cfRule>
  </conditionalFormatting>
  <conditionalFormatting sqref="X9535:X9536">
    <cfRule type="cellIs" dxfId="119" priority="155" stopIfTrue="1" operator="greaterThanOrEqual">
      <formula>40</formula>
    </cfRule>
    <cfRule type="cellIs" dxfId="118" priority="156" stopIfTrue="1" operator="lessThan">
      <formula>0</formula>
    </cfRule>
  </conditionalFormatting>
  <conditionalFormatting sqref="X9541:X9549">
    <cfRule type="cellIs" dxfId="117" priority="157" stopIfTrue="1" operator="greaterThanOrEqual">
      <formula>40</formula>
    </cfRule>
    <cfRule type="cellIs" dxfId="116" priority="158" stopIfTrue="1" operator="greaterThanOrEqual">
      <formula>20</formula>
    </cfRule>
  </conditionalFormatting>
  <conditionalFormatting sqref="X9552:X9733 X9750:X9751">
    <cfRule type="cellIs" dxfId="115" priority="146" stopIfTrue="1" operator="greaterThanOrEqual">
      <formula>40</formula>
    </cfRule>
    <cfRule type="cellIs" dxfId="114" priority="147" stopIfTrue="1" operator="greaterThanOrEqual">
      <formula>20</formula>
    </cfRule>
  </conditionalFormatting>
  <conditionalFormatting sqref="X9752:X9753">
    <cfRule type="cellIs" dxfId="113" priority="148" stopIfTrue="1" operator="greaterThanOrEqual">
      <formula>40</formula>
    </cfRule>
    <cfRule type="cellIs" dxfId="112" priority="149" stopIfTrue="1" operator="lessThan">
      <formula>0</formula>
    </cfRule>
  </conditionalFormatting>
  <conditionalFormatting sqref="X9758:X9766">
    <cfRule type="cellIs" dxfId="111" priority="150" stopIfTrue="1" operator="greaterThanOrEqual">
      <formula>40</formula>
    </cfRule>
    <cfRule type="cellIs" dxfId="110" priority="151" stopIfTrue="1" operator="greaterThanOrEqual">
      <formula>20</formula>
    </cfRule>
  </conditionalFormatting>
  <conditionalFormatting sqref="X9769:X9776 X9782:X9968">
    <cfRule type="cellIs" dxfId="109" priority="141" stopIfTrue="1" operator="greaterThanOrEqual">
      <formula>40</formula>
    </cfRule>
    <cfRule type="cellIs" dxfId="108" priority="142" stopIfTrue="1" operator="greaterThanOrEqual">
      <formula>20</formula>
    </cfRule>
  </conditionalFormatting>
  <conditionalFormatting sqref="X9975:X9983">
    <cfRule type="cellIs" dxfId="107" priority="143" stopIfTrue="1" operator="greaterThanOrEqual">
      <formula>40</formula>
    </cfRule>
    <cfRule type="cellIs" dxfId="106" priority="144" stopIfTrue="1" operator="greaterThan">
      <formula>20</formula>
    </cfRule>
  </conditionalFormatting>
  <conditionalFormatting sqref="X9986:X10191">
    <cfRule type="cellIs" dxfId="105" priority="136" stopIfTrue="1" operator="greaterThanOrEqual">
      <formula>40</formula>
    </cfRule>
    <cfRule type="cellIs" dxfId="104" priority="137" stopIfTrue="1" operator="greaterThanOrEqual">
      <formula>20</formula>
    </cfRule>
  </conditionalFormatting>
  <conditionalFormatting sqref="X10192:X10200">
    <cfRule type="cellIs" dxfId="103" priority="138" stopIfTrue="1" operator="greaterThanOrEqual">
      <formula>40</formula>
    </cfRule>
    <cfRule type="cellIs" dxfId="102" priority="139" stopIfTrue="1" operator="greaterThanOrEqual">
      <formula>20</formula>
    </cfRule>
  </conditionalFormatting>
  <conditionalFormatting sqref="X10203:X10349 X10359:X10407">
    <cfRule type="cellIs" dxfId="101" priority="132" stopIfTrue="1" operator="greaterThanOrEqual">
      <formula>40</formula>
    </cfRule>
    <cfRule type="cellIs" dxfId="100" priority="133" stopIfTrue="1" operator="greaterThanOrEqual">
      <formula>20</formula>
    </cfRule>
  </conditionalFormatting>
  <conditionalFormatting sqref="X10409:X10417">
    <cfRule type="cellIs" dxfId="99" priority="134" stopIfTrue="1" operator="greaterThanOrEqual">
      <formula>40</formula>
    </cfRule>
    <cfRule type="cellIs" dxfId="98" priority="135" stopIfTrue="1" operator="greaterThanOrEqual">
      <formula>20</formula>
    </cfRule>
  </conditionalFormatting>
  <conditionalFormatting sqref="AA10476 AA10441 AA10480 AA10567:AA10568 X10420:X10594 X10615:X10625 AA10595:AA10636">
    <cfRule type="cellIs" dxfId="97" priority="125" stopIfTrue="1" operator="greaterThanOrEqual">
      <formula>40</formula>
    </cfRule>
    <cfRule type="cellIs" dxfId="96" priority="126" stopIfTrue="1" operator="greaterThanOrEqual">
      <formula>20</formula>
    </cfRule>
  </conditionalFormatting>
  <conditionalFormatting sqref="Z10420:Z10634">
    <cfRule type="cellIs" dxfId="95" priority="127" stopIfTrue="1" operator="greaterThanOrEqual">
      <formula>1</formula>
    </cfRule>
    <cfRule type="cellIs" dxfId="94" priority="128" stopIfTrue="1" operator="greaterThanOrEqual">
      <formula>20</formula>
    </cfRule>
  </conditionalFormatting>
  <conditionalFormatting sqref="X10626:X10634">
    <cfRule type="cellIs" dxfId="93" priority="129" stopIfTrue="1" operator="greaterThanOrEqual">
      <formula>40</formula>
    </cfRule>
    <cfRule type="cellIs" dxfId="92" priority="130" stopIfTrue="1" operator="greaterThanOrEqual">
      <formula>20</formula>
    </cfRule>
  </conditionalFormatting>
  <conditionalFormatting sqref="X10783:X10820 X10637:X10778 X10823:X10841">
    <cfRule type="cellIs" dxfId="91" priority="120" stopIfTrue="1" operator="greaterThanOrEqual">
      <formula>40</formula>
    </cfRule>
    <cfRule type="cellIs" dxfId="90" priority="121" stopIfTrue="1" operator="greaterThanOrEqual">
      <formula>20</formula>
    </cfRule>
  </conditionalFormatting>
  <conditionalFormatting sqref="X10843:X10851">
    <cfRule type="cellIs" dxfId="89" priority="122" stopIfTrue="1" operator="greaterThanOrEqual">
      <formula>40</formula>
    </cfRule>
    <cfRule type="cellIs" dxfId="88" priority="123" stopIfTrue="1" operator="greaterThanOrEqual">
      <formula>20</formula>
    </cfRule>
  </conditionalFormatting>
  <conditionalFormatting sqref="X10854:X11059">
    <cfRule type="cellIs" dxfId="87" priority="116" stopIfTrue="1" operator="greaterThanOrEqual">
      <formula>20</formula>
    </cfRule>
    <cfRule type="cellIs" dxfId="86" priority="117" stopIfTrue="1" operator="greaterThanOrEqual">
      <formula>20</formula>
    </cfRule>
  </conditionalFormatting>
  <conditionalFormatting sqref="X11060:X11068">
    <cfRule type="cellIs" dxfId="85" priority="118" stopIfTrue="1" operator="greaterThanOrEqual">
      <formula>40</formula>
    </cfRule>
    <cfRule type="cellIs" dxfId="84" priority="119" stopIfTrue="1" operator="greaterThan">
      <formula>20</formula>
    </cfRule>
  </conditionalFormatting>
  <conditionalFormatting sqref="X11071:X11078 X11080:X11110 X11112:X11116 X11118:X11125 X11128:X11188 X11196:X11275">
    <cfRule type="cellIs" dxfId="83" priority="112" stopIfTrue="1" operator="greaterThanOrEqual">
      <formula>40</formula>
    </cfRule>
    <cfRule type="cellIs" dxfId="82" priority="113" stopIfTrue="1" operator="greaterThanOrEqual">
      <formula>20</formula>
    </cfRule>
  </conditionalFormatting>
  <conditionalFormatting sqref="X11277:X11285">
    <cfRule type="cellIs" dxfId="81" priority="114" stopIfTrue="1" operator="greaterThanOrEqual">
      <formula>40</formula>
    </cfRule>
    <cfRule type="cellIs" dxfId="80" priority="115" stopIfTrue="1" operator="greaterThan">
      <formula>20</formula>
    </cfRule>
  </conditionalFormatting>
  <conditionalFormatting sqref="X11288:X11497">
    <cfRule type="cellIs" dxfId="79" priority="110" stopIfTrue="1" operator="greaterThanOrEqual">
      <formula>20</formula>
    </cfRule>
  </conditionalFormatting>
  <conditionalFormatting sqref="X11505:X11615 X11639:X11645 X11650:X11677 X11685:X11697 X11707:X11710">
    <cfRule type="cellIs" dxfId="78" priority="105" stopIfTrue="1" operator="greaterThanOrEqual">
      <formula>40</formula>
    </cfRule>
    <cfRule type="cellIs" dxfId="77" priority="106" stopIfTrue="1" operator="greaterThanOrEqual">
      <formula>20</formula>
    </cfRule>
  </conditionalFormatting>
  <conditionalFormatting sqref="X11711:X11719">
    <cfRule type="cellIs" dxfId="76" priority="107" stopIfTrue="1" operator="greaterThanOrEqual">
      <formula>40</formula>
    </cfRule>
    <cfRule type="cellIs" dxfId="75" priority="108" stopIfTrue="1" operator="greaterThan">
      <formula>20</formula>
    </cfRule>
  </conditionalFormatting>
  <conditionalFormatting sqref="X11722:X11926">
    <cfRule type="cellIs" dxfId="74" priority="100" stopIfTrue="1" operator="greaterThanOrEqual">
      <formula>40</formula>
    </cfRule>
    <cfRule type="cellIs" dxfId="73" priority="101" stopIfTrue="1" operator="greaterThanOrEqual">
      <formula>20</formula>
    </cfRule>
  </conditionalFormatting>
  <conditionalFormatting sqref="X11928:X11936">
    <cfRule type="cellIs" dxfId="72" priority="102" stopIfTrue="1" operator="greaterThanOrEqual">
      <formula>40</formula>
    </cfRule>
    <cfRule type="cellIs" dxfId="71" priority="103" stopIfTrue="1" operator="greaterThanOrEqual">
      <formula>20</formula>
    </cfRule>
  </conditionalFormatting>
  <conditionalFormatting sqref="X11939:X12144">
    <cfRule type="cellIs" dxfId="70" priority="95" stopIfTrue="1" operator="greaterThanOrEqual">
      <formula>40</formula>
    </cfRule>
    <cfRule type="cellIs" dxfId="69" priority="96" stopIfTrue="1" operator="greaterThanOrEqual">
      <formula>20</formula>
    </cfRule>
  </conditionalFormatting>
  <conditionalFormatting sqref="X12145:X12153">
    <cfRule type="cellIs" dxfId="68" priority="97" stopIfTrue="1" operator="greaterThanOrEqual">
      <formula>40</formula>
    </cfRule>
    <cfRule type="cellIs" dxfId="67" priority="98" stopIfTrue="1" operator="greaterThanOrEqual">
      <formula>20</formula>
    </cfRule>
  </conditionalFormatting>
  <conditionalFormatting sqref="X12156:X12166 X12169:X12360">
    <cfRule type="cellIs" dxfId="66" priority="90" stopIfTrue="1" operator="greaterThanOrEqual">
      <formula>40</formula>
    </cfRule>
    <cfRule type="cellIs" dxfId="65" priority="91" stopIfTrue="1" operator="greaterThanOrEqual">
      <formula>20</formula>
    </cfRule>
  </conditionalFormatting>
  <conditionalFormatting sqref="X12362:X12370">
    <cfRule type="cellIs" dxfId="64" priority="92" stopIfTrue="1" operator="greaterThanOrEqual">
      <formula>40</formula>
    </cfRule>
    <cfRule type="cellIs" dxfId="63" priority="93" stopIfTrue="1" operator="greaterThan">
      <formula>20</formula>
    </cfRule>
  </conditionalFormatting>
  <conditionalFormatting sqref="AA12563 Z12553:AA12553 Z12562 Z12556">
    <cfRule type="cellIs" dxfId="62" priority="87" stopIfTrue="1" operator="greaterThanOrEqual">
      <formula>15</formula>
    </cfRule>
  </conditionalFormatting>
  <conditionalFormatting sqref="X12590:X12769">
    <cfRule type="cellIs" dxfId="61" priority="81" stopIfTrue="1" operator="greaterThanOrEqual">
      <formula>40</formula>
    </cfRule>
    <cfRule type="cellIs" dxfId="60" priority="82" stopIfTrue="1" operator="greaterThanOrEqual">
      <formula>20</formula>
    </cfRule>
  </conditionalFormatting>
  <conditionalFormatting sqref="Z12590:Z12804">
    <cfRule type="cellIs" dxfId="59" priority="83" stopIfTrue="1" operator="greaterThanOrEqual">
      <formula>1</formula>
    </cfRule>
  </conditionalFormatting>
  <conditionalFormatting sqref="AA12590:AA12806">
    <cfRule type="cellIs" dxfId="58" priority="84" stopIfTrue="1" operator="greaterThanOrEqual">
      <formula>1</formula>
    </cfRule>
  </conditionalFormatting>
  <conditionalFormatting sqref="X12796:X12804">
    <cfRule type="cellIs" dxfId="57" priority="85" stopIfTrue="1" operator="greaterThanOrEqual">
      <formula>40</formula>
    </cfRule>
    <cfRule type="cellIs" dxfId="56" priority="86" stopIfTrue="1" operator="greaterThan">
      <formula>20</formula>
    </cfRule>
  </conditionalFormatting>
  <conditionalFormatting sqref="X13024:X13163 X13176:X13203">
    <cfRule type="cellIs" dxfId="55" priority="76" stopIfTrue="1" operator="greaterThanOrEqual">
      <formula>40</formula>
    </cfRule>
    <cfRule type="cellIs" dxfId="54" priority="77" stopIfTrue="1" operator="greaterThanOrEqual">
      <formula>20</formula>
    </cfRule>
  </conditionalFormatting>
  <conditionalFormatting sqref="X13230:X13238">
    <cfRule type="cellIs" dxfId="53" priority="78" stopIfTrue="1" operator="greaterThanOrEqual">
      <formula>40</formula>
    </cfRule>
    <cfRule type="cellIs" dxfId="52" priority="79" stopIfTrue="1" operator="greaterThanOrEqual">
      <formula>20</formula>
    </cfRule>
  </conditionalFormatting>
  <conditionalFormatting sqref="X13390:X13445 X13241:X13279 X13281:X13297 X13299:X13308 X13310:X13336 X13338:X13358 X13361:X13380">
    <cfRule type="cellIs" dxfId="51" priority="71" stopIfTrue="1" operator="greaterThanOrEqual">
      <formula>40</formula>
    </cfRule>
    <cfRule type="cellIs" dxfId="50" priority="72" stopIfTrue="1" operator="greaterThanOrEqual">
      <formula>20</formula>
    </cfRule>
  </conditionalFormatting>
  <conditionalFormatting sqref="X13447:X13455">
    <cfRule type="cellIs" dxfId="49" priority="73" stopIfTrue="1" operator="greaterThanOrEqual">
      <formula>40</formula>
    </cfRule>
    <cfRule type="cellIs" dxfId="48" priority="74" stopIfTrue="1" operator="greaterThanOrEqual">
      <formula>20</formula>
    </cfRule>
  </conditionalFormatting>
  <conditionalFormatting sqref="X13458:X13597 X13607:X13657">
    <cfRule type="cellIs" dxfId="47" priority="65" stopIfTrue="1" operator="greaterThanOrEqual">
      <formula>40</formula>
    </cfRule>
    <cfRule type="cellIs" dxfId="46" priority="66" stopIfTrue="1" operator="greaterThanOrEqual">
      <formula>20</formula>
    </cfRule>
  </conditionalFormatting>
  <conditionalFormatting sqref="X13658:X13659">
    <cfRule type="cellIs" dxfId="45" priority="67" stopIfTrue="1" operator="greaterThanOrEqual">
      <formula>40</formula>
    </cfRule>
    <cfRule type="cellIs" dxfId="44" priority="68" stopIfTrue="1" operator="lessThan">
      <formula>0</formula>
    </cfRule>
  </conditionalFormatting>
  <conditionalFormatting sqref="X13664:X13672">
    <cfRule type="cellIs" dxfId="43" priority="69" stopIfTrue="1" operator="greaterThanOrEqual">
      <formula>40</formula>
    </cfRule>
    <cfRule type="cellIs" dxfId="42" priority="70" stopIfTrue="1" operator="greaterThanOrEqual">
      <formula>20</formula>
    </cfRule>
  </conditionalFormatting>
  <conditionalFormatting sqref="X13675:X13685 X13879 X13818:X13851 X13713:X13815 X13687:X13711">
    <cfRule type="cellIs" dxfId="41" priority="60" stopIfTrue="1" operator="greaterThanOrEqual">
      <formula>40</formula>
    </cfRule>
    <cfRule type="cellIs" dxfId="40" priority="61" stopIfTrue="1" operator="greaterThanOrEqual">
      <formula>20</formula>
    </cfRule>
  </conditionalFormatting>
  <conditionalFormatting sqref="X13881:X13889">
    <cfRule type="cellIs" dxfId="39" priority="62" stopIfTrue="1" operator="greaterThanOrEqual">
      <formula>40</formula>
    </cfRule>
    <cfRule type="cellIs" dxfId="38" priority="63" stopIfTrue="1" operator="greaterThan">
      <formula>20</formula>
    </cfRule>
  </conditionalFormatting>
  <conditionalFormatting sqref="X13892:X14096">
    <cfRule type="cellIs" dxfId="37" priority="53" stopIfTrue="1" operator="greaterThanOrEqual">
      <formula>40</formula>
    </cfRule>
    <cfRule type="cellIs" dxfId="36" priority="54" stopIfTrue="1" operator="greaterThanOrEqual">
      <formula>20</formula>
    </cfRule>
  </conditionalFormatting>
  <conditionalFormatting sqref="AA13892:AA14007 AA14009:AA14101">
    <cfRule type="cellIs" dxfId="35" priority="55" stopIfTrue="1" operator="greaterThanOrEqual">
      <formula>1</formula>
    </cfRule>
  </conditionalFormatting>
  <conditionalFormatting sqref="Z13892:Z14101 Z14102:AA14106">
    <cfRule type="cellIs" dxfId="34" priority="56" stopIfTrue="1" operator="greaterThanOrEqual">
      <formula>1</formula>
    </cfRule>
  </conditionalFormatting>
  <conditionalFormatting sqref="X14098:X14106">
    <cfRule type="cellIs" dxfId="33" priority="57" stopIfTrue="1" operator="greaterThanOrEqual">
      <formula>40</formula>
    </cfRule>
    <cfRule type="cellIs" dxfId="32" priority="58" stopIfTrue="1" operator="greaterThan">
      <formula>20</formula>
    </cfRule>
  </conditionalFormatting>
  <conditionalFormatting sqref="AA14008">
    <cfRule type="cellIs" dxfId="31" priority="51" stopIfTrue="1" operator="greaterThanOrEqual">
      <formula>1</formula>
    </cfRule>
  </conditionalFormatting>
  <conditionalFormatting sqref="X14109:X14314">
    <cfRule type="cellIs" dxfId="30" priority="45" stopIfTrue="1" operator="greaterThanOrEqual">
      <formula>40</formula>
    </cfRule>
    <cfRule type="cellIs" dxfId="29" priority="46" stopIfTrue="1" operator="greaterThanOrEqual">
      <formula>20</formula>
    </cfRule>
  </conditionalFormatting>
  <conditionalFormatting sqref="Z14109:Z14318">
    <cfRule type="cellIs" dxfId="28" priority="44" stopIfTrue="1" operator="greaterThanOrEqual">
      <formula>15</formula>
    </cfRule>
  </conditionalFormatting>
  <conditionalFormatting sqref="AA14109:AA14318">
    <cfRule type="cellIs" dxfId="27" priority="48" stopIfTrue="1" operator="greaterThanOrEqual">
      <formula>1</formula>
    </cfRule>
  </conditionalFormatting>
  <conditionalFormatting sqref="X14315:X14323">
    <cfRule type="cellIs" dxfId="26" priority="49" stopIfTrue="1" operator="greaterThanOrEqual">
      <formula>40</formula>
    </cfRule>
    <cfRule type="cellIs" dxfId="25" priority="50" stopIfTrue="1" operator="greaterThanOrEqual">
      <formula>20</formula>
    </cfRule>
  </conditionalFormatting>
  <conditionalFormatting sqref="X14326:X14488 X14523:X14530 X14496">
    <cfRule type="cellIs" dxfId="24" priority="40" stopIfTrue="1" operator="greaterThanOrEqual">
      <formula>40</formula>
    </cfRule>
    <cfRule type="cellIs" dxfId="23" priority="41" stopIfTrue="1" operator="greaterThanOrEqual">
      <formula>20</formula>
    </cfRule>
  </conditionalFormatting>
  <conditionalFormatting sqref="X14532:X14540">
    <cfRule type="cellIs" dxfId="22" priority="42" stopIfTrue="1" operator="greaterThanOrEqual">
      <formula>40</formula>
    </cfRule>
    <cfRule type="cellIs" dxfId="21" priority="43" stopIfTrue="1" operator="greaterThanOrEqual">
      <formula>20</formula>
    </cfRule>
  </conditionalFormatting>
  <conditionalFormatting sqref="X14574:X14729 Z14753:AA14753">
    <cfRule type="cellIs" dxfId="20" priority="36" stopIfTrue="1" operator="greaterThanOrEqual">
      <formula>40</formula>
    </cfRule>
    <cfRule type="cellIs" dxfId="19" priority="37" stopIfTrue="1" operator="greaterThanOrEqual">
      <formula>20</formula>
    </cfRule>
  </conditionalFormatting>
  <conditionalFormatting sqref="X14743:X14744">
    <cfRule type="cellIs" dxfId="18" priority="38" stopIfTrue="1" operator="greaterThanOrEqual">
      <formula>40</formula>
    </cfRule>
    <cfRule type="cellIs" dxfId="17" priority="39" stopIfTrue="1" operator="lessThan">
      <formula>0</formula>
    </cfRule>
  </conditionalFormatting>
  <conditionalFormatting sqref="Z14755:Z14757">
    <cfRule type="cellIs" dxfId="16" priority="34" stopIfTrue="1" operator="greaterThanOrEqual">
      <formula>40</formula>
    </cfRule>
    <cfRule type="cellIs" dxfId="15" priority="35" stopIfTrue="1" operator="greaterThanOrEqual">
      <formula>20</formula>
    </cfRule>
  </conditionalFormatting>
  <conditionalFormatting sqref="AA14754:AA14757">
    <cfRule type="cellIs" dxfId="14" priority="32" stopIfTrue="1" operator="greaterThanOrEqual">
      <formula>40</formula>
    </cfRule>
    <cfRule type="cellIs" dxfId="13" priority="33" stopIfTrue="1" operator="greaterThanOrEqual">
      <formula>20</formula>
    </cfRule>
  </conditionalFormatting>
  <conditionalFormatting sqref="X14760:X14943 X14964:X14965">
    <cfRule type="cellIs" dxfId="12" priority="28" stopIfTrue="1" operator="greaterThanOrEqual">
      <formula>40</formula>
    </cfRule>
    <cfRule type="cellIs" dxfId="11" priority="29" stopIfTrue="1" operator="greaterThanOrEqual">
      <formula>20</formula>
    </cfRule>
  </conditionalFormatting>
  <conditionalFormatting sqref="X14966:X14974">
    <cfRule type="cellIs" dxfId="10" priority="30" stopIfTrue="1" operator="greaterThanOrEqual">
      <formula>40</formula>
    </cfRule>
    <cfRule type="cellIs" dxfId="9" priority="31" stopIfTrue="1" operator="greaterThanOrEqual">
      <formula>20</formula>
    </cfRule>
  </conditionalFormatting>
  <conditionalFormatting sqref="X14977:X14981">
    <cfRule type="cellIs" dxfId="8" priority="23" stopIfTrue="1" operator="greaterThanOrEqual">
      <formula>40</formula>
    </cfRule>
    <cfRule type="cellIs" dxfId="7" priority="24" stopIfTrue="1" operator="greaterThanOrEqual">
      <formula>20</formula>
    </cfRule>
  </conditionalFormatting>
  <conditionalFormatting sqref="X14982:X15097 X15104:X15167">
    <cfRule type="cellIs" dxfId="6" priority="25" stopIfTrue="1" operator="greaterThanOrEqual">
      <formula>20</formula>
    </cfRule>
    <cfRule type="cellIs" dxfId="5" priority="26" stopIfTrue="1" operator="greaterThanOrEqual">
      <formula>20</formula>
    </cfRule>
  </conditionalFormatting>
  <conditionalFormatting sqref="Z15187:Z15191">
    <cfRule type="cellIs" dxfId="4" priority="22" stopIfTrue="1" operator="greaterThanOrEqual">
      <formula>15</formula>
    </cfRule>
  </conditionalFormatting>
  <conditionalFormatting sqref="AA15186:AA15192">
    <cfRule type="cellIs" dxfId="3" priority="21" stopIfTrue="1" operator="greaterThanOrEqual">
      <formula>15</formula>
    </cfRule>
  </conditionalFormatting>
  <conditionalFormatting sqref="Z1950:Z1954">
    <cfRule type="cellIs" dxfId="2" priority="12" stopIfTrue="1" operator="greaterThanOrEqual">
      <formula>40</formula>
    </cfRule>
    <cfRule type="cellIs" dxfId="1" priority="13" stopIfTrue="1" operator="greaterThanOrEqual">
      <formula>20</formula>
    </cfRule>
  </conditionalFormatting>
  <conditionalFormatting sqref="Z2818:Z2821">
    <cfRule type="cellIs" dxfId="0" priority="5" stopIfTrue="1" operator="greaterThanOrEqual">
      <formula>20</formula>
    </cfRule>
  </conditionalFormatting>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CF929B3F72074A9F6F5F7833C651A4" ma:contentTypeVersion="2" ma:contentTypeDescription="Create a new document." ma:contentTypeScope="" ma:versionID="37eee0a6ac609a0c0ad8bd8674923765">
  <xsd:schema xmlns:xsd="http://www.w3.org/2001/XMLSchema" xmlns:xs="http://www.w3.org/2001/XMLSchema" xmlns:p="http://schemas.microsoft.com/office/2006/metadata/properties" xmlns:ns2="5f55fa79-21dc-410c-921c-1f334af868b6" targetNamespace="http://schemas.microsoft.com/office/2006/metadata/properties" ma:root="true" ma:fieldsID="76b7025da93554c46e9adccb59fcbd4d" ns2:_="">
    <xsd:import namespace="5f55fa79-21dc-410c-921c-1f334af868b6"/>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55fa79-21dc-410c-921c-1f334af86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8FE22F-3B74-4BA5-8372-421257D4E323}"/>
</file>

<file path=customXml/itemProps2.xml><?xml version="1.0" encoding="utf-8"?>
<ds:datastoreItem xmlns:ds="http://schemas.openxmlformats.org/officeDocument/2006/customXml" ds:itemID="{E05BF787-686A-43B3-9A13-28019B12037C}"/>
</file>

<file path=customXml/itemProps3.xml><?xml version="1.0" encoding="utf-8"?>
<ds:datastoreItem xmlns:ds="http://schemas.openxmlformats.org/officeDocument/2006/customXml" ds:itemID="{BB010F7D-A655-43C3-9936-92E7599FFC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Kylie Zhang</dc:creator>
  <cp:lastModifiedBy>Susana Chan Teymourian</cp:lastModifiedBy>
  <dcterms:created xsi:type="dcterms:W3CDTF">2016-06-08T17:18:48Z</dcterms:created>
  <dcterms:modified xsi:type="dcterms:W3CDTF">2017-03-13T18:01:35Z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0x010100FECF929B3F72074A9F6F5F7833C651A4</vt:lpwstr>
  </property>
</Properties>
</file>