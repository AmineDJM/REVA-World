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795" yWindow="825" windowWidth="14505" windowHeight="7215" tabRatio="824" activeTab="1"/>
  </bookViews>
  <sheets>
    <sheet name="Dates" sheetId="33" r:id="rId1"/>
    <sheet name="2tab" sheetId="14" r:id="rId4"/>
    <sheet name="3atab" sheetId="39" r:id="rId5"/>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0" hidden="1">1</definedName>
    <definedName name="_Regression_Int" localSheetId="21"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_xlnm.Print_Area" localSheetId="2">'1tab'!$B$1:$AL$70</definedName>
    <definedName name="_xlnm.Print_Area" localSheetId="3">'2tab'!$B$1:$AL$40</definedName>
    <definedName name="_xlnm.Print_Area" localSheetId="4">'3atab'!$B$1:$AL$48</definedName>
    <definedName name="_xlnm.Print_Area" localSheetId="5">'3btab'!$B$1:$AL$52</definedName>
    <definedName name="_xlnm.Print_Area" localSheetId="6">'3ctab'!$B$1:$AL$35</definedName>
    <definedName name="_xlnm.Print_Area" localSheetId="7">'3dtab'!$B$1:$BV$43</definedName>
    <definedName name="_xlnm.Print_Area" localSheetId="8">'4atab'!$B$1:$AL$68</definedName>
    <definedName name="_xlnm.Print_Area" localSheetId="9">'4btab'!$B$1:$AL$29</definedName>
    <definedName name="_xlnm.Print_Area" localSheetId="10">'4ctab'!$B$1:$AL$28</definedName>
    <definedName name="_xlnm.Print_Area" localSheetId="11">'5atab'!$B$1:$AL$37</definedName>
    <definedName name="_xlnm.Print_Area" localSheetId="12">'5btab'!$B$1:$AL$40</definedName>
    <definedName name="_xlnm.Print_Area" localSheetId="13">'6tab'!$B$1:$AL$46</definedName>
    <definedName name="_xlnm.Print_Area" localSheetId="14">'7atab'!$B$1:$AL$39</definedName>
    <definedName name="_xlnm.Print_Area" localSheetId="15">'7btab'!$B$1:$AL$53</definedName>
    <definedName name="_xlnm.Print_Area" localSheetId="16">'7ctab'!$B$1:$AL$49</definedName>
    <definedName name="_xlnm.Print_Area" localSheetId="17">'7dtab'!$B$1:$N$68</definedName>
    <definedName name="_xlnm.Print_Area" localSheetId="18">'7etab'!$B$1:$N$43</definedName>
    <definedName name="_xlnm.Print_Area" localSheetId="19">'8tab'!$B$1:$N$52</definedName>
    <definedName name="_xlnm.Print_Area" localSheetId="20">'9atab'!$B$1:$AL$58</definedName>
    <definedName name="_xlnm.Print_Area" localSheetId="21">'9btab'!$B$1:$AL$55</definedName>
    <definedName name="_xlnm.Print_Area" localSheetId="22">'9ctab'!$B$1:$AL$48</definedName>
    <definedName name="_xlnm.Print_Area" localSheetId="1">Contents!$A$3:$B$29</definedName>
  </definedNames>
  <calcPr calcId="125725"/>
</workbook>
</file>

<file path=xl/sharedStrings.xml><?xml version="1.0" encoding="utf-8"?>
<sst xmlns="http://schemas.openxmlformats.org/spreadsheetml/2006/main" count="3490" uniqueCount="1259">
  <si>
    <t>(a) Conventional hydroelectric power only.  Hydroelectricity generated by pumped storage is not included in renewable energy.</t>
  </si>
  <si>
    <t>(b) Total highway travel includes gasoline and diesel fuel vehicles.</t>
  </si>
  <si>
    <r>
      <t>Historical data</t>
    </r>
    <r>
      <rPr>
        <sz val="8"/>
        <rFont val="Arial"/>
        <family val="2"/>
      </rPr>
      <t>: Latest data available from U.S. Department of Commerce, Bureau of Economic Analysis; Federal Reserve System, Statistical release G17; Federal Highway Administration;</t>
    </r>
  </si>
  <si>
    <t>and Federal Aviation Administration.</t>
  </si>
  <si>
    <r>
      <t>Projections:</t>
    </r>
    <r>
      <rPr>
        <sz val="8"/>
        <rFont val="Arial"/>
        <family val="2"/>
      </rPr>
      <t xml:space="preserve"> Macroeconomic projections are based on the Global Insight Model of the U.S. Economy and Regional Economic Information and simulation of the EIA Regional Short-Term Energy Model.</t>
    </r>
  </si>
  <si>
    <r>
      <t>Historical data</t>
    </r>
    <r>
      <rPr>
        <sz val="8"/>
        <rFont val="Arial"/>
        <family val="2"/>
      </rPr>
      <t>: Latest data available from U.S. Department of Commerce, Bureau of Economic Analysis; Federal Reserve System, Statistical release G17.</t>
    </r>
  </si>
  <si>
    <r>
      <t>Projections:</t>
    </r>
    <r>
      <rPr>
        <sz val="8"/>
        <rFont val="Arial"/>
        <family val="2"/>
      </rPr>
      <t xml:space="preserve"> Macroeconomic projections are based on the Global Insight Model of the U.S. Economy.</t>
    </r>
  </si>
  <si>
    <t>U.S. Cooling Degree-Days</t>
  </si>
  <si>
    <t>ESICUUS</t>
  </si>
  <si>
    <t>ESCMUUS</t>
  </si>
  <si>
    <t xml:space="preserve">   Henry Hub Spot Price</t>
  </si>
  <si>
    <t>TDLOPUS</t>
  </si>
  <si>
    <t>Residential Sector</t>
  </si>
  <si>
    <t>Commercial Sector</t>
  </si>
  <si>
    <t>Percent change from prior year</t>
  </si>
  <si>
    <t xml:space="preserve">   Refiner Average Acquisition Cost</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</si>
  <si>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</si>
  <si>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</si>
  <si>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</si>
  <si>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</si>
  <si>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</si>
  <si>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</si>
  <si>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</si>
  <si>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</si>
  <si>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</si>
  <si>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</si>
  <si>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</si>
  <si>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</si>
  <si>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</si>
  <si>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</si>
  <si>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</si>
  <si>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</si>
  <si>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</si>
  <si>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</si>
  <si>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</si>
  <si>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</si>
  <si>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</si>
  <si>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</si>
  <si>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</si>
  <si>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</si>
  <si>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</si>
  <si>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</si>
  <si>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</si>
  <si>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</si>
  <si>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</si>
  <si>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</si>
  <si>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</si>
  <si>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</si>
  <si>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</si>
  <si>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</si>
  <si>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BDTCBUS</t>
  </si>
  <si>
    <t>ZWCD_MTN</t>
  </si>
  <si>
    <t>ZWCD_PAC</t>
  </si>
  <si>
    <t>Dry Natural Gas Production</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</si>
  <si>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</si>
  <si>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</si>
  <si>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</si>
  <si>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</si>
  <si>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</si>
  <si>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</si>
  <si>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</si>
  <si>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</si>
  <si>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</si>
  <si>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</si>
  <si>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</si>
  <si>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</si>
  <si>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</si>
  <si>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</si>
  <si>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</si>
  <si>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</si>
  <si>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</si>
  <si>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</si>
  <si>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</si>
  <si>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</si>
  <si>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</si>
  <si>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</si>
  <si>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</si>
  <si>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</si>
  <si>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</si>
  <si>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</si>
  <si>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</si>
  <si>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Electricity Supply (billion kilowatthours per day)</t>
  </si>
  <si>
    <t>Electricity Consumption (billion kilowatthours per day)</t>
  </si>
  <si>
    <t>RFPS_EP</t>
  </si>
  <si>
    <t>DKPS_EP</t>
  </si>
  <si>
    <t xml:space="preserve">   Residual Fuel (mmb)</t>
  </si>
  <si>
    <t xml:space="preserve">   Distillate Fuel (mmb)</t>
  </si>
  <si>
    <t xml:space="preserve">   Coal (mmst)</t>
  </si>
  <si>
    <t>Total non-OPEC liquids</t>
  </si>
  <si>
    <t xml:space="preserve">   Ecuador</t>
  </si>
  <si>
    <t>copr_ec</t>
  </si>
  <si>
    <t xml:space="preserve">      OPEC Total</t>
  </si>
  <si>
    <t>Total OPEC Supply</t>
  </si>
  <si>
    <t xml:space="preserve">   Coal</t>
  </si>
  <si>
    <t xml:space="preserve">   Natural Gas</t>
  </si>
  <si>
    <t xml:space="preserve">   Other Gases</t>
  </si>
  <si>
    <t xml:space="preserve">   Nuclear</t>
  </si>
  <si>
    <t xml:space="preserve">      Geothermal</t>
  </si>
  <si>
    <t xml:space="preserve">      Solar</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</si>
  <si>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</si>
  <si>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</si>
  <si>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</si>
  <si>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</si>
  <si>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</si>
  <si>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</si>
  <si>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</si>
  <si>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</si>
  <si>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</si>
  <si>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</si>
  <si>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</si>
  <si>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</si>
  <si>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</si>
  <si>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b/>
        <vertAlign val="subscript"/>
        <sz val="10"/>
        <color indexed="8"/>
        <rFont val="Arial"/>
        <family val="2"/>
      </rPr>
      <t>2</t>
    </r>
    <r>
      <rPr>
        <b/>
        <sz val="10"/>
        <color indexed="8"/>
        <rFont val="Arial"/>
        <family val="2"/>
      </rPr>
      <t xml:space="preserve"> Emissions</t>
    </r>
  </si>
  <si>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</si>
  <si>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</si>
  <si>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</si>
  <si>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</si>
  <si>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 xml:space="preserve">Table Beginning Quarter--- </t>
  </si>
  <si>
    <t>Crude Oil Production (a)</t>
  </si>
  <si>
    <t>Coal (b)</t>
  </si>
  <si>
    <t xml:space="preserve">   Imported Average</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</si>
  <si>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</si>
  <si>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</si>
  <si>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</si>
  <si>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</si>
  <si>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</si>
  <si>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</si>
  <si>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Other Oils (a)</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</si>
  <si>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</si>
  <si>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</si>
  <si>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</si>
  <si>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</si>
  <si>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</si>
  <si>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</si>
  <si>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</si>
  <si>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</si>
  <si>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</si>
  <si>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</si>
  <si>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</si>
  <si>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Other Oils (f)</t>
  </si>
  <si>
    <t xml:space="preserve">      SPR Net Withdrawals</t>
  </si>
  <si>
    <t xml:space="preserve">      Federal GOM (a)</t>
  </si>
  <si>
    <t xml:space="preserve">   Henry Hub Spot (dollars per million Btu) </t>
  </si>
  <si>
    <t>Energy Prices</t>
  </si>
  <si>
    <t>Table 2.  U.S. Energy Prices</t>
  </si>
  <si>
    <t>Prices (cents per gallon)</t>
  </si>
  <si>
    <t>Prices are not adjusted for inflation.</t>
  </si>
  <si>
    <t>Table 5c. U.S. Regional Natural Gas Prices  (dollars per thousand cubic feet)</t>
  </si>
  <si>
    <t>Prices</t>
  </si>
  <si>
    <t>Table 7c. U.S. Regional Electricity Prices  (Cents per Kilowatthour)</t>
  </si>
  <si>
    <t xml:space="preserve">   Henry Hub Spot (dollars per thousand cubic feet)</t>
  </si>
  <si>
    <r>
      <t>Natural Gas</t>
    </r>
    <r>
      <rPr>
        <sz val="8"/>
        <color indexed="8"/>
        <rFont val="Arial"/>
        <family val="2"/>
      </rPr>
      <t/>
    </r>
  </si>
  <si>
    <r>
      <t xml:space="preserve">   End-Use Prices</t>
    </r>
    <r>
      <rPr>
        <sz val="8"/>
        <rFont val="Arial"/>
        <family val="2"/>
      </rPr>
      <t xml:space="preserve"> (dollars per thousand cubic feetf) </t>
    </r>
  </si>
  <si>
    <t>NGHHUUS</t>
  </si>
  <si>
    <t>(c) Includes fuel oils No. 4, No. 5, No. 6, and topped crude.</t>
  </si>
  <si>
    <t xml:space="preserve">      Residual Fuel Oil (c)</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</si>
  <si>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</si>
  <si>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</si>
  <si>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</si>
  <si>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</si>
  <si>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</si>
  <si>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</si>
  <si>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</si>
  <si>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</si>
  <si>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</si>
  <si>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</si>
  <si>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</si>
  <si>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</si>
  <si>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</si>
  <si>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</si>
  <si>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</si>
  <si>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</si>
  <si>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</si>
  <si>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</si>
  <si>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</si>
  <si>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</si>
  <si>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</si>
  <si>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</si>
  <si>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</si>
  <si>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</si>
  <si>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</si>
  <si>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</si>
  <si>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</si>
  <si>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</si>
  <si>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</si>
  <si>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</si>
  <si>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r>
      <t xml:space="preserve">Projections: </t>
    </r>
    <r>
      <rPr>
        <sz val="8"/>
        <rFont val="Arial"/>
        <family val="2"/>
      </rPr>
      <t>Based on forecasts by the NOAA Climate Prediction Center (http://www.cpc.ncep.noaa.gov/pacdir/DDdir/NHOME3.shtml).</t>
    </r>
  </si>
  <si>
    <r>
      <t>Notes:</t>
    </r>
    <r>
      <rPr>
        <sz val="8"/>
        <rFont val="Arial"/>
        <family val="2"/>
      </rPr>
      <t xml:space="preserve"> Regional degree days for each period are calculated by EIA as contemporaneous period population-weighted averages of</t>
    </r>
  </si>
  <si>
    <t>state degree day data published by the National Oceanic and Atmospheric Administration (NOAA).</t>
  </si>
  <si>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</si>
  <si>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</si>
  <si>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</si>
  <si>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</si>
  <si>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</si>
  <si>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</si>
  <si>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</si>
  <si>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</si>
  <si>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</si>
  <si>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</si>
  <si>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</si>
  <si>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</si>
  <si>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LGNIPUS</t>
  </si>
  <si>
    <t xml:space="preserve">         Unfinished Oils</t>
  </si>
  <si>
    <t xml:space="preserve">         Liquefied Petroleum Gas</t>
  </si>
  <si>
    <t>PPNIPUS</t>
  </si>
  <si>
    <t xml:space="preserve">         Pentanes Plus</t>
  </si>
  <si>
    <t>Natural gas Henry Hub spot price from Reuter's News Service (http://www.reuters.com).</t>
  </si>
  <si>
    <t xml:space="preserve">         Other HC/Oxygenates</t>
  </si>
  <si>
    <t>OHNIPUS</t>
  </si>
  <si>
    <t>PSNIPUS</t>
  </si>
  <si>
    <t xml:space="preserve">         Other Oils (f)</t>
  </si>
  <si>
    <t xml:space="preserve">   Average residential electricity</t>
  </si>
  <si>
    <t>EXRCH_US</t>
  </si>
  <si>
    <t xml:space="preserve">   usage per customer (kWh)</t>
  </si>
  <si>
    <t xml:space="preserve">   Total Consumption</t>
  </si>
  <si>
    <t xml:space="preserve">   Primary Inventories (d)</t>
  </si>
  <si>
    <t xml:space="preserve">   Retail and Other Industry</t>
  </si>
  <si>
    <t xml:space="preserve">      Electric Power Sector (a)</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</si>
  <si>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</si>
  <si>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</si>
  <si>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</si>
  <si>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</si>
  <si>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</si>
  <si>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</si>
  <si>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</si>
  <si>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</si>
  <si>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</si>
  <si>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</si>
  <si>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</si>
  <si>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</si>
  <si>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</si>
  <si>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</si>
  <si>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</si>
  <si>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</si>
  <si>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</si>
  <si>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</si>
  <si>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</si>
  <si>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</si>
  <si>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</si>
  <si>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</si>
  <si>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</si>
  <si>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</si>
  <si>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</si>
  <si>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</si>
  <si>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</si>
  <si>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</si>
  <si>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</si>
  <si>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</si>
  <si>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</si>
  <si>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</si>
  <si>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</si>
  <si>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</si>
  <si>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</si>
  <si>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</si>
  <si>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</si>
  <si>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</si>
  <si>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</si>
  <si>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ZO20IUS</t>
  </si>
  <si>
    <t>ZO26IUS</t>
  </si>
  <si>
    <t>ZO28IUS</t>
  </si>
  <si>
    <t>ZO32IUS</t>
  </si>
  <si>
    <t>ZO33IUS</t>
  </si>
  <si>
    <t>QSIC</t>
  </si>
  <si>
    <t>Manufacturing</t>
  </si>
  <si>
    <t xml:space="preserve">Food </t>
  </si>
  <si>
    <t xml:space="preserve">Paper </t>
  </si>
  <si>
    <t>Chemicals</t>
  </si>
  <si>
    <t xml:space="preserve">Stone, Clay, Glass </t>
  </si>
  <si>
    <t>Primary Metals</t>
  </si>
  <si>
    <t>Renewables (c)</t>
  </si>
  <si>
    <t>Crude Oil (e)</t>
  </si>
  <si>
    <t>Total Energy Consumption (d)</t>
  </si>
  <si>
    <t xml:space="preserve">   Retail Prices Including Taxes</t>
  </si>
  <si>
    <t xml:space="preserve">      Gasoline Regular Grade (b)</t>
  </si>
  <si>
    <t xml:space="preserve">      Gasoline All Grades (b)</t>
  </si>
  <si>
    <r>
      <t xml:space="preserve">   End-Use Prices </t>
    </r>
    <r>
      <rPr>
        <sz val="8"/>
        <color indexed="8"/>
        <rFont val="Arial"/>
        <family val="2"/>
      </rPr>
      <t>(cents per kilowatthour)</t>
    </r>
  </si>
  <si>
    <t>Column</t>
  </si>
  <si>
    <t xml:space="preserve">         Federal Gulf of Mexico (b)</t>
  </si>
  <si>
    <t>North America</t>
  </si>
  <si>
    <t xml:space="preserve">         Other Liquids</t>
  </si>
  <si>
    <t xml:space="preserve">Table 1.  U.S. Energy Markets Summary </t>
  </si>
  <si>
    <t>Table 2.  U.S. Energy Nominal Prices</t>
  </si>
  <si>
    <t>Table 4c. U.S. Regional Gasoline Prices and Inventories</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</si>
  <si>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</si>
  <si>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</si>
  <si>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</si>
  <si>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</si>
  <si>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</si>
  <si>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</si>
  <si>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</si>
  <si>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</si>
  <si>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</si>
  <si>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</si>
  <si>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</si>
  <si>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</si>
  <si>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</si>
  <si>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</si>
  <si>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</si>
  <si>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</si>
  <si>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</si>
  <si>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papr_OLA</t>
  </si>
  <si>
    <t>papr_NO</t>
  </si>
  <si>
    <t>papr_AJ</t>
  </si>
  <si>
    <t>papr_KZ</t>
  </si>
  <si>
    <t>papr_RS</t>
  </si>
  <si>
    <t>papr_MU</t>
  </si>
  <si>
    <t>papr_SY</t>
  </si>
  <si>
    <t>papr_YM</t>
  </si>
  <si>
    <t>papr_AS</t>
  </si>
  <si>
    <t>papr_CH</t>
  </si>
  <si>
    <t>papr_IN</t>
  </si>
  <si>
    <t>papr_MY</t>
  </si>
  <si>
    <t>papr_VM</t>
  </si>
  <si>
    <t>papr_EG</t>
  </si>
  <si>
    <t>papr_EK</t>
  </si>
  <si>
    <t>CXTCCO2</t>
  </si>
  <si>
    <t>papr_GB</t>
  </si>
  <si>
    <t>papr_SU</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</si>
  <si>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</si>
  <si>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</si>
  <si>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</si>
  <si>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</si>
  <si>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</si>
  <si>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</si>
  <si>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</si>
  <si>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</si>
  <si>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</si>
  <si>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</si>
  <si>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</si>
  <si>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</si>
  <si>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</si>
  <si>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</si>
  <si>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</si>
  <si>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</si>
  <si>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</si>
  <si>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</si>
  <si>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</si>
  <si>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</si>
  <si>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</si>
  <si>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</si>
  <si>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</si>
  <si>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</si>
  <si>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</si>
  <si>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</si>
  <si>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</si>
  <si>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</si>
  <si>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</si>
  <si>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papr_northsea</t>
  </si>
  <si>
    <t>papr_otheroecd</t>
  </si>
  <si>
    <t>papr_oecd</t>
  </si>
  <si>
    <t>papr_opec</t>
  </si>
  <si>
    <t>copr_opec</t>
  </si>
  <si>
    <t>papr_fsu</t>
  </si>
  <si>
    <t>papr_ch</t>
  </si>
  <si>
    <t>papr_other_nonoecd</t>
  </si>
  <si>
    <t>papr_nonoecd</t>
  </si>
  <si>
    <t>papr_world</t>
  </si>
  <si>
    <t xml:space="preserve">   U.S. Commercial Inventory</t>
  </si>
  <si>
    <t>(a)  Weighted geometric mean of real indices for various countries with weights equal to each country's share of world oil consumption in the base period. Exchange rate is measured in foreign currency per U.S. dollar.</t>
  </si>
  <si>
    <t>World Real Gross Domestic Product (a)</t>
  </si>
  <si>
    <t xml:space="preserve">   OECD Commercial Inventory</t>
  </si>
  <si>
    <t>pasc_oecd_t3</t>
  </si>
  <si>
    <t>t3_stchange_us</t>
  </si>
  <si>
    <t>(d) Includes small amounts of distributed solar thermal and photovoltaic energy used in the commercial, industrial, and electric power sectors.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</si>
  <si>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</si>
  <si>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</si>
  <si>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</si>
  <si>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</si>
  <si>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</si>
  <si>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</si>
  <si>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</si>
  <si>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</si>
  <si>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</si>
  <si>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Qatar</t>
  </si>
  <si>
    <t xml:space="preserve">   Saudi Arabia</t>
  </si>
  <si>
    <t xml:space="preserve">   United Arab Emirates</t>
  </si>
  <si>
    <t xml:space="preserve">   Venezuela</t>
  </si>
  <si>
    <t xml:space="preserve">   Angola</t>
  </si>
  <si>
    <t xml:space="preserve">   Iraq</t>
  </si>
  <si>
    <t>Other Liquids</t>
  </si>
  <si>
    <t>Crude Oil Production Capacity</t>
  </si>
  <si>
    <t>copr_AG</t>
  </si>
  <si>
    <t>copr_IR</t>
  </si>
  <si>
    <t>copr_ku</t>
  </si>
  <si>
    <t>copr_ly</t>
  </si>
  <si>
    <t>copr_ni</t>
  </si>
  <si>
    <t>copr_qa</t>
  </si>
  <si>
    <t>copr_sa</t>
  </si>
  <si>
    <t>copr_tc</t>
  </si>
  <si>
    <t>copr_ve</t>
  </si>
  <si>
    <t>copr_ao</t>
  </si>
  <si>
    <t>copr_iz</t>
  </si>
  <si>
    <t>ZWCD_SAC</t>
  </si>
  <si>
    <t>ZWHD_SAC</t>
  </si>
  <si>
    <t>Australia</t>
  </si>
  <si>
    <t>China</t>
  </si>
  <si>
    <t>India</t>
  </si>
  <si>
    <t>Malaysia</t>
  </si>
  <si>
    <t>Vietnam</t>
  </si>
  <si>
    <t>Canada</t>
  </si>
  <si>
    <t>Mexico</t>
  </si>
  <si>
    <t>United States</t>
  </si>
  <si>
    <t>Argentina</t>
  </si>
  <si>
    <t>Brazil</t>
  </si>
  <si>
    <t>Colombia</t>
  </si>
  <si>
    <t>Other Central and S. America</t>
  </si>
  <si>
    <t>Norway</t>
  </si>
  <si>
    <t>papr_UKO</t>
  </si>
  <si>
    <t>Other North Sea</t>
  </si>
  <si>
    <t>papr_onorthsea</t>
  </si>
  <si>
    <t>t3b_papr_r03</t>
  </si>
  <si>
    <t>CHEOPUS</t>
  </si>
  <si>
    <t xml:space="preserve">      Industrial Sector (b)</t>
  </si>
  <si>
    <t xml:space="preserve">   Losses and Unaccounted for (c) </t>
  </si>
  <si>
    <t xml:space="preserve">   Direct Use (d)</t>
  </si>
  <si>
    <t>(c) Includes transmission and distribution losses, data collection time-frame differences, and estimation error.</t>
  </si>
  <si>
    <t xml:space="preserve">(d) Direct Use represents commercial and industrial facility use of onsite net electricity generation; and electrical sales or transfers to adjacent or colocated facilities </t>
  </si>
  <si>
    <t>(a) Generation supplied by electricity-only and combined-heat-and-power (CHP) plants operated by electric utilities, independent power producers.</t>
  </si>
  <si>
    <t>(b) Generation supplied by CHP and electricity-only plants operated by businesses in the commercial and industrial sectors, primarily for onsite use.</t>
  </si>
  <si>
    <t>CLTO_US</t>
  </si>
  <si>
    <t>NGTO_US</t>
  </si>
  <si>
    <t>Sudan and South Sudan</t>
  </si>
  <si>
    <t>PATO_US</t>
  </si>
  <si>
    <t xml:space="preserve">   Petroleum (a)</t>
  </si>
  <si>
    <t>OGTO_US</t>
  </si>
  <si>
    <t>NUTO_US</t>
  </si>
  <si>
    <t>HVTO_US</t>
  </si>
  <si>
    <t>HPTO_US</t>
  </si>
  <si>
    <t xml:space="preserve">   Renewable Energy Sources:</t>
  </si>
  <si>
    <t>WNTO_US</t>
  </si>
  <si>
    <t>WWTO_US</t>
  </si>
  <si>
    <t xml:space="preserve">      Wood Biomass</t>
  </si>
  <si>
    <t>OWTO_US</t>
  </si>
  <si>
    <t xml:space="preserve">      Other Waste Biomass</t>
  </si>
  <si>
    <t>GETO_US</t>
  </si>
  <si>
    <t>SOTO_US</t>
  </si>
  <si>
    <t>OTTO_US</t>
  </si>
  <si>
    <t xml:space="preserve">   Other Nonrenewable Fuels (b)</t>
  </si>
  <si>
    <t>TSEO_US</t>
  </si>
  <si>
    <t xml:space="preserve">   Total Generation</t>
  </si>
  <si>
    <t>Northeast Census Region</t>
  </si>
  <si>
    <t>CLTO_NE</t>
  </si>
  <si>
    <t>NGTO_NE</t>
  </si>
  <si>
    <t>PATO_NE</t>
  </si>
  <si>
    <t>OGTO_NE</t>
  </si>
  <si>
    <t>NUTO_NE</t>
  </si>
  <si>
    <t>HYTO_NE</t>
  </si>
  <si>
    <t xml:space="preserve">   Hydropower (c)</t>
  </si>
  <si>
    <t>RNTO_NE</t>
  </si>
  <si>
    <t>OTTO_NE</t>
  </si>
  <si>
    <t>TSEO_NE</t>
  </si>
  <si>
    <t>South Census Region</t>
  </si>
  <si>
    <t>CLTO_SO</t>
  </si>
  <si>
    <t>NGTO_SO</t>
  </si>
  <si>
    <t>PATO_SO</t>
  </si>
  <si>
    <t>OGTO_SO</t>
  </si>
  <si>
    <t>NUTO_SO</t>
  </si>
  <si>
    <t>HYTO_SO</t>
  </si>
  <si>
    <t>RNTO_SO</t>
  </si>
  <si>
    <t>OTTO_SO</t>
  </si>
  <si>
    <t>TSEO_SO</t>
  </si>
  <si>
    <t>Midwest Census Region</t>
  </si>
  <si>
    <t>CLTO_MW</t>
  </si>
  <si>
    <t>NGTO_MW</t>
  </si>
  <si>
    <t>PATO_MW</t>
  </si>
  <si>
    <t>OGTO_MW</t>
  </si>
  <si>
    <t>NUTO_MW</t>
  </si>
  <si>
    <t>HYTO_MW</t>
  </si>
  <si>
    <t>RNTO_MW</t>
  </si>
  <si>
    <t>OTTO_MW</t>
  </si>
  <si>
    <t>TSEO_MW</t>
  </si>
  <si>
    <t>West Census Region</t>
  </si>
  <si>
    <t>CLTO_WE</t>
  </si>
  <si>
    <t>NGTO_WE</t>
  </si>
  <si>
    <t>PATO_WE</t>
  </si>
  <si>
    <t>OGTO_WE</t>
  </si>
  <si>
    <t>NUTO_WE</t>
  </si>
  <si>
    <t>HYTO_WE</t>
  </si>
  <si>
    <t>RNTO_WE</t>
  </si>
  <si>
    <t>OTTO_WE</t>
  </si>
  <si>
    <t>TSEO_WE</t>
  </si>
  <si>
    <t>(a) Residual fuel oil, distillate fuel oil, petroleum coke, and other petroleum liquids</t>
  </si>
  <si>
    <t>(b) Batteries, chemicals, hydrogen, pitch, purchased steam, sulfur, nonrenewable waste, and miscellaneous technologies</t>
  </si>
  <si>
    <t>(c) Conventional hydroelectric and pumped storage generation</t>
  </si>
  <si>
    <t>(d) Wind, biomass, geothermal, and solar generation</t>
  </si>
  <si>
    <r>
      <t xml:space="preserve">Notes: </t>
    </r>
    <r>
      <rPr>
        <sz val="8"/>
        <color indexed="8"/>
        <rFont val="Arial"/>
        <family val="2"/>
      </rPr>
      <t xml:space="preserve"> Data reflects generation supplied by electricity-only and combined-heat-and-power (CHP) plants operated by electric utilities, independent power producers, and</t>
    </r>
  </si>
  <si>
    <t>the commercial and industrial sectors. The approximate break between historical and forecast values is shown with historical data printed in bold; estimates and forecasts in italics.</t>
  </si>
  <si>
    <r>
      <rPr>
        <b/>
        <sz val="8"/>
        <color indexed="8"/>
        <rFont val="Arial"/>
        <family val="2"/>
      </rPr>
      <t>Historical data</t>
    </r>
    <r>
      <rPr>
        <sz val="8"/>
        <color indexed="8"/>
        <rFont val="Arial"/>
        <family val="2"/>
      </rPr>
      <t xml:space="preserve">: </t>
    </r>
    <r>
      <rPr>
        <sz val="8"/>
        <rFont val="Arial"/>
        <family val="2"/>
      </rPr>
      <t xml:space="preserve">Latest data available from EIA </t>
    </r>
    <r>
      <rPr>
        <i/>
        <sz val="8"/>
        <rFont val="Arial"/>
        <family val="2"/>
      </rPr>
      <t>Electric Power Monthly</t>
    </r>
    <r>
      <rPr>
        <sz val="8"/>
        <rFont val="Arial"/>
        <family val="2"/>
      </rPr>
      <t xml:space="preserve"> and </t>
    </r>
    <r>
      <rPr>
        <i/>
        <sz val="8"/>
        <rFont val="Arial"/>
        <family val="2"/>
      </rPr>
      <t>Electric Power Annual</t>
    </r>
  </si>
  <si>
    <r>
      <rPr>
        <b/>
        <sz val="8"/>
        <color indexed="8"/>
        <rFont val="Arial"/>
        <family val="2"/>
      </rPr>
      <t>Projections</t>
    </r>
    <r>
      <rPr>
        <sz val="8"/>
        <color indexed="8"/>
        <rFont val="Arial"/>
        <family val="2"/>
      </rPr>
      <t xml:space="preserve">: </t>
    </r>
    <r>
      <rPr>
        <sz val="8"/>
        <rFont val="Arial"/>
        <family val="2"/>
      </rPr>
      <t xml:space="preserve">Generated by simulation of the EIA </t>
    </r>
    <r>
      <rPr>
        <i/>
        <sz val="8"/>
        <rFont val="Arial"/>
        <family val="2"/>
      </rPr>
      <t>Short-Term Energy Outlook</t>
    </r>
    <r>
      <rPr>
        <sz val="8"/>
        <rFont val="Arial"/>
        <family val="2"/>
      </rPr>
      <t xml:space="preserve"> model.</t>
    </r>
  </si>
  <si>
    <t xml:space="preserve">      Conventional Hydropower</t>
  </si>
  <si>
    <t xml:space="preserve">   Pumped Storage Hydropower</t>
  </si>
  <si>
    <r>
      <t xml:space="preserve">(a) Natural gas share weights of individual sector indices based on EIA </t>
    </r>
    <r>
      <rPr>
        <i/>
        <sz val="8"/>
        <rFont val="Arial"/>
        <family val="2"/>
      </rPr>
      <t>Manufacturing Energy Consumption Survey</t>
    </r>
    <r>
      <rPr>
        <sz val="8"/>
        <rFont val="Arial"/>
        <family val="2"/>
      </rPr>
      <t>.</t>
    </r>
  </si>
  <si>
    <t xml:space="preserve">   Other Renewables (d)</t>
  </si>
  <si>
    <t>Table 8. U.S. Renewable Energy Consumption</t>
  </si>
  <si>
    <t>Table 7d.  U.S. Regional Electricity Generation, All Sectors</t>
  </si>
  <si>
    <t>Table 7e. U.S. Regional Fuel Consumption for Electricity Generation, All Sectors</t>
  </si>
  <si>
    <t>Fuel Consumption for Electricity Generation, All Sectors</t>
  </si>
  <si>
    <t xml:space="preserve">   United States</t>
  </si>
  <si>
    <t>CLTOCON_EL_US</t>
  </si>
  <si>
    <t xml:space="preserve">      Coal (thousand st/d)</t>
  </si>
  <si>
    <t>NGTOCON_EL_US</t>
  </si>
  <si>
    <t xml:space="preserve">      Natural Gas (million cf/d)</t>
  </si>
  <si>
    <t>PATOCON_EL_US</t>
  </si>
  <si>
    <t xml:space="preserve">      Petroleum (thousand b/d)</t>
  </si>
  <si>
    <t>RFTOCON_EL_US</t>
  </si>
  <si>
    <t>DKTOCON_EL_US</t>
  </si>
  <si>
    <t>PCTOCON_EL_US</t>
  </si>
  <si>
    <t xml:space="preserve">      Petroleum Coke (a)</t>
  </si>
  <si>
    <t>OPTOCON_EL_US</t>
  </si>
  <si>
    <t xml:space="preserve">      Other Petroleum Liquids (b)</t>
  </si>
  <si>
    <t xml:space="preserve">   Northeast Census Region</t>
  </si>
  <si>
    <t>CLTOCON_EL_NE</t>
  </si>
  <si>
    <t>NGTOCON_EL_NE</t>
  </si>
  <si>
    <t>PATOCON_EL_NE</t>
  </si>
  <si>
    <t xml:space="preserve">   South Census Region</t>
  </si>
  <si>
    <t>CLTOCON_EL_SO</t>
  </si>
  <si>
    <t>NGTOCON_EL_SO</t>
  </si>
  <si>
    <t>PATOCON_EL_SO</t>
  </si>
  <si>
    <t xml:space="preserve">   Midwest Census Region</t>
  </si>
  <si>
    <t>CLTOCON_EL_MW</t>
  </si>
  <si>
    <t>NGTOCON_EL_MW</t>
  </si>
  <si>
    <t>PATOCON_EL_MW</t>
  </si>
  <si>
    <t xml:space="preserve">   West Census Region</t>
  </si>
  <si>
    <t>CLTOCON_EL_WE</t>
  </si>
  <si>
    <t>NGTOCON_EL_WE</t>
  </si>
  <si>
    <t>PATOCON_EL_WE</t>
  </si>
  <si>
    <t>End-of-period U.S. Fuel Inventories Held by Electric Power Sector</t>
  </si>
  <si>
    <t xml:space="preserve">   Coal (million short tons)</t>
  </si>
  <si>
    <t>(a) Petroleum coke consumption converted from short tons to barrels by multiplying by 5</t>
  </si>
  <si>
    <t>(b) Other petroleum liquids include jet fuel, kerosene, and waste oil</t>
  </si>
  <si>
    <t>the commercial and industrial sectors. Data includes fuel consumed only for generation of electricity. It does not include consumption by CHP plants for useful thermal output.</t>
  </si>
  <si>
    <t>The approximate break between historical and forecast values is shown with historical data printed in bold; estimates and forecasts in italics.</t>
  </si>
  <si>
    <t>Physical Units: st/d = short tons per day; b/d = barrels per day; cf/d = cubic feet per day; mmb = million barrels.</t>
  </si>
  <si>
    <t xml:space="preserve">Table 7d.  U.S. Regional Electricity Generation, All Sectors (Thousand megawatthours per day)  </t>
  </si>
  <si>
    <t>Table 7e.  U.S. Regional Fuel Consumption for Electricity Generation, All Sectors</t>
  </si>
  <si>
    <t xml:space="preserve">Electric Power Sector </t>
  </si>
  <si>
    <t xml:space="preserve">      Subtotal </t>
  </si>
  <si>
    <t xml:space="preserve">Industrial Sector </t>
  </si>
  <si>
    <t xml:space="preserve">Commercial Sector </t>
  </si>
  <si>
    <t xml:space="preserve">Residential Sector </t>
  </si>
  <si>
    <t xml:space="preserve">   Solar (d)</t>
  </si>
  <si>
    <t xml:space="preserve">Transportation Sector </t>
  </si>
  <si>
    <t>EOACBUS</t>
  </si>
  <si>
    <t xml:space="preserve">   Ethanol (e)</t>
  </si>
  <si>
    <t xml:space="preserve">   Biodiesel (e)</t>
  </si>
  <si>
    <t>BFACBUS</t>
  </si>
  <si>
    <t>All Sectors Total</t>
  </si>
  <si>
    <t>(e) Fuel ethanol and biodiesel consumption in the transportation sector includes production, stock change, and imports less exports. Some biodiesel may be consumed in the residential sector in heating oil.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</si>
  <si>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</si>
  <si>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EIA databases supporting the following reports: </t>
    </r>
    <r>
      <rPr>
        <i/>
        <sz val="8"/>
        <rFont val="Arial"/>
        <family val="2"/>
      </rPr>
      <t>Electric Power Monthly</t>
    </r>
    <r>
      <rPr>
        <sz val="8"/>
        <rFont val="Arial"/>
        <family val="2"/>
      </rPr>
      <t xml:space="preserve">, DOE/EIA-0226 and </t>
    </r>
    <r>
      <rPr>
        <i/>
        <sz val="8"/>
        <rFont val="Arial"/>
        <family val="2"/>
      </rPr>
      <t>Renewable Energy Annual</t>
    </r>
    <r>
      <rPr>
        <sz val="8"/>
        <rFont val="Arial"/>
        <family val="2"/>
      </rPr>
      <t xml:space="preserve">, DOE/EIA-0603; </t>
    </r>
    <r>
      <rPr>
        <i/>
        <sz val="8"/>
        <rFont val="Arial"/>
        <family val="2"/>
      </rPr>
      <t>Petroleum Supply Monthly</t>
    </r>
    <r>
      <rPr>
        <sz val="8"/>
        <rFont val="Arial"/>
        <family val="2"/>
      </rPr>
      <t xml:space="preserve">, DOE/EIA-0109. </t>
    </r>
  </si>
  <si>
    <r>
      <t xml:space="preserve">Projections: </t>
    </r>
    <r>
      <rPr>
        <sz val="8"/>
        <rFont val="Arial"/>
        <family val="2"/>
      </rPr>
      <t>Generated by simulation of the EIA Regional Short-Term Energy Model.</t>
    </r>
  </si>
  <si>
    <t>Table 8.  U.S. Renewable Energy Consumption (Quadrillion Btu)</t>
  </si>
  <si>
    <t>t3b_papr_r02</t>
  </si>
  <si>
    <t>t3b_papr_r01</t>
  </si>
  <si>
    <t>Azerbaijan</t>
  </si>
  <si>
    <t>Kazakhstan</t>
  </si>
  <si>
    <t>Russia</t>
  </si>
  <si>
    <t>papr_ofsu</t>
  </si>
  <si>
    <t>t3b_papr_r04</t>
  </si>
  <si>
    <t>Oman</t>
  </si>
  <si>
    <t>Syria</t>
  </si>
  <si>
    <t>Yemen</t>
  </si>
  <si>
    <t>t3b_papr_r05</t>
  </si>
  <si>
    <t>t3b_papr_r07</t>
  </si>
  <si>
    <t>Egypt</t>
  </si>
  <si>
    <t>Equatorial Guinea</t>
  </si>
  <si>
    <t>Gabon</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</si>
  <si>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</si>
  <si>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</si>
  <si>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</si>
  <si>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</si>
  <si>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</si>
  <si>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</si>
  <si>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</si>
  <si>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</si>
  <si>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</si>
  <si>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</si>
  <si>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</si>
  <si>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</si>
  <si>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</si>
  <si>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</si>
  <si>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</si>
  <si>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</si>
  <si>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</si>
  <si>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</si>
  <si>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</si>
  <si>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</si>
  <si>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</si>
  <si>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Natural Gas Liquids Production</t>
  </si>
  <si>
    <t xml:space="preserve">   Total Supply</t>
  </si>
  <si>
    <t xml:space="preserve">      Pentanes Plus</t>
  </si>
  <si>
    <t xml:space="preserve">      Liquefied Petroleum Gas</t>
  </si>
  <si>
    <t xml:space="preserve">      Unfinished Oils</t>
  </si>
  <si>
    <t xml:space="preserve">      Motor Gasoline</t>
  </si>
  <si>
    <t xml:space="preserve">      Distillate Fuel Oil</t>
  </si>
  <si>
    <t xml:space="preserve">      Residual Fuel Oil</t>
  </si>
  <si>
    <t xml:space="preserve">      Crude Oil (excluding SPR)</t>
  </si>
  <si>
    <t xml:space="preserve">      Other HC/Oxygenates</t>
  </si>
  <si>
    <t xml:space="preserve">      Total Motor Gasoline</t>
  </si>
  <si>
    <t xml:space="preserve">         Finished Motor Gasoline</t>
  </si>
  <si>
    <t xml:space="preserve">   Crude Oil in SPR</t>
  </si>
  <si>
    <t xml:space="preserve">   Heating Oil Reserve</t>
  </si>
  <si>
    <t xml:space="preserve">   Crude OIl</t>
  </si>
  <si>
    <t xml:space="preserve">   Pentanes Plus</t>
  </si>
  <si>
    <t xml:space="preserve">   Liquefied Petroleum Gas</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</si>
  <si>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</si>
  <si>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</si>
  <si>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</si>
  <si>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</si>
  <si>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</si>
  <si>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</si>
  <si>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</si>
  <si>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</si>
  <si>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</si>
  <si>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</si>
  <si>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</si>
  <si>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</si>
  <si>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</si>
  <si>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</si>
  <si>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</si>
  <si>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</si>
  <si>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</si>
  <si>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</si>
  <si>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Gross Imports</t>
  </si>
  <si>
    <t xml:space="preserve">      Pipeline</t>
  </si>
  <si>
    <t xml:space="preserve">      LNG</t>
  </si>
  <si>
    <t xml:space="preserve">   Gross Exports</t>
  </si>
  <si>
    <t xml:space="preserve">   Net Imports</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</si>
  <si>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</si>
  <si>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</si>
  <si>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</si>
  <si>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</si>
  <si>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</si>
  <si>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</si>
  <si>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</si>
  <si>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</si>
  <si>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</si>
  <si>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</si>
  <si>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</si>
  <si>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</si>
  <si>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</si>
  <si>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</si>
  <si>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</si>
  <si>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</si>
  <si>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</si>
  <si>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</si>
  <si>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</si>
  <si>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</si>
  <si>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</si>
  <si>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</si>
  <si>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</si>
  <si>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</si>
  <si>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</si>
  <si>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</si>
  <si>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</si>
  <si>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</si>
  <si>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</si>
  <si>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Electricity Generation</t>
  </si>
  <si>
    <t xml:space="preserve">   Net Imports  </t>
  </si>
  <si>
    <t xml:space="preserve">   Retail Sales</t>
  </si>
  <si>
    <t xml:space="preserve">   Total Consumption </t>
  </si>
  <si>
    <t xml:space="preserve">      Natural Gas</t>
  </si>
  <si>
    <t xml:space="preserve">         U.S. Average</t>
  </si>
  <si>
    <t xml:space="preserve">   Geothermal  </t>
  </si>
  <si>
    <t xml:space="preserve">   Solar </t>
  </si>
  <si>
    <t xml:space="preserve">   Wind </t>
  </si>
  <si>
    <t xml:space="preserve">   (millions)</t>
  </si>
  <si>
    <t xml:space="preserve">  (index, 1982-1984=1.00)</t>
  </si>
  <si>
    <t xml:space="preserve">  (index, 1982=1.00)</t>
  </si>
  <si>
    <t xml:space="preserve">  (index, 2000=100)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</si>
  <si>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</si>
  <si>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</si>
  <si>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</si>
  <si>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</si>
  <si>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</si>
  <si>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</si>
  <si>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</si>
  <si>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</si>
  <si>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</si>
  <si>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</si>
  <si>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</si>
  <si>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</si>
  <si>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</si>
  <si>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</si>
  <si>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</si>
  <si>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</si>
  <si>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</si>
  <si>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</si>
  <si>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</si>
  <si>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</si>
  <si>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</si>
  <si>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</si>
  <si>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</si>
  <si>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</si>
  <si>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</si>
  <si>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</si>
  <si>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</si>
  <si>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</si>
  <si>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</si>
  <si>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 xml:space="preserve">   Total World Supply</t>
  </si>
  <si>
    <t xml:space="preserve">   Non-OPEC Supply</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</si>
  <si>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</si>
  <si>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</si>
  <si>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</si>
  <si>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</si>
  <si>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</si>
  <si>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</si>
  <si>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</si>
  <si>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</si>
  <si>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</si>
  <si>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</si>
  <si>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</si>
  <si>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</si>
  <si>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</si>
  <si>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</si>
  <si>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</si>
  <si>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</si>
  <si>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</si>
  <si>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</si>
  <si>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</si>
  <si>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</si>
  <si>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</si>
  <si>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</si>
  <si>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</si>
  <si>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</si>
  <si>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</si>
  <si>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</si>
  <si>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DFSQPUS</t>
  </si>
  <si>
    <t>RAIMUUS</t>
  </si>
  <si>
    <t>WTIPUUS</t>
  </si>
  <si>
    <t>MGEIAUS</t>
  </si>
  <si>
    <t>DSRTUUS</t>
  </si>
  <si>
    <t>D2WHUUS</t>
  </si>
  <si>
    <t>RFTCUUS</t>
  </si>
  <si>
    <t>CLEUDUS</t>
  </si>
  <si>
    <t>RFEUDUS</t>
  </si>
  <si>
    <t>NGEUDUS</t>
  </si>
  <si>
    <t>NGRCUUS</t>
  </si>
  <si>
    <t>ESRCUUS</t>
  </si>
  <si>
    <t>NGPRPUS</t>
  </si>
  <si>
    <t>Former Soviet Union (FSU)</t>
  </si>
  <si>
    <t>Other FSU</t>
  </si>
  <si>
    <t>NGIMPUS</t>
  </si>
  <si>
    <t>Table 3a. International Crude Oil and Liquid Fuels Supply, Consumption, and Inventories</t>
  </si>
  <si>
    <t>Table 3b. Non-OPEC Crude Oil and Liquid Fuels Supply</t>
  </si>
  <si>
    <t>Table 3d. World Liquid Fuels Consumption</t>
  </si>
  <si>
    <t>Table 4a.  U.S. Crude Oil and Liquid Fuels Supply, Consumption, and Inventories</t>
  </si>
  <si>
    <t>Liquid Fuels</t>
  </si>
  <si>
    <r>
      <t xml:space="preserve">Liquid Fuels </t>
    </r>
    <r>
      <rPr>
        <sz val="8"/>
        <color indexed="8"/>
        <rFont val="Arial"/>
        <family val="2"/>
      </rPr>
      <t>(cents per gallon)</t>
    </r>
  </si>
  <si>
    <t>Table 3b. Non-OPEC Crude Oil and Liquid Fuels Supply  (million barrels per day)</t>
  </si>
  <si>
    <t>Table 3d. World Liquid Fuels Consumption (million barrels per day)</t>
  </si>
  <si>
    <t>Total OECD Liquid Fuels Consumption</t>
  </si>
  <si>
    <t>Total non-OECD Liquid Fuels Consumption</t>
  </si>
  <si>
    <t>Total World Liquid Fuels Consumption</t>
  </si>
  <si>
    <t xml:space="preserve">   Finished Liquid Fuels</t>
  </si>
  <si>
    <t xml:space="preserve">Total Liquid Fuels Net Imports   </t>
  </si>
  <si>
    <t>NGIMPUS_PIPE</t>
  </si>
  <si>
    <t>NGIMPUS_LNG</t>
  </si>
  <si>
    <t>NGEXPUS</t>
  </si>
  <si>
    <t>NGNIPUS</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</si>
  <si>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</si>
  <si>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</si>
  <si>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</si>
  <si>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</si>
  <si>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</si>
  <si>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</si>
  <si>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</si>
  <si>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</si>
  <si>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</si>
  <si>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</si>
  <si>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</si>
  <si>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</si>
  <si>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</si>
  <si>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OPEC = Organization of Petroleum Exporting Countries: Algeria, Angola, Libya, and Nigeria (Africa); Ecuador and Venezuela (South America); Iran, Iraq, Kuwait, Qatar, Saudi Arabia, and the United Arab Emirates (Middle East).</t>
  </si>
  <si>
    <t>copc_opec_r06</t>
  </si>
  <si>
    <t xml:space="preserve">   Africa</t>
  </si>
  <si>
    <t>copc_opec_r02</t>
  </si>
  <si>
    <t xml:space="preserve">   South America</t>
  </si>
  <si>
    <t>copc_opec_r05</t>
  </si>
  <si>
    <t xml:space="preserve">   Middle East</t>
  </si>
  <si>
    <t>cops_opec_r06</t>
  </si>
  <si>
    <t>cops_opec_r02</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</si>
  <si>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</si>
  <si>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</si>
  <si>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</si>
  <si>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</si>
  <si>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</si>
  <si>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</si>
  <si>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</si>
  <si>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</si>
  <si>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</si>
  <si>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</si>
  <si>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</si>
  <si>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</si>
  <si>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</si>
  <si>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</si>
  <si>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</si>
  <si>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</si>
  <si>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</si>
  <si>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Inventory Net Withdrawals (million barrels per day)</t>
  </si>
  <si>
    <t>ZWCDPUS</t>
  </si>
  <si>
    <t>Real Fixed Investment</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</si>
  <si>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</si>
  <si>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</si>
  <si>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</si>
  <si>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</si>
  <si>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</si>
  <si>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</si>
  <si>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</si>
  <si>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</si>
  <si>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</si>
  <si>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</si>
  <si>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</si>
  <si>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</si>
  <si>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Commercial Employment</t>
  </si>
  <si>
    <t>EMCMPUS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</si>
  <si>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</si>
  <si>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</si>
  <si>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</si>
  <si>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</si>
  <si>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</si>
  <si>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</si>
  <si>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</si>
  <si>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</si>
  <si>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</si>
  <si>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</si>
  <si>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</si>
  <si>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</si>
  <si>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</si>
  <si>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</si>
  <si>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</si>
  <si>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</si>
  <si>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</si>
  <si>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</si>
  <si>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</si>
  <si>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</si>
  <si>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</si>
  <si>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</si>
  <si>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</si>
  <si>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</si>
  <si>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rgdpq_world</t>
  </si>
  <si>
    <t>rgdpq_world_pct</t>
  </si>
  <si>
    <t>EPEOPUS</t>
  </si>
  <si>
    <t>TSEOPUS</t>
  </si>
  <si>
    <t>ELNIPUS</t>
  </si>
  <si>
    <t>ETXXSUP</t>
  </si>
  <si>
    <t>EXRCPUS</t>
  </si>
  <si>
    <t>EXCCPUS</t>
  </si>
  <si>
    <t>EXICPUS</t>
  </si>
  <si>
    <t>EXACPUS</t>
  </si>
  <si>
    <t>EXTCPUS</t>
  </si>
  <si>
    <t>ESTXPUS</t>
  </si>
  <si>
    <t>Petroleum</t>
  </si>
  <si>
    <t>Natural Gas</t>
  </si>
  <si>
    <t>TETCFUEL</t>
  </si>
  <si>
    <t>Residential</t>
  </si>
  <si>
    <t>GERCBUS</t>
  </si>
  <si>
    <t>Commercial</t>
  </si>
  <si>
    <t>Industrial</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</si>
  <si>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</si>
  <si>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</si>
  <si>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</si>
  <si>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</si>
  <si>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</si>
  <si>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</si>
  <si>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</si>
  <si>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</si>
  <si>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</si>
  <si>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</si>
  <si>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</si>
  <si>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</si>
  <si>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</si>
  <si>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</si>
  <si>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</si>
  <si>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</si>
  <si>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</si>
  <si>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</si>
  <si>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</si>
  <si>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</si>
  <si>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</si>
  <si>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</si>
  <si>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</si>
  <si>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</si>
  <si>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</si>
  <si>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</si>
  <si>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</si>
  <si>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</si>
  <si>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</si>
  <si>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</si>
  <si>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</si>
  <si>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</si>
  <si>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</si>
  <si>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</si>
  <si>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</si>
  <si>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</si>
  <si>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EXRCP_NEC</t>
  </si>
  <si>
    <t>EXRCP_MAC</t>
  </si>
  <si>
    <t>EXRCP_ENC</t>
  </si>
  <si>
    <t>EXRCP_WNC</t>
  </si>
  <si>
    <t>EXRCP_SAC</t>
  </si>
  <si>
    <t>EXRCP_ESC</t>
  </si>
  <si>
    <t>EXRCP_WSC</t>
  </si>
  <si>
    <t>EXRCP_MTN</t>
  </si>
  <si>
    <t>EXRCP_PAC</t>
  </si>
  <si>
    <t>EXCCP_NEC</t>
  </si>
  <si>
    <t>EXCCP_MAC</t>
  </si>
  <si>
    <t xml:space="preserve">OECD = Organization for Economic Cooperation and Development: Australia, Austria, Belgium, Canada, Chile, the Czech Republic, Denmark, Estonia, Finland, </t>
  </si>
  <si>
    <t xml:space="preserve">             France, Germany, Greece, Hungary, Iceland, Ireland, Israel, Italy, Japan, Luxembourg, Mexico, the Netherlands, New Zealand, Norway, Poland, Portugal, </t>
  </si>
  <si>
    <t xml:space="preserve">             Slovakia, Slovenia, South Korea, Spain, Sweden, Switzerland, Turkey, the United Kingdom, and the United States.</t>
  </si>
  <si>
    <t>EXCCP_ENC</t>
  </si>
  <si>
    <t>EXCCP_WNC</t>
  </si>
  <si>
    <t>EXCCP_SAC</t>
  </si>
  <si>
    <t>EXCCP_ESC</t>
  </si>
  <si>
    <t>EXCCP_WSC</t>
  </si>
  <si>
    <t>EXCCP_MTN</t>
  </si>
  <si>
    <t>EXCCP_PAC</t>
  </si>
  <si>
    <t>EXICP_NEC</t>
  </si>
  <si>
    <t>EXICP_MAC</t>
  </si>
  <si>
    <t>EXICP_ENC</t>
  </si>
  <si>
    <t>EXICP_WNC</t>
  </si>
  <si>
    <t>EXICP_SAC</t>
  </si>
  <si>
    <t>EXICP_ESC</t>
  </si>
  <si>
    <t>EXICP_WSC</t>
  </si>
  <si>
    <t>EXICP_MTN</t>
  </si>
  <si>
    <t>EXICP_PAC</t>
  </si>
  <si>
    <t>EXRCP_HAK</t>
  </si>
  <si>
    <t>EXRCP_US</t>
  </si>
  <si>
    <t>EXCCP_HAK</t>
  </si>
  <si>
    <t>EXCCP_US</t>
  </si>
  <si>
    <t>EXICP_HAK</t>
  </si>
  <si>
    <t>EXICP_US</t>
  </si>
  <si>
    <t>EXTCP_NEC</t>
  </si>
  <si>
    <t>EXTCP_MAC</t>
  </si>
  <si>
    <t>EXTCP_ENC</t>
  </si>
  <si>
    <t>EXTCP_WNC</t>
  </si>
  <si>
    <t>EXTCP_SAC</t>
  </si>
  <si>
    <t>EXTCP_ESC</t>
  </si>
  <si>
    <t>EXTCP_WSC</t>
  </si>
  <si>
    <t>EXTCP_MTN</t>
  </si>
  <si>
    <t>EXTCP_PAC</t>
  </si>
  <si>
    <t>EXTCP_HAK</t>
  </si>
  <si>
    <t>EXTCP_US</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</si>
  <si>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</si>
  <si>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</si>
  <si>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</si>
  <si>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</si>
  <si>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</si>
  <si>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</si>
  <si>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</si>
  <si>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</si>
  <si>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</si>
  <si>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</si>
  <si>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</si>
  <si>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</si>
  <si>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</si>
  <si>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</si>
  <si>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</si>
  <si>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</si>
  <si>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</si>
  <si>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</si>
  <si>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</si>
  <si>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</si>
  <si>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</si>
  <si>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</si>
  <si>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</si>
  <si>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</si>
  <si>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</si>
  <si>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</si>
  <si>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</si>
  <si>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</si>
  <si>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</si>
  <si>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Natural gas Henry Hub and WTI crude oil spot prices from Reuter's News Service (http://www.reuters.com).</t>
  </si>
  <si>
    <t>United Kingdom (offshore)</t>
  </si>
  <si>
    <t xml:space="preserve">         Motor Gasoline Blend Comp.</t>
  </si>
  <si>
    <t xml:space="preserve">Refinery Distillation Utilization Factor </t>
  </si>
  <si>
    <t>Former Soviet Union</t>
  </si>
  <si>
    <t>End-of-period Inventories (million short tons)</t>
  </si>
  <si>
    <t>Producer Price Index: Petroleum</t>
  </si>
  <si>
    <t xml:space="preserve">      Metallurgical Coal</t>
  </si>
  <si>
    <t xml:space="preserve">      Steam Coal</t>
  </si>
  <si>
    <t xml:space="preserve">      Residential and Commercial</t>
  </si>
  <si>
    <t xml:space="preserve">      Other Industrial</t>
  </si>
  <si>
    <r>
      <t>Carbon Dioxide (CO</t>
    </r>
    <r>
      <rPr>
        <b/>
        <vertAlign val="subscript"/>
        <sz val="8"/>
        <color indexed="8"/>
        <rFont val="Arial"/>
        <family val="2"/>
      </rPr>
      <t>2</t>
    </r>
    <r>
      <rPr>
        <b/>
        <sz val="8"/>
        <color indexed="8"/>
        <rFont val="Arial"/>
        <family val="2"/>
      </rPr>
      <t>) Emissions (million metric tons)</t>
    </r>
  </si>
  <si>
    <t>Table 3c. OPEC Crude Oil (excluding Condensates) Supply  (million barrels per day)</t>
  </si>
  <si>
    <t>Table 3c. OPEC Crude Oil (excluding Condensates) Supply</t>
  </si>
  <si>
    <t>CGSP_NEC</t>
  </si>
  <si>
    <t>CGSP_MAC</t>
  </si>
  <si>
    <t>CGSP_ENC</t>
  </si>
  <si>
    <t>CGSP_WNC</t>
  </si>
  <si>
    <t>CGSP_SAC</t>
  </si>
  <si>
    <t>CGSP_ESC</t>
  </si>
  <si>
    <t>CGSP_WSC</t>
  </si>
  <si>
    <t>CGSP_MTN</t>
  </si>
  <si>
    <t>CGSP_PAC</t>
  </si>
  <si>
    <t>Sudan production represents total production from both north and south.</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</si>
  <si>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</si>
  <si>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</si>
  <si>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</si>
  <si>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</si>
  <si>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</si>
  <si>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</si>
  <si>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</si>
  <si>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</si>
  <si>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</si>
  <si>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</si>
  <si>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</si>
  <si>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</si>
  <si>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</si>
  <si>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</si>
  <si>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</si>
  <si>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</si>
  <si>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</si>
  <si>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</si>
  <si>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</si>
  <si>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</si>
  <si>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</si>
  <si>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</si>
  <si>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</si>
  <si>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</si>
  <si>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</si>
  <si>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</si>
  <si>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</si>
  <si>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</si>
  <si>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</si>
  <si>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</si>
  <si>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</si>
  <si>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</si>
  <si>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</si>
  <si>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</si>
  <si>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</si>
  <si>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</si>
  <si>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</si>
  <si>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</si>
  <si>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</si>
  <si>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ELDUPUS</t>
  </si>
  <si>
    <t>CONIPUS</t>
  </si>
  <si>
    <t>COSX_DRAW</t>
  </si>
  <si>
    <t>COSQ_DRAW</t>
  </si>
  <si>
    <t xml:space="preserve">   Crude Oil Supply</t>
  </si>
  <si>
    <t xml:space="preserve">   Other Supply</t>
  </si>
  <si>
    <t>PROD_DRAW</t>
  </si>
  <si>
    <t xml:space="preserve">   Natural Gas Liquids and Other Liquids</t>
  </si>
  <si>
    <t>(billion chained 2005 dollars - SAAR)</t>
  </si>
  <si>
    <t>(Index, 2005=100)</t>
  </si>
  <si>
    <t xml:space="preserve">   (billion chained 2005 dollars - SAAR)</t>
  </si>
  <si>
    <t xml:space="preserve">   (billion chained 2005 Dollars - SAAR)</t>
  </si>
  <si>
    <t xml:space="preserve">   (billion chained 2005 dollars-SAAR)</t>
  </si>
  <si>
    <t>Real Gross State Product (Billion $2005)</t>
  </si>
  <si>
    <t>Real Personal Income (Billion $2005)</t>
  </si>
  <si>
    <t>PPTCPUS</t>
  </si>
  <si>
    <t>LGTCPUS</t>
  </si>
  <si>
    <t>UOTCPUS</t>
  </si>
  <si>
    <t>PSTCPUS</t>
  </si>
  <si>
    <t>PAIMPORT</t>
  </si>
  <si>
    <t>(Index, 2007=100)</t>
  </si>
  <si>
    <t>Industrial Production Indices (Index, 2007=100)</t>
  </si>
  <si>
    <t>Industrial Output, Manufacturing (Index, Year 2007=100)</t>
  </si>
  <si>
    <t>PASUPPLY</t>
  </si>
  <si>
    <t>End-of-period Inventories (million barrels)</t>
  </si>
  <si>
    <t>UOPSPUS</t>
  </si>
  <si>
    <t>PPPSPUS</t>
  </si>
  <si>
    <t>LGPSPUS</t>
  </si>
  <si>
    <t>OHPSPUS</t>
  </si>
  <si>
    <t>PSPSPUS</t>
  </si>
  <si>
    <t>AAAA_DATEX or AAAA_YEAR</t>
  </si>
  <si>
    <t>HVECBUS</t>
  </si>
  <si>
    <t>SOECBUS</t>
  </si>
  <si>
    <t>PPRIPUS</t>
  </si>
  <si>
    <t>LGRIPUS</t>
  </si>
  <si>
    <t>UORIPUS</t>
  </si>
  <si>
    <t>MBRIPUS</t>
  </si>
  <si>
    <t>ABRIPUS</t>
  </si>
  <si>
    <t>PARIPUS</t>
  </si>
  <si>
    <t>LGROPUS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</si>
  <si>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</si>
  <si>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</si>
  <si>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</si>
  <si>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</si>
  <si>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</si>
  <si>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</si>
  <si>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</si>
  <si>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</si>
  <si>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</si>
  <si>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</si>
  <si>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</si>
  <si>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</si>
  <si>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</si>
  <si>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</si>
  <si>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</si>
  <si>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</si>
  <si>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Total Fossil Fuels</t>
  </si>
  <si>
    <t>PATCCO2</t>
  </si>
  <si>
    <t>NGTCCO2</t>
  </si>
  <si>
    <t>FFTCCO2</t>
  </si>
  <si>
    <t>NGMPPGLF</t>
  </si>
  <si>
    <t>NGMP48NGOM</t>
  </si>
  <si>
    <t>Supply (billion cubic feet per day)</t>
  </si>
  <si>
    <t>Consumption (billion cubic feet per day)</t>
  </si>
  <si>
    <t xml:space="preserve">Table 1.  U.S Energy Markets Summary </t>
  </si>
  <si>
    <t>End-of-period Inventories (billion cubic feet)</t>
  </si>
  <si>
    <t>NGWG_PROD</t>
  </si>
  <si>
    <t>NGWG_ECON</t>
  </si>
  <si>
    <t>NGWG_WCON</t>
  </si>
  <si>
    <t>Total Consumption</t>
  </si>
  <si>
    <t>RACPUUS</t>
  </si>
  <si>
    <t>DSWHUUS</t>
  </si>
  <si>
    <t>JKTCUUS</t>
  </si>
  <si>
    <t>EOPRPUS</t>
  </si>
  <si>
    <t>Electricity</t>
  </si>
  <si>
    <t>Coal Production</t>
  </si>
  <si>
    <t xml:space="preserve">Energy Consumption  </t>
  </si>
  <si>
    <t>Energy Supply</t>
  </si>
  <si>
    <t>Coal</t>
  </si>
  <si>
    <t>Macroeconomic</t>
  </si>
  <si>
    <t>Manufacturing Production Index</t>
  </si>
  <si>
    <t>Weather</t>
  </si>
  <si>
    <t>U.S. Heating Degree-Days</t>
  </si>
  <si>
    <t>PCPS_EP</t>
  </si>
  <si>
    <t>Table of Contents</t>
  </si>
  <si>
    <t>ZO29IUS</t>
  </si>
  <si>
    <t>ZO52IUS</t>
  </si>
  <si>
    <t>Resins and Synthetic Products</t>
  </si>
  <si>
    <t>ZO53IUS</t>
  </si>
  <si>
    <t>Agricultural Chemicals</t>
  </si>
  <si>
    <t>Natural Gas-weighted (a)</t>
  </si>
  <si>
    <t>Table 4b.  U.S. Petroleum Refinery Balance</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</si>
  <si>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</si>
  <si>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</si>
  <si>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</si>
  <si>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</si>
  <si>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</si>
  <si>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Petroleum Coke (mmb)</t>
  </si>
  <si>
    <t xml:space="preserve">  (Available ton-miles/day, thousands)</t>
  </si>
  <si>
    <t xml:space="preserve">  (Revenue ton-miles/day, thousands)</t>
  </si>
  <si>
    <t>(million short tons)</t>
  </si>
  <si>
    <t>Supply (million barrels per day) (a)</t>
  </si>
  <si>
    <t>Table 4b.  U.S. Petroleum Refinery Balance  (Million Barrels per Day, Except Utilization Factor)</t>
  </si>
  <si>
    <t xml:space="preserve">   Motor Gasoline Blend Components</t>
  </si>
  <si>
    <t xml:space="preserve">   Aviation Gasoline Blend Components</t>
  </si>
  <si>
    <t xml:space="preserve">      On-highway Diesel Fuel</t>
  </si>
  <si>
    <t xml:space="preserve">      Transportation Sector</t>
  </si>
  <si>
    <t xml:space="preserve">   End-Use Prices (cents per kilowatthour)</t>
  </si>
  <si>
    <t>Table 7a.  U.S. Electricity Industry Overview</t>
  </si>
  <si>
    <t>Table 7b. U.S. Regional Electricity Retail Sales  (Million Kilowatthours per Day)</t>
  </si>
  <si>
    <t xml:space="preserve">   Residual Fuel Oil (mmb)</t>
  </si>
  <si>
    <t xml:space="preserve">   Distillate Fuel Oil (mmb)</t>
  </si>
  <si>
    <t>cops_opec</t>
  </si>
  <si>
    <t xml:space="preserve">   Pipeline and Distribution Use</t>
  </si>
  <si>
    <t xml:space="preserve">      Producing Region (d)</t>
  </si>
  <si>
    <t xml:space="preserve">      East Consuming Region (d)</t>
  </si>
  <si>
    <t xml:space="preserve">      West Consuming Region (d)</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</si>
  <si>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</si>
  <si>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</si>
  <si>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</si>
  <si>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</si>
  <si>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</si>
  <si>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</si>
  <si>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</si>
  <si>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</si>
  <si>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</si>
  <si>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</si>
  <si>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</si>
  <si>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</si>
  <si>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</si>
  <si>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</si>
  <si>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EIA does not estimate or project end-use consumption of non-marketed renewable energy.</t>
  </si>
  <si>
    <t xml:space="preserve">   Wood Biomass (b)</t>
  </si>
  <si>
    <t xml:space="preserve">   Waste Biomass (c)</t>
  </si>
  <si>
    <t>(b) Wood and wood-derived fuels.</t>
  </si>
  <si>
    <t>(c) Municipal solid waste from biogenic sources, landfill gas, sludge waste, agricultural byproducts, and other biomass.</t>
  </si>
  <si>
    <t xml:space="preserve">(d) The conversion from physical units to Btu is calculated using a subset of conversion factors used in the calculations of gross energy consumption in EIA’s Monthly Energy Review (MER). </t>
  </si>
  <si>
    <t>Consequently, the historical data may not precisely match those published in the MER or the Annual Energy Review (AER).</t>
  </si>
  <si>
    <t xml:space="preserve">   Percent change from prior year</t>
  </si>
  <si>
    <t>rgdpq_oecd</t>
  </si>
  <si>
    <t>OECD Index, 2007 Q1 = 100</t>
  </si>
  <si>
    <t>rgdpq_oecd_pct</t>
  </si>
  <si>
    <t>rgdpq_nonoecd</t>
  </si>
  <si>
    <t>Non-OECD Index, 2007 Q1 = 100</t>
  </si>
  <si>
    <t>rgdpq_nonoecd_pct</t>
  </si>
  <si>
    <t>World Index, 2007 Q1 = 100</t>
  </si>
  <si>
    <t>(e) Refers to the refiner average acquisition cost (RAC) of crude oil.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</si>
  <si>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</si>
  <si>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</si>
  <si>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</si>
  <si>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</si>
  <si>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Former Soviet Union = Armenia, Azerbaijan, Belarus, Georgia, Kazakhstan, Kyrgyzstan, Latvia, Lithuania, Moldova, Russia, Tajikistan, Turkmenistan, Ukraine and Uzbekistan.</t>
  </si>
  <si>
    <t xml:space="preserve">Minor discrepancies with published historical data are due to independent rounding. </t>
  </si>
  <si>
    <r>
      <t>Projections:</t>
    </r>
    <r>
      <rPr>
        <sz val="8"/>
        <rFont val="Arial"/>
        <family val="2"/>
      </rPr>
      <t xml:space="preserve"> Generated by simulation of the EIA Regional Short-Term Energy Model. Macroeconomic projections are based on Global Insight Model of the U.S. Economy. </t>
    </r>
  </si>
  <si>
    <t>Weather projections from National Oceanic and Atmospheric Administration.</t>
  </si>
  <si>
    <t>(a) Average for all sulfur contents.</t>
  </si>
  <si>
    <t>(b) Average self-service cash price.</t>
  </si>
  <si>
    <t>Prices exclude taxes unless otherwise noted</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</si>
  <si>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</si>
  <si>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</si>
  <si>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r>
      <t xml:space="preserve">Projections: </t>
    </r>
    <r>
      <rPr>
        <sz val="8"/>
        <rFont val="Arial"/>
        <family val="2"/>
      </rPr>
      <t>Generated by simulation of the EIA Regional Short-Term Energy Model.</t>
    </r>
  </si>
  <si>
    <t>OWCCBUS</t>
  </si>
  <si>
    <t>Consumption of petroleum by the non-OECD countries is "apparent consumption," which includes internal consumption, refinery fuel and loss, and bunkering.</t>
  </si>
  <si>
    <t xml:space="preserve">-  </t>
  </si>
  <si>
    <t>(b) Crude oil production from U.S. Federal leases in the Gulf of Mexico (GOM).</t>
  </si>
  <si>
    <t>(c) Net imports equals gross imports minus gross exports.</t>
  </si>
  <si>
    <t>(d) Crude oil adjustment balances supply and consumption and was previously referred to as "Unaccounted for Crude Oil."</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</si>
  <si>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</si>
  <si>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</si>
  <si>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</si>
  <si>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</si>
  <si>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t>(a) "Other Oils" includes aviation gasoline blend components, finished aviation gasoline, kerosene, petrochemical feedstocks, special naphthas, lubricants, waxes, petroleum coke, asphalt and road oil, still gas, and miscellaneous products.</t>
  </si>
  <si>
    <r>
      <t>Petroleum Supply Annual</t>
    </r>
    <r>
      <rPr>
        <sz val="8"/>
        <rFont val="Arial"/>
        <family val="2"/>
      </rPr>
      <t xml:space="preserve">, DOE/EIA-0340/2; </t>
    </r>
    <r>
      <rPr>
        <i/>
        <sz val="8"/>
        <rFont val="Arial"/>
        <family val="2"/>
      </rPr>
      <t>Weekly Petroleum Status Report</t>
    </r>
    <r>
      <rPr>
        <sz val="8"/>
        <rFont val="Arial"/>
        <family val="2"/>
      </rPr>
      <t>, DOE/EIA-0208.</t>
    </r>
  </si>
  <si>
    <t>Regions refer to Petroleum Administration for Defense Districts (PADD).</t>
  </si>
  <si>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</si>
  <si>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international energy statistics.y release.</t>
    </r>
  </si>
  <si>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</si>
  <si>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</si>
  <si>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</si>
  <si>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</si>
  <si>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</si>
  <si>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Real U.S. Dollar Exchange Rate (a)</t>
  </si>
  <si>
    <t>Index, January 2007 = 100</t>
  </si>
  <si>
    <t>forex_world</t>
  </si>
  <si>
    <t>forex_world_pct</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</si>
  <si>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</si>
  <si>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</si>
  <si>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r>
      <t xml:space="preserve">(d) For a list of States in each inventory region refer to </t>
    </r>
    <r>
      <rPr>
        <i/>
        <sz val="8"/>
        <rFont val="Arial"/>
        <family val="2"/>
      </rPr>
      <t>Methodology for EIA Weekly Underground Natural Gas Storage Estimates</t>
    </r>
    <r>
      <rPr>
        <sz val="8"/>
        <rFont val="Arial"/>
        <family val="2"/>
      </rPr>
      <t xml:space="preserve"> (http://tonto.eia.doe.gov/oog/info/ngs/methodology.html).</t>
    </r>
  </si>
  <si>
    <t>papr_TX</t>
  </si>
  <si>
    <t>Turkmenistan</t>
  </si>
  <si>
    <t>Not all countries are shown in each region and sum of reported country volumes may not equal regional volumes.</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</si>
  <si>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</si>
  <si>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</si>
  <si>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</si>
  <si>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</si>
  <si>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</si>
  <si>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</si>
  <si>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</si>
  <si>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</si>
  <si>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</si>
  <si>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r>
      <t xml:space="preserve">for which revenue information is not available. See Table 7.6 of the EIA </t>
    </r>
    <r>
      <rPr>
        <i/>
        <sz val="8"/>
        <rFont val="Arial"/>
        <family val="2"/>
      </rPr>
      <t>Monthly Energy Review</t>
    </r>
    <r>
      <rPr>
        <sz val="8"/>
        <rFont val="Arial"/>
        <family val="2"/>
      </rPr>
      <t>.</t>
    </r>
  </si>
  <si>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</si>
  <si>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(a) Total retail sales to all sectors includes residential, commercial, industrial, and transportation sector sales.</t>
  </si>
  <si>
    <t xml:space="preserve">Retail Sales represents total retail electricity sales by electric utilities and power marketers.    </t>
  </si>
  <si>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xml:space="preserve">, DOE/EIA-0348. </t>
    </r>
  </si>
  <si>
    <t>(a) Volume-weighted average of retail prices to residential, commercial, industrial, and transportation sectors.</t>
  </si>
  <si>
    <t>PARNPUS</t>
  </si>
  <si>
    <t xml:space="preserve">      Renewables and Oxygenate Production (e)</t>
  </si>
  <si>
    <t>PAFPPUS</t>
  </si>
  <si>
    <t xml:space="preserve">      Petroleum Products Adjustment (f)</t>
  </si>
  <si>
    <t>(e) Renewables and oxygenate production includes pentanes plus, oxygenates (excluding fuel ethanol), and renewable fuels.</t>
  </si>
  <si>
    <t>(f) Petroleum products adjustment includes hydrogen/oxygenates/renewables/other hydrocarbons, motor gasoline blend components, and finished motor gasoline.</t>
  </si>
  <si>
    <t>(g) "Other Oils" inludes aviation gasoline blend components, finished aviation gasoline, kerosene, petrochemical feedstocks, special naphthas, lubricants, waxes, petroleum coke, asphalt and road oil, still gas, and miscellaneous products.</t>
  </si>
  <si>
    <t>OHRIPUS</t>
  </si>
  <si>
    <t>papr_ID</t>
  </si>
  <si>
    <t>Indonesia</t>
  </si>
  <si>
    <t>OPEC = Organization of Petroleum Exporting Countries: Algeria, Angola, Ecuador, Iran, Iraq, Kuwait, Libya, Nigeria, Qatar, Saudi Arabia, the United Arab Emirates, Venezuela.</t>
  </si>
  <si>
    <t>Former Soviet Union = Armenia, Azerbaijan, Belarus, Estonia, Georgia, Kazakhstan, Kyrgyzstan, Latvia, Lithuania, Moldova, Russia, Tajikistan, Turkmenistan, Ukraine and Uzbekistan.</t>
  </si>
  <si>
    <t>(b) Includes offshore supply from Denmark, Germany, the Netherlands, Norway, and the United Kingdom.</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</si>
  <si>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DOE/EIA-0109. </t>
    </r>
  </si>
  <si>
    <t xml:space="preserve">      North Sea (b)</t>
  </si>
  <si>
    <t xml:space="preserve">      OPEC</t>
  </si>
  <si>
    <t>Consumption (million barrels per day) (c)</t>
  </si>
  <si>
    <t>Consumer Price Index (all urban consumers)</t>
  </si>
  <si>
    <t>July 2013</t>
  </si>
</sst>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worksheets/sheet1.xml><?xml version="1.0" encoding="utf-8"?>
<worksheet xmlns="http://schemas.openxmlformats.org/spreadsheetml/2006/main" xmlns:r="http://schemas.openxmlformats.org/officeDocument/2006/relationships">
  <sheetPr codeName="Sheet2"/>
  <dimension ref="A1:BV13"/>
  <sheetViews>
    <sheetView workbookViewId="0">
      <selection activeCell="E29" sqref="E29"/>
    </sheetView>
  </sheetViews>
  <sheetFormatPr defaultRowHeight="12.75"/>
  <cols>
    <col min="1" max="1" width="6.28515625" customWidth="1"/>
    <col min="2" max="2" width="14" customWidth="1"/>
  </cols>
  <sheetData>
    <row r="1" spans="1:74">
      <c r="A1" s="272" t="s">
        <v>255</v>
      </c>
      <c r="B1" s="273"/>
      <c r="C1" s="273"/>
      <c r="D1" s="646" t="s">
        <v>1258</v>
      </c>
      <c r="E1" s="273"/>
      <c r="F1" s="273"/>
      <c r="G1" s="273"/>
      <c r="H1" s="273"/>
      <c r="I1" s="273"/>
      <c r="J1" s="273"/>
      <c r="K1" s="273"/>
      <c r="L1" s="273"/>
      <c r="M1" s="273"/>
      <c r="N1" s="273"/>
      <c r="O1" s="273"/>
      <c r="P1" s="273"/>
    </row>
    <row r="3" spans="1:74">
      <c r="A3" t="s">
        <v>116</v>
      </c>
      <c r="D3" s="270">
        <v>2009</v>
      </c>
    </row>
    <row r="4" spans="1:74">
      <c r="D4" s="270"/>
    </row>
    <row r="5" spans="1:74">
      <c r="A5" t="s">
        <v>117</v>
      </c>
      <c r="D5" s="270">
        <f>+D3*100+1</f>
        <v>200901</v>
      </c>
    </row>
    <row r="10" spans="1:74" s="301" customFormat="1">
      <c r="A10" s="301" t="s">
        <v>256</v>
      </c>
    </row>
    <row r="11" spans="1:74" s="12" customFormat="1" ht="11.25">
      <c r="A11" s="43"/>
      <c r="B11" s="44" t="s">
        <v>1064</v>
      </c>
      <c r="C11" s="302">
        <f>+D5</f>
        <v>200901</v>
      </c>
      <c r="D11" s="45">
        <f>C11+1</f>
        <v>200902</v>
      </c>
      <c r="E11" s="45">
        <f>D11+1</f>
        <v>200903</v>
      </c>
      <c r="F11" s="46">
        <f>E11+1</f>
        <v>200904</v>
      </c>
      <c r="G11" s="46">
        <f t="shared" ref="G11:BR11" si="0">F11+1</f>
        <v>200905</v>
      </c>
      <c r="H11" s="46">
        <f t="shared" si="0"/>
        <v>200906</v>
      </c>
      <c r="I11" s="46">
        <f t="shared" si="0"/>
        <v>200907</v>
      </c>
      <c r="J11" s="46">
        <f t="shared" si="0"/>
        <v>200908</v>
      </c>
      <c r="K11" s="46">
        <f t="shared" si="0"/>
        <v>200909</v>
      </c>
      <c r="L11" s="46">
        <f t="shared" si="0"/>
        <v>200910</v>
      </c>
      <c r="M11" s="46">
        <f t="shared" si="0"/>
        <v>200911</v>
      </c>
      <c r="N11" s="46">
        <f t="shared" si="0"/>
        <v>200912</v>
      </c>
      <c r="O11" s="46">
        <f>+C11+100</f>
        <v>201001</v>
      </c>
      <c r="P11" s="46">
        <f t="shared" si="0"/>
        <v>201002</v>
      </c>
      <c r="Q11" s="46">
        <f t="shared" si="0"/>
        <v>201003</v>
      </c>
      <c r="R11" s="46">
        <f t="shared" si="0"/>
        <v>201004</v>
      </c>
      <c r="S11" s="46">
        <f t="shared" si="0"/>
        <v>201005</v>
      </c>
      <c r="T11" s="46">
        <f t="shared" si="0"/>
        <v>201006</v>
      </c>
      <c r="U11" s="46">
        <f t="shared" si="0"/>
        <v>201007</v>
      </c>
      <c r="V11" s="46">
        <f t="shared" si="0"/>
        <v>201008</v>
      </c>
      <c r="W11" s="46">
        <f t="shared" si="0"/>
        <v>201009</v>
      </c>
      <c r="X11" s="46">
        <f t="shared" si="0"/>
        <v>201010</v>
      </c>
      <c r="Y11" s="46">
        <f t="shared" si="0"/>
        <v>201011</v>
      </c>
      <c r="Z11" s="46">
        <f t="shared" si="0"/>
        <v>201012</v>
      </c>
      <c r="AA11" s="46">
        <f>+O11+100</f>
        <v>201101</v>
      </c>
      <c r="AB11" s="46">
        <f t="shared" si="0"/>
        <v>201102</v>
      </c>
      <c r="AC11" s="46">
        <f t="shared" si="0"/>
        <v>201103</v>
      </c>
      <c r="AD11" s="46">
        <f t="shared" si="0"/>
        <v>201104</v>
      </c>
      <c r="AE11" s="46">
        <f t="shared" si="0"/>
        <v>201105</v>
      </c>
      <c r="AF11" s="46">
        <f t="shared" si="0"/>
        <v>201106</v>
      </c>
      <c r="AG11" s="46">
        <f t="shared" si="0"/>
        <v>201107</v>
      </c>
      <c r="AH11" s="46">
        <f t="shared" si="0"/>
        <v>201108</v>
      </c>
      <c r="AI11" s="46">
        <f t="shared" si="0"/>
        <v>201109</v>
      </c>
      <c r="AJ11" s="46">
        <f t="shared" si="0"/>
        <v>201110</v>
      </c>
      <c r="AK11" s="46">
        <f t="shared" si="0"/>
        <v>201111</v>
      </c>
      <c r="AL11" s="46">
        <f t="shared" si="0"/>
        <v>201112</v>
      </c>
      <c r="AM11" s="46">
        <f>+AA11+100</f>
        <v>201201</v>
      </c>
      <c r="AN11" s="46">
        <f t="shared" si="0"/>
        <v>201202</v>
      </c>
      <c r="AO11" s="46">
        <f t="shared" si="0"/>
        <v>201203</v>
      </c>
      <c r="AP11" s="46">
        <f t="shared" si="0"/>
        <v>201204</v>
      </c>
      <c r="AQ11" s="46">
        <f t="shared" si="0"/>
        <v>201205</v>
      </c>
      <c r="AR11" s="46">
        <f t="shared" si="0"/>
        <v>201206</v>
      </c>
      <c r="AS11" s="46">
        <f t="shared" si="0"/>
        <v>201207</v>
      </c>
      <c r="AT11" s="46">
        <f t="shared" si="0"/>
        <v>201208</v>
      </c>
      <c r="AU11" s="46">
        <f t="shared" si="0"/>
        <v>201209</v>
      </c>
      <c r="AV11" s="46">
        <f t="shared" si="0"/>
        <v>201210</v>
      </c>
      <c r="AW11" s="46">
        <f t="shared" si="0"/>
        <v>201211</v>
      </c>
      <c r="AX11" s="46">
        <f t="shared" si="0"/>
        <v>201212</v>
      </c>
      <c r="AY11" s="46">
        <f>+AM11+100</f>
        <v>201301</v>
      </c>
      <c r="AZ11" s="46">
        <f t="shared" si="0"/>
        <v>201302</v>
      </c>
      <c r="BA11" s="46">
        <f t="shared" si="0"/>
        <v>201303</v>
      </c>
      <c r="BB11" s="46">
        <f t="shared" si="0"/>
        <v>201304</v>
      </c>
      <c r="BC11" s="46">
        <f t="shared" si="0"/>
        <v>201305</v>
      </c>
      <c r="BD11" s="46">
        <f t="shared" si="0"/>
        <v>201306</v>
      </c>
      <c r="BE11" s="46">
        <f t="shared" si="0"/>
        <v>201307</v>
      </c>
      <c r="BF11" s="46">
        <f t="shared" si="0"/>
        <v>201308</v>
      </c>
      <c r="BG11" s="46">
        <f t="shared" si="0"/>
        <v>201309</v>
      </c>
      <c r="BH11" s="46">
        <f t="shared" si="0"/>
        <v>201310</v>
      </c>
      <c r="BI11" s="46">
        <f t="shared" si="0"/>
        <v>201311</v>
      </c>
      <c r="BJ11" s="46">
        <f t="shared" si="0"/>
        <v>201312</v>
      </c>
      <c r="BK11" s="46">
        <f>+AY11+100</f>
        <v>201401</v>
      </c>
      <c r="BL11" s="46">
        <f t="shared" si="0"/>
        <v>201402</v>
      </c>
      <c r="BM11" s="46">
        <f t="shared" si="0"/>
        <v>201403</v>
      </c>
      <c r="BN11" s="46">
        <f t="shared" si="0"/>
        <v>201404</v>
      </c>
      <c r="BO11" s="46">
        <f t="shared" si="0"/>
        <v>201405</v>
      </c>
      <c r="BP11" s="46">
        <f t="shared" si="0"/>
        <v>201406</v>
      </c>
      <c r="BQ11" s="46">
        <f t="shared" si="0"/>
        <v>201407</v>
      </c>
      <c r="BR11" s="46">
        <f t="shared" si="0"/>
        <v>201408</v>
      </c>
      <c r="BS11" s="46">
        <f>BR11+1</f>
        <v>201409</v>
      </c>
      <c r="BT11" s="46">
        <f>BS11+1</f>
        <v>201410</v>
      </c>
      <c r="BU11" s="46">
        <f>BT11+1</f>
        <v>201411</v>
      </c>
      <c r="BV11" s="46">
        <f>BU11+1</f>
        <v>201412</v>
      </c>
    </row>
    <row r="12" spans="1:74" s="12" customFormat="1" ht="11.25">
      <c r="A12" s="43"/>
      <c r="B12" s="47" t="s">
        <v>276</v>
      </c>
      <c r="C12" s="48">
        <v>181</v>
      </c>
      <c r="D12" s="48">
        <v>182</v>
      </c>
      <c r="E12" s="48">
        <v>183</v>
      </c>
      <c r="F12" s="48">
        <v>184</v>
      </c>
      <c r="G12" s="48">
        <v>185</v>
      </c>
      <c r="H12" s="48">
        <v>186</v>
      </c>
      <c r="I12" s="48">
        <v>187</v>
      </c>
      <c r="J12" s="48">
        <v>188</v>
      </c>
      <c r="K12" s="48">
        <v>189</v>
      </c>
      <c r="L12" s="48">
        <v>190</v>
      </c>
      <c r="M12" s="48">
        <v>191</v>
      </c>
      <c r="N12" s="48">
        <v>192</v>
      </c>
      <c r="O12" s="48">
        <v>193</v>
      </c>
      <c r="P12" s="48">
        <v>194</v>
      </c>
      <c r="Q12" s="48">
        <v>195</v>
      </c>
      <c r="R12" s="48">
        <v>196</v>
      </c>
      <c r="S12" s="48">
        <v>197</v>
      </c>
      <c r="T12" s="48">
        <v>198</v>
      </c>
      <c r="U12" s="48">
        <v>199</v>
      </c>
      <c r="V12" s="48">
        <v>200</v>
      </c>
      <c r="W12" s="48">
        <v>201</v>
      </c>
      <c r="X12" s="48">
        <v>202</v>
      </c>
      <c r="Y12" s="48">
        <v>203</v>
      </c>
      <c r="Z12" s="48">
        <v>204</v>
      </c>
      <c r="AA12" s="48">
        <v>205</v>
      </c>
      <c r="AB12" s="48">
        <v>206</v>
      </c>
      <c r="AC12" s="48">
        <v>207</v>
      </c>
      <c r="AD12" s="48">
        <v>208</v>
      </c>
      <c r="AE12" s="48">
        <v>209</v>
      </c>
      <c r="AF12" s="48">
        <v>210</v>
      </c>
      <c r="AG12" s="48">
        <v>211</v>
      </c>
      <c r="AH12" s="48">
        <v>212</v>
      </c>
      <c r="AI12" s="48">
        <v>213</v>
      </c>
      <c r="AJ12" s="48">
        <v>214</v>
      </c>
      <c r="AK12" s="48">
        <v>215</v>
      </c>
      <c r="AL12" s="48">
        <v>216</v>
      </c>
      <c r="AM12" s="48">
        <v>217</v>
      </c>
      <c r="AN12" s="48">
        <v>218</v>
      </c>
      <c r="AO12" s="48">
        <v>219</v>
      </c>
      <c r="AP12" s="48">
        <v>220</v>
      </c>
      <c r="AQ12" s="48">
        <v>221</v>
      </c>
      <c r="AR12" s="48">
        <v>222</v>
      </c>
      <c r="AS12" s="48">
        <v>223</v>
      </c>
      <c r="AT12" s="48">
        <v>224</v>
      </c>
      <c r="AU12" s="48">
        <v>225</v>
      </c>
      <c r="AV12" s="48">
        <v>226</v>
      </c>
      <c r="AW12" s="48">
        <v>227</v>
      </c>
      <c r="AX12" s="48">
        <v>228</v>
      </c>
      <c r="AY12" s="48">
        <v>229</v>
      </c>
      <c r="AZ12" s="48">
        <v>230</v>
      </c>
      <c r="BA12" s="48">
        <v>231</v>
      </c>
      <c r="BB12" s="48">
        <v>232</v>
      </c>
      <c r="BC12" s="48">
        <v>233</v>
      </c>
      <c r="BD12" s="48">
        <v>234</v>
      </c>
      <c r="BE12" s="48">
        <v>235</v>
      </c>
      <c r="BF12" s="48">
        <v>236</v>
      </c>
      <c r="BG12" s="48">
        <v>237</v>
      </c>
      <c r="BH12" s="48">
        <v>238</v>
      </c>
      <c r="BI12" s="48">
        <v>239</v>
      </c>
      <c r="BJ12" s="48">
        <v>240</v>
      </c>
      <c r="BK12" s="48">
        <v>241</v>
      </c>
      <c r="BL12" s="48">
        <v>242</v>
      </c>
      <c r="BM12" s="48">
        <v>243</v>
      </c>
      <c r="BN12" s="48">
        <v>244</v>
      </c>
      <c r="BO12" s="48">
        <v>245</v>
      </c>
      <c r="BP12" s="48">
        <v>246</v>
      </c>
      <c r="BQ12" s="48">
        <v>247</v>
      </c>
      <c r="BR12" s="48">
        <v>248</v>
      </c>
      <c r="BS12" s="48">
        <v>249</v>
      </c>
      <c r="BT12" s="48">
        <v>250</v>
      </c>
      <c r="BU12" s="48">
        <v>251</v>
      </c>
      <c r="BV12" s="48">
        <v>252</v>
      </c>
    </row>
    <row r="13" spans="1:74" s="301" customFormat="1"/>
  </sheetData>
  <phoneticPr fontId="2"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sheetPr transitionEvaluation="1" transitionEntry="1" codeName="Sheet1">
    <pageSetUpPr fitToPage="1"/>
  </sheetPr>
  <dimension ref="A1:BV143"/>
  <sheetViews>
    <sheetView showGridLines="0" workbookViewId="0">
      <pane xSplit="2" ySplit="4" topLeftCell="AY5" activePane="bottomRight" state="frozen"/>
      <selection activeCell="AV7" sqref="AV7"/>
      <selection pane="topRight" activeCell="AV7" sqref="AV7"/>
      <selection pane="bottomLeft" activeCell="AV7" sqref="AV7"/>
      <selection pane="bottomRight" activeCell="BC42" sqref="BC42"/>
    </sheetView>
  </sheetViews>
  <sheetFormatPr defaultColWidth="9.85546875" defaultRowHeight="11.25"/>
  <cols>
    <col min="1" max="1" width="8.7109375" style="13" customWidth="1"/>
    <col min="2" max="2" width="39.140625" style="13" customWidth="1"/>
    <col min="3" max="3" width="8.5703125" style="13" bestFit="1" customWidth="1"/>
    <col min="4" max="50" width="6.7109375" style="13" customWidth="1"/>
    <col min="51" max="62" width="6.7109375" style="423" customWidth="1"/>
    <col min="63" max="74" width="6.7109375" style="13" customWidth="1"/>
    <col min="75" max="16384" width="9.85546875" style="13"/>
  </cols>
  <sheetData>
    <row r="1" spans="1:74" ht="13.15" customHeight="1">
      <c r="A1" s="657" t="s">
        <v>1118</v>
      </c>
      <c r="B1" s="674" t="s">
        <v>144</v>
      </c>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c r="AM1" s="266"/>
    </row>
    <row r="2" spans="1:74" ht="12.75">
      <c r="A2" s="658"/>
      <c r="B2" s="553" t="str">
        <f>"U.S. Energy Information Administration   |   Short-Term Energy Outlook  - "&amp;Dates!D1</f>
        <v>U.S. Energy Information Administration   |   Short-Term Energy Outlook  - July 2013</v>
      </c>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555"/>
      <c r="AC2" s="555"/>
      <c r="AD2" s="555"/>
      <c r="AE2" s="555"/>
      <c r="AF2" s="555"/>
      <c r="AG2" s="555"/>
      <c r="AH2" s="555"/>
      <c r="AI2" s="555"/>
      <c r="AJ2" s="555"/>
      <c r="AK2" s="555"/>
      <c r="AL2" s="555"/>
      <c r="AM2" s="266"/>
    </row>
    <row r="3" spans="1:74" s="12" customFormat="1" ht="12.75">
      <c r="A3" s="14"/>
      <c r="B3" s="15"/>
      <c r="C3" s="662">
        <f>Dates!D3</f>
        <v>2009</v>
      </c>
      <c r="D3" s="653"/>
      <c r="E3" s="653"/>
      <c r="F3" s="653"/>
      <c r="G3" s="653"/>
      <c r="H3" s="653"/>
      <c r="I3" s="653"/>
      <c r="J3" s="653"/>
      <c r="K3" s="653"/>
      <c r="L3" s="653"/>
      <c r="M3" s="653"/>
      <c r="N3" s="654"/>
      <c r="O3" s="662">
        <f>C3+1</f>
        <v>2010</v>
      </c>
      <c r="P3" s="663"/>
      <c r="Q3" s="663"/>
      <c r="R3" s="663"/>
      <c r="S3" s="663"/>
      <c r="T3" s="663"/>
      <c r="U3" s="663"/>
      <c r="V3" s="663"/>
      <c r="W3" s="663"/>
      <c r="X3" s="653"/>
      <c r="Y3" s="653"/>
      <c r="Z3" s="654"/>
      <c r="AA3" s="652">
        <f>O3+1</f>
        <v>2011</v>
      </c>
      <c r="AB3" s="653"/>
      <c r="AC3" s="653"/>
      <c r="AD3" s="653"/>
      <c r="AE3" s="653"/>
      <c r="AF3" s="653"/>
      <c r="AG3" s="653"/>
      <c r="AH3" s="653"/>
      <c r="AI3" s="653"/>
      <c r="AJ3" s="653"/>
      <c r="AK3" s="653"/>
      <c r="AL3" s="654"/>
      <c r="AM3" s="652">
        <f>AA3+1</f>
        <v>2012</v>
      </c>
      <c r="AN3" s="653"/>
      <c r="AO3" s="653"/>
      <c r="AP3" s="653"/>
      <c r="AQ3" s="653"/>
      <c r="AR3" s="653"/>
      <c r="AS3" s="653"/>
      <c r="AT3" s="653"/>
      <c r="AU3" s="653"/>
      <c r="AV3" s="653"/>
      <c r="AW3" s="653"/>
      <c r="AX3" s="654"/>
      <c r="AY3" s="652">
        <f>AM3+1</f>
        <v>2013</v>
      </c>
      <c r="AZ3" s="659"/>
      <c r="BA3" s="659"/>
      <c r="BB3" s="659"/>
      <c r="BC3" s="659"/>
      <c r="BD3" s="659"/>
      <c r="BE3" s="659"/>
      <c r="BF3" s="659"/>
      <c r="BG3" s="659"/>
      <c r="BH3" s="659"/>
      <c r="BI3" s="659"/>
      <c r="BJ3" s="660"/>
      <c r="BK3" s="652">
        <f>AY3+1</f>
        <v>2014</v>
      </c>
      <c r="BL3" s="653"/>
      <c r="BM3" s="653"/>
      <c r="BN3" s="653"/>
      <c r="BO3" s="653"/>
      <c r="BP3" s="653"/>
      <c r="BQ3" s="653"/>
      <c r="BR3" s="653"/>
      <c r="BS3" s="653"/>
      <c r="BT3" s="653"/>
      <c r="BU3" s="653"/>
      <c r="BV3" s="654"/>
    </row>
    <row r="4" spans="1:74" s="12" customFormat="1">
      <c r="A4" s="16"/>
      <c r="B4" s="17"/>
      <c r="C4" s="18" t="s">
        <v>678</v>
      </c>
      <c r="D4" s="18" t="s">
        <v>679</v>
      </c>
      <c r="E4" s="18" t="s">
        <v>680</v>
      </c>
      <c r="F4" s="18" t="s">
        <v>681</v>
      </c>
      <c r="G4" s="18" t="s">
        <v>682</v>
      </c>
      <c r="H4" s="18" t="s">
        <v>683</v>
      </c>
      <c r="I4" s="18" t="s">
        <v>684</v>
      </c>
      <c r="J4" s="18" t="s">
        <v>685</v>
      </c>
      <c r="K4" s="18" t="s">
        <v>686</v>
      </c>
      <c r="L4" s="18" t="s">
        <v>687</v>
      </c>
      <c r="M4" s="18" t="s">
        <v>688</v>
      </c>
      <c r="N4" s="18" t="s">
        <v>689</v>
      </c>
      <c r="O4" s="18" t="s">
        <v>678</v>
      </c>
      <c r="P4" s="18" t="s">
        <v>679</v>
      </c>
      <c r="Q4" s="18" t="s">
        <v>680</v>
      </c>
      <c r="R4" s="18" t="s">
        <v>681</v>
      </c>
      <c r="S4" s="18" t="s">
        <v>682</v>
      </c>
      <c r="T4" s="18" t="s">
        <v>683</v>
      </c>
      <c r="U4" s="18" t="s">
        <v>684</v>
      </c>
      <c r="V4" s="18" t="s">
        <v>685</v>
      </c>
      <c r="W4" s="18" t="s">
        <v>686</v>
      </c>
      <c r="X4" s="18" t="s">
        <v>687</v>
      </c>
      <c r="Y4" s="18" t="s">
        <v>688</v>
      </c>
      <c r="Z4" s="18" t="s">
        <v>689</v>
      </c>
      <c r="AA4" s="18" t="s">
        <v>678</v>
      </c>
      <c r="AB4" s="18" t="s">
        <v>679</v>
      </c>
      <c r="AC4" s="18" t="s">
        <v>680</v>
      </c>
      <c r="AD4" s="18" t="s">
        <v>681</v>
      </c>
      <c r="AE4" s="18" t="s">
        <v>682</v>
      </c>
      <c r="AF4" s="18" t="s">
        <v>683</v>
      </c>
      <c r="AG4" s="18" t="s">
        <v>684</v>
      </c>
      <c r="AH4" s="18" t="s">
        <v>685</v>
      </c>
      <c r="AI4" s="18" t="s">
        <v>686</v>
      </c>
      <c r="AJ4" s="18" t="s">
        <v>687</v>
      </c>
      <c r="AK4" s="18" t="s">
        <v>688</v>
      </c>
      <c r="AL4" s="18" t="s">
        <v>689</v>
      </c>
      <c r="AM4" s="18" t="s">
        <v>678</v>
      </c>
      <c r="AN4" s="18" t="s">
        <v>679</v>
      </c>
      <c r="AO4" s="18" t="s">
        <v>680</v>
      </c>
      <c r="AP4" s="18" t="s">
        <v>681</v>
      </c>
      <c r="AQ4" s="18" t="s">
        <v>682</v>
      </c>
      <c r="AR4" s="18" t="s">
        <v>683</v>
      </c>
      <c r="AS4" s="18" t="s">
        <v>684</v>
      </c>
      <c r="AT4" s="18" t="s">
        <v>685</v>
      </c>
      <c r="AU4" s="18" t="s">
        <v>686</v>
      </c>
      <c r="AV4" s="18" t="s">
        <v>687</v>
      </c>
      <c r="AW4" s="18" t="s">
        <v>688</v>
      </c>
      <c r="AX4" s="18" t="s">
        <v>689</v>
      </c>
      <c r="AY4" s="18" t="s">
        <v>678</v>
      </c>
      <c r="AZ4" s="18" t="s">
        <v>679</v>
      </c>
      <c r="BA4" s="18" t="s">
        <v>680</v>
      </c>
      <c r="BB4" s="18" t="s">
        <v>681</v>
      </c>
      <c r="BC4" s="18" t="s">
        <v>682</v>
      </c>
      <c r="BD4" s="18" t="s">
        <v>683</v>
      </c>
      <c r="BE4" s="18" t="s">
        <v>684</v>
      </c>
      <c r="BF4" s="18" t="s">
        <v>685</v>
      </c>
      <c r="BG4" s="18" t="s">
        <v>686</v>
      </c>
      <c r="BH4" s="18" t="s">
        <v>687</v>
      </c>
      <c r="BI4" s="18" t="s">
        <v>688</v>
      </c>
      <c r="BJ4" s="18" t="s">
        <v>689</v>
      </c>
      <c r="BK4" s="18" t="s">
        <v>678</v>
      </c>
      <c r="BL4" s="18" t="s">
        <v>679</v>
      </c>
      <c r="BM4" s="18" t="s">
        <v>680</v>
      </c>
      <c r="BN4" s="18" t="s">
        <v>681</v>
      </c>
      <c r="BO4" s="18" t="s">
        <v>682</v>
      </c>
      <c r="BP4" s="18" t="s">
        <v>683</v>
      </c>
      <c r="BQ4" s="18" t="s">
        <v>684</v>
      </c>
      <c r="BR4" s="18" t="s">
        <v>685</v>
      </c>
      <c r="BS4" s="18" t="s">
        <v>686</v>
      </c>
      <c r="BT4" s="18" t="s">
        <v>687</v>
      </c>
      <c r="BU4" s="18" t="s">
        <v>688</v>
      </c>
      <c r="BV4" s="18" t="s">
        <v>689</v>
      </c>
    </row>
    <row r="5" spans="1:74" ht="11.1" customHeight="1">
      <c r="A5" s="49"/>
      <c r="B5" s="50" t="s">
        <v>121</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row>
    <row r="6" spans="1:74" ht="11.1" customHeight="1">
      <c r="A6" s="52" t="s">
        <v>729</v>
      </c>
      <c r="B6" s="151" t="s">
        <v>676</v>
      </c>
      <c r="C6" s="219">
        <v>41.68</v>
      </c>
      <c r="D6" s="219">
        <v>39.090000000000003</v>
      </c>
      <c r="E6" s="219">
        <v>47.94</v>
      </c>
      <c r="F6" s="219">
        <v>49.66</v>
      </c>
      <c r="G6" s="219">
        <v>59.05</v>
      </c>
      <c r="H6" s="219">
        <v>69.64</v>
      </c>
      <c r="I6" s="219">
        <v>64.150000000000006</v>
      </c>
      <c r="J6" s="219">
        <v>71.040000000000006</v>
      </c>
      <c r="K6" s="219">
        <v>69.41</v>
      </c>
      <c r="L6" s="219">
        <v>75.72</v>
      </c>
      <c r="M6" s="219">
        <v>77.989999999999995</v>
      </c>
      <c r="N6" s="219">
        <v>74.47</v>
      </c>
      <c r="O6" s="219">
        <v>78.33</v>
      </c>
      <c r="P6" s="219">
        <v>76.39</v>
      </c>
      <c r="Q6" s="219">
        <v>81.2</v>
      </c>
      <c r="R6" s="219">
        <v>84.29</v>
      </c>
      <c r="S6" s="219">
        <v>73.739999999999995</v>
      </c>
      <c r="T6" s="219">
        <v>75.34</v>
      </c>
      <c r="U6" s="219">
        <v>76.319999999999993</v>
      </c>
      <c r="V6" s="219">
        <v>76.599999999999994</v>
      </c>
      <c r="W6" s="219">
        <v>75.239999999999995</v>
      </c>
      <c r="X6" s="219">
        <v>81.89</v>
      </c>
      <c r="Y6" s="219">
        <v>84.25</v>
      </c>
      <c r="Z6" s="219">
        <v>89.15</v>
      </c>
      <c r="AA6" s="219">
        <v>89.17</v>
      </c>
      <c r="AB6" s="219">
        <v>88.58</v>
      </c>
      <c r="AC6" s="219">
        <v>102.76</v>
      </c>
      <c r="AD6" s="219">
        <v>109.53</v>
      </c>
      <c r="AE6" s="219">
        <v>100.9</v>
      </c>
      <c r="AF6" s="219">
        <v>96.24</v>
      </c>
      <c r="AG6" s="219">
        <v>97.3</v>
      </c>
      <c r="AH6" s="219">
        <v>86.33</v>
      </c>
      <c r="AI6" s="219">
        <v>85.52</v>
      </c>
      <c r="AJ6" s="219">
        <v>86.32</v>
      </c>
      <c r="AK6" s="219">
        <v>97.13</v>
      </c>
      <c r="AL6" s="219">
        <v>98.53</v>
      </c>
      <c r="AM6" s="219">
        <v>100.27</v>
      </c>
      <c r="AN6" s="219">
        <v>102.2</v>
      </c>
      <c r="AO6" s="219">
        <v>106.16</v>
      </c>
      <c r="AP6" s="219">
        <v>103.32</v>
      </c>
      <c r="AQ6" s="219">
        <v>94.65</v>
      </c>
      <c r="AR6" s="219">
        <v>82.3</v>
      </c>
      <c r="AS6" s="219">
        <v>87.9</v>
      </c>
      <c r="AT6" s="219">
        <v>94.3</v>
      </c>
      <c r="AU6" s="219">
        <v>94.51</v>
      </c>
      <c r="AV6" s="219">
        <v>89.491304348</v>
      </c>
      <c r="AW6" s="219">
        <v>86.53</v>
      </c>
      <c r="AX6" s="219">
        <v>87.86</v>
      </c>
      <c r="AY6" s="219">
        <v>94.76</v>
      </c>
      <c r="AZ6" s="219">
        <v>95.31</v>
      </c>
      <c r="BA6" s="219">
        <v>92.94</v>
      </c>
      <c r="BB6" s="219">
        <v>92.02</v>
      </c>
      <c r="BC6" s="219">
        <v>94.51</v>
      </c>
      <c r="BD6" s="219">
        <v>95.77</v>
      </c>
      <c r="BE6" s="333">
        <v>96</v>
      </c>
      <c r="BF6" s="333">
        <v>95.5</v>
      </c>
      <c r="BG6" s="333">
        <v>95</v>
      </c>
      <c r="BH6" s="333">
        <v>95</v>
      </c>
      <c r="BI6" s="333">
        <v>94.5</v>
      </c>
      <c r="BJ6" s="333">
        <v>94.5</v>
      </c>
      <c r="BK6" s="333">
        <v>94</v>
      </c>
      <c r="BL6" s="333">
        <v>93.5</v>
      </c>
      <c r="BM6" s="333">
        <v>93</v>
      </c>
      <c r="BN6" s="333">
        <v>93</v>
      </c>
      <c r="BO6" s="333">
        <v>92.5</v>
      </c>
      <c r="BP6" s="333">
        <v>92</v>
      </c>
      <c r="BQ6" s="333">
        <v>91.5</v>
      </c>
      <c r="BR6" s="333">
        <v>91.5</v>
      </c>
      <c r="BS6" s="333">
        <v>91</v>
      </c>
      <c r="BT6" s="333">
        <v>91</v>
      </c>
      <c r="BU6" s="333">
        <v>90.5</v>
      </c>
      <c r="BV6" s="333">
        <v>90</v>
      </c>
    </row>
    <row r="7" spans="1:74" ht="11.1" customHeight="1">
      <c r="A7" s="52" t="s">
        <v>107</v>
      </c>
      <c r="B7" s="151" t="s">
        <v>106</v>
      </c>
      <c r="C7" s="219">
        <v>43.44</v>
      </c>
      <c r="D7" s="219">
        <v>43.32</v>
      </c>
      <c r="E7" s="219">
        <v>46.54</v>
      </c>
      <c r="F7" s="219">
        <v>50.18</v>
      </c>
      <c r="G7" s="219">
        <v>57.3</v>
      </c>
      <c r="H7" s="219">
        <v>68.61</v>
      </c>
      <c r="I7" s="219">
        <v>64.44</v>
      </c>
      <c r="J7" s="219">
        <v>72.510000000000005</v>
      </c>
      <c r="K7" s="219">
        <v>67.650000000000006</v>
      </c>
      <c r="L7" s="219">
        <v>72.77</v>
      </c>
      <c r="M7" s="219">
        <v>76.66</v>
      </c>
      <c r="N7" s="219">
        <v>74.459999999999994</v>
      </c>
      <c r="O7" s="219">
        <v>76.17</v>
      </c>
      <c r="P7" s="219">
        <v>73.75</v>
      </c>
      <c r="Q7" s="219">
        <v>78.83</v>
      </c>
      <c r="R7" s="219">
        <v>84.82</v>
      </c>
      <c r="S7" s="219">
        <v>75.95</v>
      </c>
      <c r="T7" s="219">
        <v>74.760000000000005</v>
      </c>
      <c r="U7" s="219">
        <v>75.58</v>
      </c>
      <c r="V7" s="219">
        <v>77.040000000000006</v>
      </c>
      <c r="W7" s="219">
        <v>77.84</v>
      </c>
      <c r="X7" s="219">
        <v>82.67</v>
      </c>
      <c r="Y7" s="219">
        <v>85.28</v>
      </c>
      <c r="Z7" s="219">
        <v>91.45</v>
      </c>
      <c r="AA7" s="219">
        <v>96.52</v>
      </c>
      <c r="AB7" s="219">
        <v>103.72</v>
      </c>
      <c r="AC7" s="219">
        <v>114.64</v>
      </c>
      <c r="AD7" s="219">
        <v>123.26</v>
      </c>
      <c r="AE7" s="219">
        <v>114.99</v>
      </c>
      <c r="AF7" s="219">
        <v>113.83</v>
      </c>
      <c r="AG7" s="219">
        <v>116.97</v>
      </c>
      <c r="AH7" s="219">
        <v>110.22</v>
      </c>
      <c r="AI7" s="219">
        <v>112.83</v>
      </c>
      <c r="AJ7" s="219">
        <v>109.55</v>
      </c>
      <c r="AK7" s="219">
        <v>110.77</v>
      </c>
      <c r="AL7" s="219">
        <v>107.87</v>
      </c>
      <c r="AM7" s="219">
        <v>110.69</v>
      </c>
      <c r="AN7" s="219">
        <v>119.33</v>
      </c>
      <c r="AO7" s="219">
        <v>125.45</v>
      </c>
      <c r="AP7" s="219">
        <v>119.75</v>
      </c>
      <c r="AQ7" s="219">
        <v>110.34</v>
      </c>
      <c r="AR7" s="219">
        <v>95.16</v>
      </c>
      <c r="AS7" s="219">
        <v>102.62</v>
      </c>
      <c r="AT7" s="219">
        <v>113.36</v>
      </c>
      <c r="AU7" s="219">
        <v>112.86</v>
      </c>
      <c r="AV7" s="219">
        <v>111.71086957</v>
      </c>
      <c r="AW7" s="219">
        <v>109.06</v>
      </c>
      <c r="AX7" s="219">
        <v>109.43</v>
      </c>
      <c r="AY7" s="219">
        <v>112.96</v>
      </c>
      <c r="AZ7" s="219">
        <v>116.02</v>
      </c>
      <c r="BA7" s="219">
        <v>108.47</v>
      </c>
      <c r="BB7" s="219">
        <v>102.25</v>
      </c>
      <c r="BC7" s="219">
        <v>102.56</v>
      </c>
      <c r="BD7" s="219">
        <v>102.92</v>
      </c>
      <c r="BE7" s="333">
        <v>101.5</v>
      </c>
      <c r="BF7" s="333">
        <v>101.5</v>
      </c>
      <c r="BG7" s="333">
        <v>101.5</v>
      </c>
      <c r="BH7" s="333">
        <v>102</v>
      </c>
      <c r="BI7" s="333">
        <v>102</v>
      </c>
      <c r="BJ7" s="333">
        <v>102.5</v>
      </c>
      <c r="BK7" s="333">
        <v>102.5</v>
      </c>
      <c r="BL7" s="333">
        <v>102</v>
      </c>
      <c r="BM7" s="333">
        <v>101.5</v>
      </c>
      <c r="BN7" s="333">
        <v>101</v>
      </c>
      <c r="BO7" s="333">
        <v>100.5</v>
      </c>
      <c r="BP7" s="333">
        <v>100</v>
      </c>
      <c r="BQ7" s="333">
        <v>99.5</v>
      </c>
      <c r="BR7" s="333">
        <v>99</v>
      </c>
      <c r="BS7" s="333">
        <v>98.5</v>
      </c>
      <c r="BT7" s="333">
        <v>98</v>
      </c>
      <c r="BU7" s="333">
        <v>97.5</v>
      </c>
      <c r="BV7" s="333">
        <v>97</v>
      </c>
    </row>
    <row r="8" spans="1:74" ht="11.1" customHeight="1">
      <c r="A8" s="52" t="s">
        <v>728</v>
      </c>
      <c r="B8" s="151" t="s">
        <v>120</v>
      </c>
      <c r="C8" s="219">
        <v>36.840000000000003</v>
      </c>
      <c r="D8" s="219">
        <v>38.56</v>
      </c>
      <c r="E8" s="219">
        <v>45.96</v>
      </c>
      <c r="F8" s="219">
        <v>49.58</v>
      </c>
      <c r="G8" s="219">
        <v>56.77</v>
      </c>
      <c r="H8" s="219">
        <v>66.37</v>
      </c>
      <c r="I8" s="219">
        <v>63.46</v>
      </c>
      <c r="J8" s="219">
        <v>68.09</v>
      </c>
      <c r="K8" s="219">
        <v>67.650000000000006</v>
      </c>
      <c r="L8" s="219">
        <v>72.06</v>
      </c>
      <c r="M8" s="219">
        <v>74.400000000000006</v>
      </c>
      <c r="N8" s="219">
        <v>72.67</v>
      </c>
      <c r="O8" s="219">
        <v>75.069999999999993</v>
      </c>
      <c r="P8" s="219">
        <v>73.73</v>
      </c>
      <c r="Q8" s="219">
        <v>76.77</v>
      </c>
      <c r="R8" s="219">
        <v>80.03</v>
      </c>
      <c r="S8" s="219">
        <v>71.150000000000006</v>
      </c>
      <c r="T8" s="219">
        <v>71.91</v>
      </c>
      <c r="U8" s="219">
        <v>73.25</v>
      </c>
      <c r="V8" s="219">
        <v>73.5</v>
      </c>
      <c r="W8" s="219">
        <v>73.2</v>
      </c>
      <c r="X8" s="219">
        <v>77.02</v>
      </c>
      <c r="Y8" s="219">
        <v>80.400000000000006</v>
      </c>
      <c r="Z8" s="219">
        <v>85.59</v>
      </c>
      <c r="AA8" s="219">
        <v>87.99</v>
      </c>
      <c r="AB8" s="219">
        <v>91.72</v>
      </c>
      <c r="AC8" s="219">
        <v>102.48</v>
      </c>
      <c r="AD8" s="219">
        <v>113.08</v>
      </c>
      <c r="AE8" s="219">
        <v>107.99</v>
      </c>
      <c r="AF8" s="219">
        <v>105.36</v>
      </c>
      <c r="AG8" s="219">
        <v>105.94</v>
      </c>
      <c r="AH8" s="219">
        <v>99.01</v>
      </c>
      <c r="AI8" s="219">
        <v>101.05</v>
      </c>
      <c r="AJ8" s="219">
        <v>102.05</v>
      </c>
      <c r="AK8" s="219">
        <v>107.67</v>
      </c>
      <c r="AL8" s="219">
        <v>106.52</v>
      </c>
      <c r="AM8" s="219">
        <v>105.25</v>
      </c>
      <c r="AN8" s="219">
        <v>108.08</v>
      </c>
      <c r="AO8" s="219">
        <v>111</v>
      </c>
      <c r="AP8" s="219">
        <v>108.52</v>
      </c>
      <c r="AQ8" s="219">
        <v>103.26</v>
      </c>
      <c r="AR8" s="219">
        <v>92.18</v>
      </c>
      <c r="AS8" s="219">
        <v>92.98</v>
      </c>
      <c r="AT8" s="219">
        <v>97.07</v>
      </c>
      <c r="AU8" s="219">
        <v>101.82</v>
      </c>
      <c r="AV8" s="219">
        <v>100.92</v>
      </c>
      <c r="AW8" s="219">
        <v>98.07</v>
      </c>
      <c r="AX8" s="219">
        <v>93.7</v>
      </c>
      <c r="AY8" s="219">
        <v>97.91</v>
      </c>
      <c r="AZ8" s="219">
        <v>99.23</v>
      </c>
      <c r="BA8" s="219">
        <v>99.11</v>
      </c>
      <c r="BB8" s="219">
        <v>96.45</v>
      </c>
      <c r="BC8" s="219">
        <v>99.51</v>
      </c>
      <c r="BD8" s="219">
        <v>100.77</v>
      </c>
      <c r="BE8" s="333">
        <v>101</v>
      </c>
      <c r="BF8" s="333">
        <v>100.5</v>
      </c>
      <c r="BG8" s="333">
        <v>100</v>
      </c>
      <c r="BH8" s="333">
        <v>100</v>
      </c>
      <c r="BI8" s="333">
        <v>99.5</v>
      </c>
      <c r="BJ8" s="333">
        <v>99.5</v>
      </c>
      <c r="BK8" s="333">
        <v>99</v>
      </c>
      <c r="BL8" s="333">
        <v>98.5</v>
      </c>
      <c r="BM8" s="333">
        <v>98</v>
      </c>
      <c r="BN8" s="333">
        <v>98</v>
      </c>
      <c r="BO8" s="333">
        <v>97.5</v>
      </c>
      <c r="BP8" s="333">
        <v>97</v>
      </c>
      <c r="BQ8" s="333">
        <v>96.5</v>
      </c>
      <c r="BR8" s="333">
        <v>96.5</v>
      </c>
      <c r="BS8" s="333">
        <v>96</v>
      </c>
      <c r="BT8" s="333">
        <v>96</v>
      </c>
      <c r="BU8" s="333">
        <v>95.5</v>
      </c>
      <c r="BV8" s="333">
        <v>95</v>
      </c>
    </row>
    <row r="9" spans="1:74" ht="11.1" customHeight="1">
      <c r="A9" s="52" t="s">
        <v>1104</v>
      </c>
      <c r="B9" s="151" t="s">
        <v>15</v>
      </c>
      <c r="C9" s="219">
        <v>37.450000000000003</v>
      </c>
      <c r="D9" s="219">
        <v>38.15</v>
      </c>
      <c r="E9" s="219">
        <v>45.57</v>
      </c>
      <c r="F9" s="219">
        <v>48.78</v>
      </c>
      <c r="G9" s="219">
        <v>55.96</v>
      </c>
      <c r="H9" s="219">
        <v>65.72</v>
      </c>
      <c r="I9" s="219">
        <v>63.58</v>
      </c>
      <c r="J9" s="219">
        <v>67.989999999999995</v>
      </c>
      <c r="K9" s="219">
        <v>67.739999999999995</v>
      </c>
      <c r="L9" s="219">
        <v>72.08</v>
      </c>
      <c r="M9" s="219">
        <v>74.48</v>
      </c>
      <c r="N9" s="219">
        <v>72.95</v>
      </c>
      <c r="O9" s="219">
        <v>75.48</v>
      </c>
      <c r="P9" s="219">
        <v>74.58</v>
      </c>
      <c r="Q9" s="219">
        <v>77.430000000000007</v>
      </c>
      <c r="R9" s="219">
        <v>80.83</v>
      </c>
      <c r="S9" s="219">
        <v>72.66</v>
      </c>
      <c r="T9" s="219">
        <v>72.66</v>
      </c>
      <c r="U9" s="219">
        <v>73.73</v>
      </c>
      <c r="V9" s="219">
        <v>74.58</v>
      </c>
      <c r="W9" s="219">
        <v>73.849999999999994</v>
      </c>
      <c r="X9" s="219">
        <v>77.77</v>
      </c>
      <c r="Y9" s="219">
        <v>81.05</v>
      </c>
      <c r="Z9" s="219">
        <v>85.95</v>
      </c>
      <c r="AA9" s="219">
        <v>88.28</v>
      </c>
      <c r="AB9" s="219">
        <v>90.85</v>
      </c>
      <c r="AC9" s="219">
        <v>102.43</v>
      </c>
      <c r="AD9" s="219">
        <v>112.65</v>
      </c>
      <c r="AE9" s="219">
        <v>107.82</v>
      </c>
      <c r="AF9" s="219">
        <v>104.23</v>
      </c>
      <c r="AG9" s="219">
        <v>104.68</v>
      </c>
      <c r="AH9" s="219">
        <v>97.7</v>
      </c>
      <c r="AI9" s="219">
        <v>99.39</v>
      </c>
      <c r="AJ9" s="219">
        <v>100.67</v>
      </c>
      <c r="AK9" s="219">
        <v>107.28</v>
      </c>
      <c r="AL9" s="219">
        <v>105.69</v>
      </c>
      <c r="AM9" s="219">
        <v>104.7</v>
      </c>
      <c r="AN9" s="219">
        <v>107.18</v>
      </c>
      <c r="AO9" s="219">
        <v>110.92</v>
      </c>
      <c r="AP9" s="219">
        <v>109.69</v>
      </c>
      <c r="AQ9" s="219">
        <v>103.23</v>
      </c>
      <c r="AR9" s="219">
        <v>91.96</v>
      </c>
      <c r="AS9" s="219">
        <v>92.83</v>
      </c>
      <c r="AT9" s="219">
        <v>97.71</v>
      </c>
      <c r="AU9" s="219">
        <v>101.97</v>
      </c>
      <c r="AV9" s="219">
        <v>100.02</v>
      </c>
      <c r="AW9" s="219">
        <v>96.78</v>
      </c>
      <c r="AX9" s="219">
        <v>95.06</v>
      </c>
      <c r="AY9" s="219">
        <v>100.78</v>
      </c>
      <c r="AZ9" s="219">
        <v>101.45</v>
      </c>
      <c r="BA9" s="219">
        <v>101.23</v>
      </c>
      <c r="BB9" s="219">
        <v>99.5</v>
      </c>
      <c r="BC9" s="219">
        <v>100.01</v>
      </c>
      <c r="BD9" s="219">
        <v>101.27</v>
      </c>
      <c r="BE9" s="333">
        <v>101.5</v>
      </c>
      <c r="BF9" s="333">
        <v>101</v>
      </c>
      <c r="BG9" s="333">
        <v>100.5</v>
      </c>
      <c r="BH9" s="333">
        <v>100.5</v>
      </c>
      <c r="BI9" s="333">
        <v>100</v>
      </c>
      <c r="BJ9" s="333">
        <v>100</v>
      </c>
      <c r="BK9" s="333">
        <v>99.5</v>
      </c>
      <c r="BL9" s="333">
        <v>99</v>
      </c>
      <c r="BM9" s="333">
        <v>98.5</v>
      </c>
      <c r="BN9" s="333">
        <v>98.5</v>
      </c>
      <c r="BO9" s="333">
        <v>98</v>
      </c>
      <c r="BP9" s="333">
        <v>97.5</v>
      </c>
      <c r="BQ9" s="333">
        <v>97</v>
      </c>
      <c r="BR9" s="333">
        <v>97</v>
      </c>
      <c r="BS9" s="333">
        <v>96.5</v>
      </c>
      <c r="BT9" s="333">
        <v>96.5</v>
      </c>
      <c r="BU9" s="333">
        <v>96</v>
      </c>
      <c r="BV9" s="333">
        <v>95.5</v>
      </c>
    </row>
    <row r="10" spans="1:74" ht="11.1" customHeight="1">
      <c r="A10" s="49"/>
      <c r="B10" s="50" t="s">
        <v>748</v>
      </c>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420"/>
      <c r="BF10" s="420"/>
      <c r="BG10" s="420"/>
      <c r="BH10" s="420"/>
      <c r="BI10" s="420"/>
      <c r="BJ10" s="420"/>
      <c r="BK10" s="420"/>
      <c r="BL10" s="420"/>
      <c r="BM10" s="420"/>
      <c r="BN10" s="420"/>
      <c r="BO10" s="420"/>
      <c r="BP10" s="420"/>
      <c r="BQ10" s="420"/>
      <c r="BR10" s="420"/>
      <c r="BS10" s="420"/>
      <c r="BT10" s="420"/>
      <c r="BU10" s="420"/>
      <c r="BV10" s="420"/>
    </row>
    <row r="11" spans="1:74" ht="11.1" customHeight="1">
      <c r="A11" s="49"/>
      <c r="B11" s="50" t="s">
        <v>770</v>
      </c>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420"/>
      <c r="BF11" s="420"/>
      <c r="BG11" s="420"/>
      <c r="BH11" s="420"/>
      <c r="BI11" s="420"/>
      <c r="BJ11" s="420"/>
      <c r="BK11" s="420"/>
      <c r="BL11" s="420"/>
      <c r="BM11" s="420"/>
      <c r="BN11" s="420"/>
      <c r="BO11" s="420"/>
      <c r="BP11" s="420"/>
      <c r="BQ11" s="420"/>
      <c r="BR11" s="420"/>
      <c r="BS11" s="420"/>
      <c r="BT11" s="420"/>
      <c r="BU11" s="420"/>
      <c r="BV11" s="420"/>
    </row>
    <row r="12" spans="1:74" ht="11.1" customHeight="1">
      <c r="A12" s="52" t="s">
        <v>1083</v>
      </c>
      <c r="B12" s="151" t="s">
        <v>771</v>
      </c>
      <c r="C12" s="243">
        <v>124.6</v>
      </c>
      <c r="D12" s="243">
        <v>133.30000000000001</v>
      </c>
      <c r="E12" s="243">
        <v>139.69999999999999</v>
      </c>
      <c r="F12" s="243">
        <v>148.19999999999999</v>
      </c>
      <c r="G12" s="243">
        <v>176.3</v>
      </c>
      <c r="H12" s="243">
        <v>202.2</v>
      </c>
      <c r="I12" s="243">
        <v>186.7</v>
      </c>
      <c r="J12" s="243">
        <v>202.6</v>
      </c>
      <c r="K12" s="243">
        <v>191.5</v>
      </c>
      <c r="L12" s="243">
        <v>197.5</v>
      </c>
      <c r="M12" s="243">
        <v>203.9</v>
      </c>
      <c r="N12" s="243">
        <v>199.9</v>
      </c>
      <c r="O12" s="243">
        <v>209.7</v>
      </c>
      <c r="P12" s="243">
        <v>203.3</v>
      </c>
      <c r="Q12" s="243">
        <v>219.7</v>
      </c>
      <c r="R12" s="243">
        <v>226.5</v>
      </c>
      <c r="S12" s="243">
        <v>215.2</v>
      </c>
      <c r="T12" s="243">
        <v>211.3</v>
      </c>
      <c r="U12" s="243">
        <v>211.3</v>
      </c>
      <c r="V12" s="243">
        <v>209.5</v>
      </c>
      <c r="W12" s="243">
        <v>208.8</v>
      </c>
      <c r="X12" s="243">
        <v>219.8</v>
      </c>
      <c r="Y12" s="243">
        <v>224.3</v>
      </c>
      <c r="Z12" s="243">
        <v>238.3</v>
      </c>
      <c r="AA12" s="243">
        <v>247.2</v>
      </c>
      <c r="AB12" s="243">
        <v>258.39999999999998</v>
      </c>
      <c r="AC12" s="243">
        <v>293.39999999999998</v>
      </c>
      <c r="AD12" s="243">
        <v>321.8</v>
      </c>
      <c r="AE12" s="243">
        <v>317.39999999999998</v>
      </c>
      <c r="AF12" s="243">
        <v>297</v>
      </c>
      <c r="AG12" s="243">
        <v>305.8</v>
      </c>
      <c r="AH12" s="243">
        <v>294.89999999999998</v>
      </c>
      <c r="AI12" s="243">
        <v>289.60000000000002</v>
      </c>
      <c r="AJ12" s="243">
        <v>280.5</v>
      </c>
      <c r="AK12" s="243">
        <v>270.10000000000002</v>
      </c>
      <c r="AL12" s="243">
        <v>261.39999999999998</v>
      </c>
      <c r="AM12" s="243">
        <v>274.7</v>
      </c>
      <c r="AN12" s="243">
        <v>293.60000000000002</v>
      </c>
      <c r="AO12" s="243">
        <v>320.3</v>
      </c>
      <c r="AP12" s="243">
        <v>318.89999999999998</v>
      </c>
      <c r="AQ12" s="243">
        <v>301.60000000000002</v>
      </c>
      <c r="AR12" s="243">
        <v>275.7</v>
      </c>
      <c r="AS12" s="243">
        <v>280.60000000000002</v>
      </c>
      <c r="AT12" s="243">
        <v>308.7</v>
      </c>
      <c r="AU12" s="243">
        <v>316.3</v>
      </c>
      <c r="AV12" s="243">
        <v>294.10000000000002</v>
      </c>
      <c r="AW12" s="243">
        <v>271.3</v>
      </c>
      <c r="AX12" s="243">
        <v>259</v>
      </c>
      <c r="AY12" s="243">
        <v>267.60000000000002</v>
      </c>
      <c r="AZ12" s="243">
        <v>302</v>
      </c>
      <c r="BA12" s="243">
        <v>298.7</v>
      </c>
      <c r="BB12" s="243">
        <v>285.3</v>
      </c>
      <c r="BC12" s="243">
        <v>284.40100000000001</v>
      </c>
      <c r="BD12" s="243">
        <v>281.97210000000001</v>
      </c>
      <c r="BE12" s="339">
        <v>279.05840000000001</v>
      </c>
      <c r="BF12" s="339">
        <v>276.08760000000001</v>
      </c>
      <c r="BG12" s="339">
        <v>269.24759999999998</v>
      </c>
      <c r="BH12" s="339">
        <v>266.01659999999998</v>
      </c>
      <c r="BI12" s="339">
        <v>264.2022</v>
      </c>
      <c r="BJ12" s="339">
        <v>258.85500000000002</v>
      </c>
      <c r="BK12" s="339">
        <v>266.07740000000001</v>
      </c>
      <c r="BL12" s="339">
        <v>267.30840000000001</v>
      </c>
      <c r="BM12" s="339">
        <v>275.54450000000003</v>
      </c>
      <c r="BN12" s="339">
        <v>279.13510000000002</v>
      </c>
      <c r="BO12" s="339">
        <v>282.11660000000001</v>
      </c>
      <c r="BP12" s="339">
        <v>280.71690000000001</v>
      </c>
      <c r="BQ12" s="339">
        <v>274.64699999999999</v>
      </c>
      <c r="BR12" s="339">
        <v>272.39679999999998</v>
      </c>
      <c r="BS12" s="339">
        <v>265.74930000000001</v>
      </c>
      <c r="BT12" s="339">
        <v>258.70659999999998</v>
      </c>
      <c r="BU12" s="339">
        <v>256.10539999999997</v>
      </c>
      <c r="BV12" s="339">
        <v>246.74199999999999</v>
      </c>
    </row>
    <row r="13" spans="1:74" ht="11.1" customHeight="1">
      <c r="A13" s="49" t="s">
        <v>1105</v>
      </c>
      <c r="B13" s="151" t="s">
        <v>783</v>
      </c>
      <c r="C13" s="243">
        <v>148</v>
      </c>
      <c r="D13" s="243">
        <v>132.6</v>
      </c>
      <c r="E13" s="243">
        <v>131.5</v>
      </c>
      <c r="F13" s="243">
        <v>145.6</v>
      </c>
      <c r="G13" s="243">
        <v>153.1</v>
      </c>
      <c r="H13" s="243">
        <v>182.8</v>
      </c>
      <c r="I13" s="243">
        <v>174.5</v>
      </c>
      <c r="J13" s="243">
        <v>193.7</v>
      </c>
      <c r="K13" s="243">
        <v>184.8</v>
      </c>
      <c r="L13" s="243">
        <v>197.8</v>
      </c>
      <c r="M13" s="243">
        <v>203.7</v>
      </c>
      <c r="N13" s="243">
        <v>199.7</v>
      </c>
      <c r="O13" s="243">
        <v>207.8</v>
      </c>
      <c r="P13" s="243">
        <v>202.5</v>
      </c>
      <c r="Q13" s="243">
        <v>216.3</v>
      </c>
      <c r="R13" s="243">
        <v>231.2</v>
      </c>
      <c r="S13" s="243">
        <v>217.7</v>
      </c>
      <c r="T13" s="243">
        <v>212</v>
      </c>
      <c r="U13" s="243">
        <v>209.8</v>
      </c>
      <c r="V13" s="243">
        <v>216.1</v>
      </c>
      <c r="W13" s="243">
        <v>219</v>
      </c>
      <c r="X13" s="243">
        <v>232.5</v>
      </c>
      <c r="Y13" s="243">
        <v>239.2</v>
      </c>
      <c r="Z13" s="243">
        <v>248.6</v>
      </c>
      <c r="AA13" s="243">
        <v>262.10000000000002</v>
      </c>
      <c r="AB13" s="243">
        <v>282</v>
      </c>
      <c r="AC13" s="243">
        <v>313.39999999999998</v>
      </c>
      <c r="AD13" s="243">
        <v>329.6</v>
      </c>
      <c r="AE13" s="243">
        <v>311.60000000000002</v>
      </c>
      <c r="AF13" s="243">
        <v>307.89999999999998</v>
      </c>
      <c r="AG13" s="243">
        <v>313.5</v>
      </c>
      <c r="AH13" s="243">
        <v>303.2</v>
      </c>
      <c r="AI13" s="243">
        <v>303.5</v>
      </c>
      <c r="AJ13" s="243">
        <v>303.5</v>
      </c>
      <c r="AK13" s="243">
        <v>315.7</v>
      </c>
      <c r="AL13" s="243">
        <v>292.7</v>
      </c>
      <c r="AM13" s="243">
        <v>301.8</v>
      </c>
      <c r="AN13" s="243">
        <v>316.3</v>
      </c>
      <c r="AO13" s="243">
        <v>330.8</v>
      </c>
      <c r="AP13" s="243">
        <v>325.2</v>
      </c>
      <c r="AQ13" s="243">
        <v>303.89999999999998</v>
      </c>
      <c r="AR13" s="243">
        <v>274.10000000000002</v>
      </c>
      <c r="AS13" s="243">
        <v>290.7</v>
      </c>
      <c r="AT13" s="243">
        <v>320.60000000000002</v>
      </c>
      <c r="AU13" s="243">
        <v>327.8</v>
      </c>
      <c r="AV13" s="243">
        <v>326.5</v>
      </c>
      <c r="AW13" s="243">
        <v>311.7</v>
      </c>
      <c r="AX13" s="243">
        <v>302.2</v>
      </c>
      <c r="AY13" s="243">
        <v>304.60000000000002</v>
      </c>
      <c r="AZ13" s="243">
        <v>325.89999999999998</v>
      </c>
      <c r="BA13" s="243">
        <v>308.2</v>
      </c>
      <c r="BB13" s="243">
        <v>296.89999999999998</v>
      </c>
      <c r="BC13" s="243">
        <v>293.69529999999997</v>
      </c>
      <c r="BD13" s="243">
        <v>294.54880000000003</v>
      </c>
      <c r="BE13" s="339">
        <v>293.02229999999997</v>
      </c>
      <c r="BF13" s="339">
        <v>294.13979999999998</v>
      </c>
      <c r="BG13" s="339">
        <v>296.6071</v>
      </c>
      <c r="BH13" s="339">
        <v>297.8374</v>
      </c>
      <c r="BI13" s="339">
        <v>296.8143</v>
      </c>
      <c r="BJ13" s="339">
        <v>290.98200000000003</v>
      </c>
      <c r="BK13" s="339">
        <v>288.1046</v>
      </c>
      <c r="BL13" s="339">
        <v>287.3913</v>
      </c>
      <c r="BM13" s="339">
        <v>288.52429999999998</v>
      </c>
      <c r="BN13" s="339">
        <v>290.94760000000002</v>
      </c>
      <c r="BO13" s="339">
        <v>292.02010000000001</v>
      </c>
      <c r="BP13" s="339">
        <v>289.9067</v>
      </c>
      <c r="BQ13" s="339">
        <v>290.02890000000002</v>
      </c>
      <c r="BR13" s="339">
        <v>288.74180000000001</v>
      </c>
      <c r="BS13" s="339">
        <v>288.66849999999999</v>
      </c>
      <c r="BT13" s="339">
        <v>288.76299999999998</v>
      </c>
      <c r="BU13" s="339">
        <v>287.80759999999998</v>
      </c>
      <c r="BV13" s="339">
        <v>281.11020000000002</v>
      </c>
    </row>
    <row r="14" spans="1:74" ht="11.1" customHeight="1">
      <c r="A14" s="52" t="s">
        <v>732</v>
      </c>
      <c r="B14" s="151" t="s">
        <v>772</v>
      </c>
      <c r="C14" s="243">
        <v>154.80000000000001</v>
      </c>
      <c r="D14" s="243">
        <v>142.69999999999999</v>
      </c>
      <c r="E14" s="243">
        <v>135.80000000000001</v>
      </c>
      <c r="F14" s="243">
        <v>139.69999999999999</v>
      </c>
      <c r="G14" s="243">
        <v>146.80000000000001</v>
      </c>
      <c r="H14" s="243">
        <v>174.4</v>
      </c>
      <c r="I14" s="243">
        <v>165.8</v>
      </c>
      <c r="J14" s="243">
        <v>180.4</v>
      </c>
      <c r="K14" s="243">
        <v>177.4</v>
      </c>
      <c r="L14" s="243">
        <v>191.8</v>
      </c>
      <c r="M14" s="243">
        <v>200.4</v>
      </c>
      <c r="N14" s="243">
        <v>198.9</v>
      </c>
      <c r="O14" s="243">
        <v>207.5</v>
      </c>
      <c r="P14" s="243">
        <v>198.6</v>
      </c>
      <c r="Q14" s="243">
        <v>210</v>
      </c>
      <c r="R14" s="243">
        <v>221.4</v>
      </c>
      <c r="S14" s="243">
        <v>212.9</v>
      </c>
      <c r="T14" s="243">
        <v>203.7</v>
      </c>
      <c r="U14" s="243">
        <v>200.1</v>
      </c>
      <c r="V14" s="243">
        <v>204.1</v>
      </c>
      <c r="W14" s="243">
        <v>209.3</v>
      </c>
      <c r="X14" s="243">
        <v>222.1</v>
      </c>
      <c r="Y14" s="243">
        <v>230.8</v>
      </c>
      <c r="Z14" s="243">
        <v>243.5</v>
      </c>
      <c r="AA14" s="243">
        <v>258.5</v>
      </c>
      <c r="AB14" s="243">
        <v>273.7</v>
      </c>
      <c r="AC14" s="243">
        <v>299.60000000000002</v>
      </c>
      <c r="AD14" s="243">
        <v>316.7</v>
      </c>
      <c r="AE14" s="243">
        <v>303.89999999999998</v>
      </c>
      <c r="AF14" s="243">
        <v>295.60000000000002</v>
      </c>
      <c r="AG14" s="243">
        <v>302.39999999999998</v>
      </c>
      <c r="AH14" s="243">
        <v>292.7</v>
      </c>
      <c r="AI14" s="243">
        <v>292.7</v>
      </c>
      <c r="AJ14" s="243">
        <v>291.5</v>
      </c>
      <c r="AK14" s="243">
        <v>305</v>
      </c>
      <c r="AL14" s="243">
        <v>292.8</v>
      </c>
      <c r="AM14" s="243">
        <v>302.7</v>
      </c>
      <c r="AN14" s="243">
        <v>316.60000000000002</v>
      </c>
      <c r="AO14" s="243">
        <v>321.10000000000002</v>
      </c>
      <c r="AP14" s="243">
        <v>315.3</v>
      </c>
      <c r="AQ14" s="243">
        <v>297.60000000000002</v>
      </c>
      <c r="AR14" s="243">
        <v>263.5</v>
      </c>
      <c r="AS14" s="243">
        <v>277.39999999999998</v>
      </c>
      <c r="AT14" s="243">
        <v>298.8</v>
      </c>
      <c r="AU14" s="243">
        <v>312.8</v>
      </c>
      <c r="AV14" s="243">
        <v>315.5</v>
      </c>
      <c r="AW14" s="243">
        <v>304.89999999999998</v>
      </c>
      <c r="AX14" s="243">
        <v>300.3</v>
      </c>
      <c r="AY14" s="243">
        <v>306.89999999999998</v>
      </c>
      <c r="AZ14" s="243">
        <v>316.8</v>
      </c>
      <c r="BA14" s="243">
        <v>297.7</v>
      </c>
      <c r="BB14" s="243">
        <v>279.5</v>
      </c>
      <c r="BC14" s="243">
        <v>276.48149999999998</v>
      </c>
      <c r="BD14" s="243">
        <v>276.2482</v>
      </c>
      <c r="BE14" s="339">
        <v>273.82749999999999</v>
      </c>
      <c r="BF14" s="339">
        <v>276.43830000000003</v>
      </c>
      <c r="BG14" s="339">
        <v>280.4606</v>
      </c>
      <c r="BH14" s="339">
        <v>283.55669999999998</v>
      </c>
      <c r="BI14" s="339">
        <v>284.58600000000001</v>
      </c>
      <c r="BJ14" s="339">
        <v>283.51510000000002</v>
      </c>
      <c r="BK14" s="339">
        <v>282.53800000000001</v>
      </c>
      <c r="BL14" s="339">
        <v>277.47329999999999</v>
      </c>
      <c r="BM14" s="339">
        <v>276.1884</v>
      </c>
      <c r="BN14" s="339">
        <v>275.94929999999999</v>
      </c>
      <c r="BO14" s="339">
        <v>277.64710000000002</v>
      </c>
      <c r="BP14" s="339">
        <v>275.44499999999999</v>
      </c>
      <c r="BQ14" s="339">
        <v>275.3066</v>
      </c>
      <c r="BR14" s="339">
        <v>273.81029999999998</v>
      </c>
      <c r="BS14" s="339">
        <v>274.92680000000001</v>
      </c>
      <c r="BT14" s="339">
        <v>276.45949999999999</v>
      </c>
      <c r="BU14" s="339">
        <v>277.09829999999999</v>
      </c>
      <c r="BV14" s="339">
        <v>274.88670000000002</v>
      </c>
    </row>
    <row r="15" spans="1:74" ht="11.1" customHeight="1">
      <c r="A15" s="49"/>
      <c r="B15" s="50" t="s">
        <v>16</v>
      </c>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4"/>
      <c r="BD15" s="224"/>
      <c r="BE15" s="420"/>
      <c r="BF15" s="420"/>
      <c r="BG15" s="420"/>
      <c r="BH15" s="420"/>
      <c r="BI15" s="420"/>
      <c r="BJ15" s="420"/>
      <c r="BK15" s="420"/>
      <c r="BL15" s="420"/>
      <c r="BM15" s="420"/>
      <c r="BN15" s="420"/>
      <c r="BO15" s="420"/>
      <c r="BP15" s="420"/>
      <c r="BQ15" s="420"/>
      <c r="BR15" s="420"/>
      <c r="BS15" s="420"/>
      <c r="BT15" s="420"/>
      <c r="BU15" s="420"/>
      <c r="BV15" s="420"/>
    </row>
    <row r="16" spans="1:74" ht="11.1" customHeight="1">
      <c r="A16" s="52" t="s">
        <v>1106</v>
      </c>
      <c r="B16" s="151" t="s">
        <v>579</v>
      </c>
      <c r="C16" s="243">
        <v>148.30000000000001</v>
      </c>
      <c r="D16" s="243">
        <v>136</v>
      </c>
      <c r="E16" s="243">
        <v>128.1</v>
      </c>
      <c r="F16" s="243">
        <v>145.80000000000001</v>
      </c>
      <c r="G16" s="243">
        <v>148.6</v>
      </c>
      <c r="H16" s="243">
        <v>181.8</v>
      </c>
      <c r="I16" s="243">
        <v>177.4</v>
      </c>
      <c r="J16" s="243">
        <v>192.2</v>
      </c>
      <c r="K16" s="243">
        <v>183.4</v>
      </c>
      <c r="L16" s="243">
        <v>193</v>
      </c>
      <c r="M16" s="243">
        <v>206.4</v>
      </c>
      <c r="N16" s="243">
        <v>201.6</v>
      </c>
      <c r="O16" s="243">
        <v>212.9</v>
      </c>
      <c r="P16" s="243">
        <v>201.8</v>
      </c>
      <c r="Q16" s="243">
        <v>214.4</v>
      </c>
      <c r="R16" s="243">
        <v>227.2</v>
      </c>
      <c r="S16" s="243">
        <v>219.9</v>
      </c>
      <c r="T16" s="243">
        <v>210.5</v>
      </c>
      <c r="U16" s="243">
        <v>210.3</v>
      </c>
      <c r="V16" s="243">
        <v>215.8</v>
      </c>
      <c r="W16" s="243">
        <v>214.8</v>
      </c>
      <c r="X16" s="243">
        <v>229.8</v>
      </c>
      <c r="Y16" s="243">
        <v>237.4</v>
      </c>
      <c r="Z16" s="243">
        <v>248.4</v>
      </c>
      <c r="AA16" s="243">
        <v>262.3</v>
      </c>
      <c r="AB16" s="243">
        <v>281.8</v>
      </c>
      <c r="AC16" s="243">
        <v>316.10000000000002</v>
      </c>
      <c r="AD16" s="243">
        <v>330.6</v>
      </c>
      <c r="AE16" s="243">
        <v>322</v>
      </c>
      <c r="AF16" s="243">
        <v>313.8</v>
      </c>
      <c r="AG16" s="243">
        <v>311.8</v>
      </c>
      <c r="AH16" s="243">
        <v>305.7</v>
      </c>
      <c r="AI16" s="243">
        <v>305.89999999999998</v>
      </c>
      <c r="AJ16" s="243">
        <v>298.7</v>
      </c>
      <c r="AK16" s="243">
        <v>312.39999999999998</v>
      </c>
      <c r="AL16" s="243">
        <v>296.3</v>
      </c>
      <c r="AM16" s="243">
        <v>308.7</v>
      </c>
      <c r="AN16" s="243">
        <v>320.60000000000002</v>
      </c>
      <c r="AO16" s="243">
        <v>333.7</v>
      </c>
      <c r="AP16" s="243">
        <v>328.3</v>
      </c>
      <c r="AQ16" s="243">
        <v>310</v>
      </c>
      <c r="AR16" s="243">
        <v>276.8</v>
      </c>
      <c r="AS16" s="243">
        <v>285.60000000000002</v>
      </c>
      <c r="AT16" s="243">
        <v>312.3</v>
      </c>
      <c r="AU16" s="243">
        <v>328.3</v>
      </c>
      <c r="AV16" s="243">
        <v>321.10000000000002</v>
      </c>
      <c r="AW16" s="243">
        <v>304.5</v>
      </c>
      <c r="AX16" s="243">
        <v>300.8</v>
      </c>
      <c r="AY16" s="243">
        <v>311.7</v>
      </c>
      <c r="AZ16" s="243">
        <v>329.4</v>
      </c>
      <c r="BA16" s="243">
        <v>307</v>
      </c>
      <c r="BB16" s="243">
        <v>292.2</v>
      </c>
      <c r="BC16" s="243">
        <v>279.44810000000001</v>
      </c>
      <c r="BD16" s="243">
        <v>282.88139999999999</v>
      </c>
      <c r="BE16" s="339">
        <v>284.39879999999999</v>
      </c>
      <c r="BF16" s="339">
        <v>286.31740000000002</v>
      </c>
      <c r="BG16" s="339">
        <v>291.45240000000001</v>
      </c>
      <c r="BH16" s="339">
        <v>292.14600000000002</v>
      </c>
      <c r="BI16" s="339">
        <v>291.13209999999998</v>
      </c>
      <c r="BJ16" s="339">
        <v>288.07159999999999</v>
      </c>
      <c r="BK16" s="339">
        <v>287.06049999999999</v>
      </c>
      <c r="BL16" s="339">
        <v>284.44420000000002</v>
      </c>
      <c r="BM16" s="339">
        <v>283.6336</v>
      </c>
      <c r="BN16" s="339">
        <v>286.86770000000001</v>
      </c>
      <c r="BO16" s="339">
        <v>288.40179999999998</v>
      </c>
      <c r="BP16" s="339">
        <v>286.5779</v>
      </c>
      <c r="BQ16" s="339">
        <v>284.22019999999998</v>
      </c>
      <c r="BR16" s="339">
        <v>284.32420000000002</v>
      </c>
      <c r="BS16" s="339">
        <v>283.9991</v>
      </c>
      <c r="BT16" s="339">
        <v>283.43060000000003</v>
      </c>
      <c r="BU16" s="339">
        <v>282.36939999999998</v>
      </c>
      <c r="BV16" s="339">
        <v>277.58479999999997</v>
      </c>
    </row>
    <row r="17" spans="1:74" ht="10.9" customHeight="1">
      <c r="A17" s="52" t="s">
        <v>733</v>
      </c>
      <c r="B17" s="151" t="s">
        <v>123</v>
      </c>
      <c r="C17" s="243">
        <v>104.6</v>
      </c>
      <c r="D17" s="243">
        <v>106.5</v>
      </c>
      <c r="E17" s="243">
        <v>102.3</v>
      </c>
      <c r="F17" s="243">
        <v>104.8</v>
      </c>
      <c r="G17" s="243">
        <v>121.7</v>
      </c>
      <c r="H17" s="243">
        <v>144</v>
      </c>
      <c r="I17" s="243">
        <v>140.80000000000001</v>
      </c>
      <c r="J17" s="243">
        <v>155</v>
      </c>
      <c r="K17" s="243">
        <v>154.6</v>
      </c>
      <c r="L17" s="243">
        <v>156.69999999999999</v>
      </c>
      <c r="M17" s="243">
        <v>168.2</v>
      </c>
      <c r="N17" s="243">
        <v>170</v>
      </c>
      <c r="O17" s="243">
        <v>174.8</v>
      </c>
      <c r="P17" s="243">
        <v>169</v>
      </c>
      <c r="Q17" s="243">
        <v>170.9</v>
      </c>
      <c r="R17" s="243">
        <v>175.2</v>
      </c>
      <c r="S17" s="243">
        <v>170.7</v>
      </c>
      <c r="T17" s="243">
        <v>163.69999999999999</v>
      </c>
      <c r="U17" s="243">
        <v>165</v>
      </c>
      <c r="V17" s="243">
        <v>167.3</v>
      </c>
      <c r="W17" s="243">
        <v>165.6</v>
      </c>
      <c r="X17" s="243">
        <v>172.1</v>
      </c>
      <c r="Y17" s="243">
        <v>180.4</v>
      </c>
      <c r="Z17" s="243">
        <v>193.1</v>
      </c>
      <c r="AA17" s="243">
        <v>201.3</v>
      </c>
      <c r="AB17" s="243">
        <v>215</v>
      </c>
      <c r="AC17" s="243">
        <v>240.3</v>
      </c>
      <c r="AD17" s="243">
        <v>247.4</v>
      </c>
      <c r="AE17" s="243">
        <v>244</v>
      </c>
      <c r="AF17" s="243">
        <v>247.3</v>
      </c>
      <c r="AG17" s="243">
        <v>250.8</v>
      </c>
      <c r="AH17" s="243">
        <v>251.2</v>
      </c>
      <c r="AI17" s="243">
        <v>247.3</v>
      </c>
      <c r="AJ17" s="243">
        <v>245.4</v>
      </c>
      <c r="AK17" s="243">
        <v>252.1</v>
      </c>
      <c r="AL17" s="243">
        <v>250.9</v>
      </c>
      <c r="AM17" s="243">
        <v>262</v>
      </c>
      <c r="AN17" s="243">
        <v>270.5</v>
      </c>
      <c r="AO17" s="243">
        <v>278.39999999999998</v>
      </c>
      <c r="AP17" s="243">
        <v>273.10000000000002</v>
      </c>
      <c r="AQ17" s="243">
        <v>278.39999999999998</v>
      </c>
      <c r="AR17" s="243">
        <v>247.6</v>
      </c>
      <c r="AS17" s="243">
        <v>240.6</v>
      </c>
      <c r="AT17" s="243">
        <v>257.89999999999998</v>
      </c>
      <c r="AU17" s="243">
        <v>258.2</v>
      </c>
      <c r="AV17" s="243">
        <v>249.6</v>
      </c>
      <c r="AW17" s="243">
        <v>249.2</v>
      </c>
      <c r="AX17" s="243">
        <v>243.1</v>
      </c>
      <c r="AY17" s="243">
        <v>247.5</v>
      </c>
      <c r="AZ17" s="243">
        <v>257.8</v>
      </c>
      <c r="BA17" s="243">
        <v>251.7</v>
      </c>
      <c r="BB17" s="243">
        <v>235.4</v>
      </c>
      <c r="BC17" s="243">
        <v>246.39359999999999</v>
      </c>
      <c r="BD17" s="243">
        <v>252.7595</v>
      </c>
      <c r="BE17" s="339">
        <v>253.31710000000001</v>
      </c>
      <c r="BF17" s="339">
        <v>257.0908</v>
      </c>
      <c r="BG17" s="339">
        <v>255.05199999999999</v>
      </c>
      <c r="BH17" s="339">
        <v>252.69829999999999</v>
      </c>
      <c r="BI17" s="339">
        <v>254.66050000000001</v>
      </c>
      <c r="BJ17" s="339">
        <v>254.84049999999999</v>
      </c>
      <c r="BK17" s="339">
        <v>254.84780000000001</v>
      </c>
      <c r="BL17" s="339">
        <v>254.7902</v>
      </c>
      <c r="BM17" s="339">
        <v>250.4025</v>
      </c>
      <c r="BN17" s="339">
        <v>246.99270000000001</v>
      </c>
      <c r="BO17" s="339">
        <v>247.57749999999999</v>
      </c>
      <c r="BP17" s="339">
        <v>247.5949</v>
      </c>
      <c r="BQ17" s="339">
        <v>244.6602</v>
      </c>
      <c r="BR17" s="339">
        <v>247.83750000000001</v>
      </c>
      <c r="BS17" s="339">
        <v>245.62569999999999</v>
      </c>
      <c r="BT17" s="339">
        <v>243.20949999999999</v>
      </c>
      <c r="BU17" s="339">
        <v>245.14930000000001</v>
      </c>
      <c r="BV17" s="339">
        <v>244.601</v>
      </c>
    </row>
    <row r="18" spans="1:74" ht="11.1" customHeight="1">
      <c r="A18" s="52"/>
      <c r="B18" s="53" t="s">
        <v>272</v>
      </c>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334"/>
      <c r="BF18" s="334"/>
      <c r="BG18" s="334"/>
      <c r="BH18" s="334"/>
      <c r="BI18" s="334"/>
      <c r="BJ18" s="334"/>
      <c r="BK18" s="334"/>
      <c r="BL18" s="334"/>
      <c r="BM18" s="334"/>
      <c r="BN18" s="334"/>
      <c r="BO18" s="334"/>
      <c r="BP18" s="334"/>
      <c r="BQ18" s="334"/>
      <c r="BR18" s="334"/>
      <c r="BS18" s="334"/>
      <c r="BT18" s="334"/>
      <c r="BU18" s="334"/>
      <c r="BV18" s="334"/>
    </row>
    <row r="19" spans="1:74" ht="11.1" customHeight="1">
      <c r="A19" s="52" t="s">
        <v>706</v>
      </c>
      <c r="B19" s="151" t="s">
        <v>273</v>
      </c>
      <c r="C19" s="243">
        <v>178.82499999999999</v>
      </c>
      <c r="D19" s="243">
        <v>192.27500000000001</v>
      </c>
      <c r="E19" s="243">
        <v>195.86</v>
      </c>
      <c r="F19" s="243">
        <v>204.9</v>
      </c>
      <c r="G19" s="243">
        <v>226.55</v>
      </c>
      <c r="H19" s="243">
        <v>263.06</v>
      </c>
      <c r="I19" s="243">
        <v>252.65</v>
      </c>
      <c r="J19" s="243">
        <v>261.64</v>
      </c>
      <c r="K19" s="243">
        <v>255.4</v>
      </c>
      <c r="L19" s="243">
        <v>255.125</v>
      </c>
      <c r="M19" s="243">
        <v>265.14</v>
      </c>
      <c r="N19" s="243">
        <v>260.72500000000002</v>
      </c>
      <c r="O19" s="243">
        <v>271.5</v>
      </c>
      <c r="P19" s="243">
        <v>264.39999999999998</v>
      </c>
      <c r="Q19" s="243">
        <v>277.16000000000003</v>
      </c>
      <c r="R19" s="243">
        <v>284.82499999999999</v>
      </c>
      <c r="S19" s="243">
        <v>283.62</v>
      </c>
      <c r="T19" s="243">
        <v>273.14999999999998</v>
      </c>
      <c r="U19" s="243">
        <v>272.875</v>
      </c>
      <c r="V19" s="243">
        <v>272.98</v>
      </c>
      <c r="W19" s="243">
        <v>270.5</v>
      </c>
      <c r="X19" s="243">
        <v>280.05</v>
      </c>
      <c r="Y19" s="243">
        <v>285.89999999999998</v>
      </c>
      <c r="Z19" s="243">
        <v>299.3</v>
      </c>
      <c r="AA19" s="243">
        <v>309.48</v>
      </c>
      <c r="AB19" s="243">
        <v>321.10000000000002</v>
      </c>
      <c r="AC19" s="243">
        <v>356.125</v>
      </c>
      <c r="AD19" s="243">
        <v>379.95</v>
      </c>
      <c r="AE19" s="243">
        <v>390.62</v>
      </c>
      <c r="AF19" s="243">
        <v>368</v>
      </c>
      <c r="AG19" s="243">
        <v>365.02499999999998</v>
      </c>
      <c r="AH19" s="243">
        <v>363.94</v>
      </c>
      <c r="AI19" s="243">
        <v>361.125</v>
      </c>
      <c r="AJ19" s="243">
        <v>344.8</v>
      </c>
      <c r="AK19" s="243">
        <v>338.375</v>
      </c>
      <c r="AL19" s="243">
        <v>326.57499999999999</v>
      </c>
      <c r="AM19" s="243">
        <v>338</v>
      </c>
      <c r="AN19" s="243">
        <v>357.92500000000001</v>
      </c>
      <c r="AO19" s="243">
        <v>385.17500000000001</v>
      </c>
      <c r="AP19" s="243">
        <v>390.04</v>
      </c>
      <c r="AQ19" s="243">
        <v>373.22500000000002</v>
      </c>
      <c r="AR19" s="243">
        <v>353.875</v>
      </c>
      <c r="AS19" s="243">
        <v>343.92</v>
      </c>
      <c r="AT19" s="243">
        <v>372.15</v>
      </c>
      <c r="AU19" s="243">
        <v>384.85</v>
      </c>
      <c r="AV19" s="243">
        <v>374.56</v>
      </c>
      <c r="AW19" s="243">
        <v>345.17500000000001</v>
      </c>
      <c r="AX19" s="243">
        <v>331.04</v>
      </c>
      <c r="AY19" s="243">
        <v>331.85</v>
      </c>
      <c r="AZ19" s="243">
        <v>367</v>
      </c>
      <c r="BA19" s="243">
        <v>371.125</v>
      </c>
      <c r="BB19" s="243">
        <v>357.02</v>
      </c>
      <c r="BC19" s="243">
        <v>361.47500000000002</v>
      </c>
      <c r="BD19" s="243">
        <v>362.6</v>
      </c>
      <c r="BE19" s="339">
        <v>351.0455</v>
      </c>
      <c r="BF19" s="339">
        <v>345.4581</v>
      </c>
      <c r="BG19" s="339">
        <v>340.6737</v>
      </c>
      <c r="BH19" s="339">
        <v>334.70089999999999</v>
      </c>
      <c r="BI19" s="339">
        <v>332.3064</v>
      </c>
      <c r="BJ19" s="339">
        <v>325.21420000000001</v>
      </c>
      <c r="BK19" s="339">
        <v>330.5258</v>
      </c>
      <c r="BL19" s="339">
        <v>331.53019999999998</v>
      </c>
      <c r="BM19" s="339">
        <v>338.88600000000002</v>
      </c>
      <c r="BN19" s="339">
        <v>343.97739999999999</v>
      </c>
      <c r="BO19" s="339">
        <v>352.08710000000002</v>
      </c>
      <c r="BP19" s="339">
        <v>351.01909999999998</v>
      </c>
      <c r="BQ19" s="339">
        <v>344.25549999999998</v>
      </c>
      <c r="BR19" s="339">
        <v>341.6807</v>
      </c>
      <c r="BS19" s="339">
        <v>336.82089999999999</v>
      </c>
      <c r="BT19" s="339">
        <v>327.85199999999998</v>
      </c>
      <c r="BU19" s="339">
        <v>324.09530000000001</v>
      </c>
      <c r="BV19" s="339">
        <v>313.98230000000001</v>
      </c>
    </row>
    <row r="20" spans="1:74" ht="11.1" customHeight="1">
      <c r="A20" s="52" t="s">
        <v>730</v>
      </c>
      <c r="B20" s="151" t="s">
        <v>274</v>
      </c>
      <c r="C20" s="243">
        <v>184</v>
      </c>
      <c r="D20" s="243">
        <v>197.52500000000001</v>
      </c>
      <c r="E20" s="243">
        <v>201.12</v>
      </c>
      <c r="F20" s="243">
        <v>210.2</v>
      </c>
      <c r="G20" s="243">
        <v>231.6</v>
      </c>
      <c r="H20" s="243">
        <v>268.10000000000002</v>
      </c>
      <c r="I20" s="243">
        <v>258.14999999999998</v>
      </c>
      <c r="J20" s="243">
        <v>267</v>
      </c>
      <c r="K20" s="243">
        <v>260.875</v>
      </c>
      <c r="L20" s="243">
        <v>260.47500000000002</v>
      </c>
      <c r="M20" s="243">
        <v>270.56</v>
      </c>
      <c r="N20" s="243">
        <v>266.27499999999998</v>
      </c>
      <c r="O20" s="243">
        <v>276.875</v>
      </c>
      <c r="P20" s="243">
        <v>269.92500000000001</v>
      </c>
      <c r="Q20" s="243">
        <v>282.44</v>
      </c>
      <c r="R20" s="243">
        <v>289.95</v>
      </c>
      <c r="S20" s="243">
        <v>289.04000000000002</v>
      </c>
      <c r="T20" s="243">
        <v>278.5</v>
      </c>
      <c r="U20" s="243">
        <v>278.14999999999998</v>
      </c>
      <c r="V20" s="243">
        <v>278.32</v>
      </c>
      <c r="W20" s="243">
        <v>275.72500000000002</v>
      </c>
      <c r="X20" s="243">
        <v>285.3</v>
      </c>
      <c r="Y20" s="243">
        <v>291.3</v>
      </c>
      <c r="Z20" s="243">
        <v>304.77499999999998</v>
      </c>
      <c r="AA20" s="243">
        <v>314.83999999999997</v>
      </c>
      <c r="AB20" s="243">
        <v>326.39999999999998</v>
      </c>
      <c r="AC20" s="243">
        <v>361.5</v>
      </c>
      <c r="AD20" s="243">
        <v>385.2</v>
      </c>
      <c r="AE20" s="243">
        <v>395.96</v>
      </c>
      <c r="AF20" s="243">
        <v>373.47500000000002</v>
      </c>
      <c r="AG20" s="243">
        <v>370.47500000000002</v>
      </c>
      <c r="AH20" s="243">
        <v>369.56</v>
      </c>
      <c r="AI20" s="243">
        <v>366.67500000000001</v>
      </c>
      <c r="AJ20" s="243">
        <v>350.64</v>
      </c>
      <c r="AK20" s="243">
        <v>344.3</v>
      </c>
      <c r="AL20" s="243">
        <v>332.57499999999999</v>
      </c>
      <c r="AM20" s="243">
        <v>344</v>
      </c>
      <c r="AN20" s="243">
        <v>363.95</v>
      </c>
      <c r="AO20" s="243">
        <v>390.72500000000002</v>
      </c>
      <c r="AP20" s="243">
        <v>395.82</v>
      </c>
      <c r="AQ20" s="243">
        <v>379.1</v>
      </c>
      <c r="AR20" s="243">
        <v>359.57499999999999</v>
      </c>
      <c r="AS20" s="243">
        <v>349.82</v>
      </c>
      <c r="AT20" s="243">
        <v>378.02499999999998</v>
      </c>
      <c r="AU20" s="243">
        <v>390.95</v>
      </c>
      <c r="AV20" s="243">
        <v>381.2</v>
      </c>
      <c r="AW20" s="243">
        <v>352.07499999999999</v>
      </c>
      <c r="AX20" s="243">
        <v>338.06</v>
      </c>
      <c r="AY20" s="243">
        <v>339.07499999999999</v>
      </c>
      <c r="AZ20" s="243">
        <v>373.6</v>
      </c>
      <c r="BA20" s="243">
        <v>377.875</v>
      </c>
      <c r="BB20" s="243">
        <v>363.82</v>
      </c>
      <c r="BC20" s="243">
        <v>367.5</v>
      </c>
      <c r="BD20" s="243">
        <v>368.85</v>
      </c>
      <c r="BE20" s="339">
        <v>357.0958</v>
      </c>
      <c r="BF20" s="339">
        <v>351.39299999999997</v>
      </c>
      <c r="BG20" s="339">
        <v>346.57929999999999</v>
      </c>
      <c r="BH20" s="339">
        <v>340.63069999999999</v>
      </c>
      <c r="BI20" s="339">
        <v>338.31009999999998</v>
      </c>
      <c r="BJ20" s="339">
        <v>331.26150000000001</v>
      </c>
      <c r="BK20" s="339">
        <v>336.4905</v>
      </c>
      <c r="BL20" s="339">
        <v>337.40710000000001</v>
      </c>
      <c r="BM20" s="339">
        <v>344.78989999999999</v>
      </c>
      <c r="BN20" s="339">
        <v>349.89400000000001</v>
      </c>
      <c r="BO20" s="339">
        <v>357.8972</v>
      </c>
      <c r="BP20" s="339">
        <v>356.88780000000003</v>
      </c>
      <c r="BQ20" s="339">
        <v>350.24290000000002</v>
      </c>
      <c r="BR20" s="339">
        <v>347.68349999999998</v>
      </c>
      <c r="BS20" s="339">
        <v>342.84820000000002</v>
      </c>
      <c r="BT20" s="339">
        <v>333.92540000000002</v>
      </c>
      <c r="BU20" s="339">
        <v>330.25170000000003</v>
      </c>
      <c r="BV20" s="339">
        <v>320.18599999999998</v>
      </c>
    </row>
    <row r="21" spans="1:74" ht="11.1" customHeight="1">
      <c r="A21" s="52" t="s">
        <v>731</v>
      </c>
      <c r="B21" s="151" t="s">
        <v>1139</v>
      </c>
      <c r="C21" s="243">
        <v>229.22499999999999</v>
      </c>
      <c r="D21" s="243">
        <v>219.52500000000001</v>
      </c>
      <c r="E21" s="243">
        <v>209.2</v>
      </c>
      <c r="F21" s="243">
        <v>221.97499999999999</v>
      </c>
      <c r="G21" s="243">
        <v>222.65</v>
      </c>
      <c r="H21" s="243">
        <v>252.92</v>
      </c>
      <c r="I21" s="243">
        <v>254</v>
      </c>
      <c r="J21" s="243">
        <v>263.38</v>
      </c>
      <c r="K21" s="243">
        <v>262.60000000000002</v>
      </c>
      <c r="L21" s="243">
        <v>267.2</v>
      </c>
      <c r="M21" s="243">
        <v>279.22000000000003</v>
      </c>
      <c r="N21" s="243">
        <v>274.45</v>
      </c>
      <c r="O21" s="243">
        <v>284.47500000000002</v>
      </c>
      <c r="P21" s="243">
        <v>278.45</v>
      </c>
      <c r="Q21" s="243">
        <v>291.48</v>
      </c>
      <c r="R21" s="243">
        <v>305.89999999999998</v>
      </c>
      <c r="S21" s="243">
        <v>306.88</v>
      </c>
      <c r="T21" s="243">
        <v>294.77499999999998</v>
      </c>
      <c r="U21" s="243">
        <v>291.125</v>
      </c>
      <c r="V21" s="243">
        <v>295.86</v>
      </c>
      <c r="W21" s="243">
        <v>294.625</v>
      </c>
      <c r="X21" s="243">
        <v>305.14999999999998</v>
      </c>
      <c r="Y21" s="243">
        <v>314</v>
      </c>
      <c r="Z21" s="243">
        <v>324.25</v>
      </c>
      <c r="AA21" s="243">
        <v>338.78</v>
      </c>
      <c r="AB21" s="243">
        <v>358.4</v>
      </c>
      <c r="AC21" s="243">
        <v>390.45</v>
      </c>
      <c r="AD21" s="243">
        <v>406.42500000000001</v>
      </c>
      <c r="AE21" s="243">
        <v>404.68</v>
      </c>
      <c r="AF21" s="243">
        <v>393.3</v>
      </c>
      <c r="AG21" s="243">
        <v>390.52499999999998</v>
      </c>
      <c r="AH21" s="243">
        <v>385.98</v>
      </c>
      <c r="AI21" s="243">
        <v>383.72500000000002</v>
      </c>
      <c r="AJ21" s="243">
        <v>379.76</v>
      </c>
      <c r="AK21" s="243">
        <v>396.2</v>
      </c>
      <c r="AL21" s="243">
        <v>386.1</v>
      </c>
      <c r="AM21" s="243">
        <v>383.26</v>
      </c>
      <c r="AN21" s="243">
        <v>395.25</v>
      </c>
      <c r="AO21" s="243">
        <v>412.65</v>
      </c>
      <c r="AP21" s="243">
        <v>411.5</v>
      </c>
      <c r="AQ21" s="243">
        <v>397.85</v>
      </c>
      <c r="AR21" s="243">
        <v>375.85</v>
      </c>
      <c r="AS21" s="243">
        <v>372.1</v>
      </c>
      <c r="AT21" s="243">
        <v>398.25</v>
      </c>
      <c r="AU21" s="243">
        <v>412</v>
      </c>
      <c r="AV21" s="243">
        <v>409.38</v>
      </c>
      <c r="AW21" s="243">
        <v>400</v>
      </c>
      <c r="AX21" s="243">
        <v>396.08</v>
      </c>
      <c r="AY21" s="243">
        <v>390.85</v>
      </c>
      <c r="AZ21" s="243">
        <v>411.05</v>
      </c>
      <c r="BA21" s="243">
        <v>406.77499999999998</v>
      </c>
      <c r="BB21" s="243">
        <v>393</v>
      </c>
      <c r="BC21" s="243">
        <v>387.02499999999998</v>
      </c>
      <c r="BD21" s="243">
        <v>384.92500000000001</v>
      </c>
      <c r="BE21" s="339">
        <v>380.55529999999999</v>
      </c>
      <c r="BF21" s="339">
        <v>380.23590000000002</v>
      </c>
      <c r="BG21" s="339">
        <v>380.14510000000001</v>
      </c>
      <c r="BH21" s="339">
        <v>382.37119999999999</v>
      </c>
      <c r="BI21" s="339">
        <v>383.52080000000001</v>
      </c>
      <c r="BJ21" s="339">
        <v>380.50040000000001</v>
      </c>
      <c r="BK21" s="339">
        <v>376.21390000000002</v>
      </c>
      <c r="BL21" s="339">
        <v>373.8288</v>
      </c>
      <c r="BM21" s="339">
        <v>375.0949</v>
      </c>
      <c r="BN21" s="339">
        <v>378.78059999999999</v>
      </c>
      <c r="BO21" s="339">
        <v>379.99560000000002</v>
      </c>
      <c r="BP21" s="339">
        <v>378.90109999999999</v>
      </c>
      <c r="BQ21" s="339">
        <v>377.5138</v>
      </c>
      <c r="BR21" s="339">
        <v>377.35890000000001</v>
      </c>
      <c r="BS21" s="339">
        <v>374.94369999999998</v>
      </c>
      <c r="BT21" s="339">
        <v>375.50459999999998</v>
      </c>
      <c r="BU21" s="339">
        <v>376.23239999999998</v>
      </c>
      <c r="BV21" s="339">
        <v>372.61520000000002</v>
      </c>
    </row>
    <row r="22" spans="1:74" ht="11.1" customHeight="1">
      <c r="A22" s="52" t="s">
        <v>690</v>
      </c>
      <c r="B22" s="151" t="s">
        <v>772</v>
      </c>
      <c r="C22" s="243">
        <v>250.9</v>
      </c>
      <c r="D22" s="243">
        <v>245.1</v>
      </c>
      <c r="E22" s="243">
        <v>231.9</v>
      </c>
      <c r="F22" s="243">
        <v>235.4</v>
      </c>
      <c r="G22" s="243">
        <v>234.4</v>
      </c>
      <c r="H22" s="243">
        <v>244.9</v>
      </c>
      <c r="I22" s="243">
        <v>245.2</v>
      </c>
      <c r="J22" s="243">
        <v>255.9</v>
      </c>
      <c r="K22" s="243">
        <v>255.3</v>
      </c>
      <c r="L22" s="243">
        <v>260.3</v>
      </c>
      <c r="M22" s="243">
        <v>279</v>
      </c>
      <c r="N22" s="243">
        <v>278.8</v>
      </c>
      <c r="O22" s="243">
        <v>296.7</v>
      </c>
      <c r="P22" s="243">
        <v>289</v>
      </c>
      <c r="Q22" s="243">
        <v>290.8</v>
      </c>
      <c r="R22" s="243">
        <v>298.10000000000002</v>
      </c>
      <c r="S22" s="243">
        <v>291.3</v>
      </c>
      <c r="T22" s="243">
        <v>282.8</v>
      </c>
      <c r="U22" s="243">
        <v>280</v>
      </c>
      <c r="V22" s="243">
        <v>281.39999999999998</v>
      </c>
      <c r="W22" s="243">
        <v>283</v>
      </c>
      <c r="X22" s="243">
        <v>293.60000000000002</v>
      </c>
      <c r="Y22" s="243">
        <v>304.39999999999998</v>
      </c>
      <c r="Z22" s="243">
        <v>319.3</v>
      </c>
      <c r="AA22" s="243">
        <v>341.5</v>
      </c>
      <c r="AB22" s="243">
        <v>360.7</v>
      </c>
      <c r="AC22" s="243">
        <v>382.7</v>
      </c>
      <c r="AD22" s="243">
        <v>397.5</v>
      </c>
      <c r="AE22" s="243">
        <v>391.4</v>
      </c>
      <c r="AF22" s="243">
        <v>382.4</v>
      </c>
      <c r="AG22" s="243">
        <v>368.9</v>
      </c>
      <c r="AH22" s="243">
        <v>367.1</v>
      </c>
      <c r="AI22" s="243">
        <v>365.4</v>
      </c>
      <c r="AJ22" s="243">
        <v>364.2</v>
      </c>
      <c r="AK22" s="243">
        <v>368.2</v>
      </c>
      <c r="AL22" s="243">
        <v>364.6</v>
      </c>
      <c r="AM22" s="243">
        <v>369.7</v>
      </c>
      <c r="AN22" s="243">
        <v>380.4</v>
      </c>
      <c r="AO22" s="243">
        <v>390.9</v>
      </c>
      <c r="AP22" s="243">
        <v>385.8</v>
      </c>
      <c r="AQ22" s="243">
        <v>374.9</v>
      </c>
      <c r="AR22" s="243">
        <v>351.3</v>
      </c>
      <c r="AS22" s="243">
        <v>349.2</v>
      </c>
      <c r="AT22" s="243">
        <v>366</v>
      </c>
      <c r="AU22" s="243">
        <v>381.7</v>
      </c>
      <c r="AV22" s="243">
        <v>384.7</v>
      </c>
      <c r="AW22" s="243">
        <v>384.7</v>
      </c>
      <c r="AX22" s="243">
        <v>384.4</v>
      </c>
      <c r="AY22" s="243">
        <v>384.1</v>
      </c>
      <c r="AZ22" s="243">
        <v>396.5</v>
      </c>
      <c r="BA22" s="243">
        <v>387.9</v>
      </c>
      <c r="BB22" s="243">
        <v>370.1</v>
      </c>
      <c r="BC22" s="243">
        <v>359.9</v>
      </c>
      <c r="BD22" s="243">
        <v>356.50420000000003</v>
      </c>
      <c r="BE22" s="339">
        <v>352.142</v>
      </c>
      <c r="BF22" s="339">
        <v>354.39499999999998</v>
      </c>
      <c r="BG22" s="339">
        <v>357.55399999999997</v>
      </c>
      <c r="BH22" s="339">
        <v>361.54570000000001</v>
      </c>
      <c r="BI22" s="339">
        <v>363.85539999999997</v>
      </c>
      <c r="BJ22" s="339">
        <v>365.75709999999998</v>
      </c>
      <c r="BK22" s="339">
        <v>367.13260000000002</v>
      </c>
      <c r="BL22" s="339">
        <v>363.41989999999998</v>
      </c>
      <c r="BM22" s="339">
        <v>360.13990000000001</v>
      </c>
      <c r="BN22" s="339">
        <v>355.87610000000001</v>
      </c>
      <c r="BO22" s="339">
        <v>358.78789999999998</v>
      </c>
      <c r="BP22" s="339">
        <v>357.29349999999999</v>
      </c>
      <c r="BQ22" s="339">
        <v>354.43779999999998</v>
      </c>
      <c r="BR22" s="339">
        <v>354.69330000000002</v>
      </c>
      <c r="BS22" s="339">
        <v>355.44970000000001</v>
      </c>
      <c r="BT22" s="339">
        <v>357.58159999999998</v>
      </c>
      <c r="BU22" s="339">
        <v>358.97410000000002</v>
      </c>
      <c r="BV22" s="339">
        <v>359.72669999999999</v>
      </c>
    </row>
    <row r="23" spans="1:74" ht="11.1" customHeight="1">
      <c r="A23" s="49"/>
      <c r="B23" s="54" t="s">
        <v>151</v>
      </c>
      <c r="C23" s="225"/>
      <c r="D23" s="225"/>
      <c r="E23" s="225"/>
      <c r="F23" s="225"/>
      <c r="G23" s="225"/>
      <c r="H23" s="225"/>
      <c r="I23" s="225"/>
      <c r="J23" s="225"/>
      <c r="K23" s="225"/>
      <c r="L23" s="225"/>
      <c r="M23" s="225"/>
      <c r="N23" s="225"/>
      <c r="O23" s="225"/>
      <c r="P23" s="225"/>
      <c r="Q23" s="225"/>
      <c r="R23" s="225"/>
      <c r="S23" s="225"/>
      <c r="T23" s="225"/>
      <c r="U23" s="225"/>
      <c r="V23" s="225"/>
      <c r="W23" s="225"/>
      <c r="X23" s="225"/>
      <c r="Y23" s="225"/>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643"/>
      <c r="AZ23" s="643"/>
      <c r="BA23" s="643"/>
      <c r="BB23" s="643"/>
      <c r="BC23" s="643"/>
      <c r="BD23" s="643"/>
      <c r="BE23" s="421"/>
      <c r="BF23" s="421"/>
      <c r="BG23" s="421"/>
      <c r="BH23" s="421"/>
      <c r="BI23" s="421"/>
      <c r="BJ23" s="421"/>
      <c r="BK23" s="421"/>
      <c r="BL23" s="421"/>
      <c r="BM23" s="421"/>
      <c r="BN23" s="421"/>
      <c r="BO23" s="421"/>
      <c r="BP23" s="421"/>
      <c r="BQ23" s="421"/>
      <c r="BR23" s="421"/>
      <c r="BS23" s="421"/>
      <c r="BT23" s="421"/>
      <c r="BU23" s="421"/>
      <c r="BV23" s="421"/>
    </row>
    <row r="24" spans="1:74" ht="11.1" customHeight="1">
      <c r="A24" s="52" t="s">
        <v>1033</v>
      </c>
      <c r="B24" s="151" t="s">
        <v>150</v>
      </c>
      <c r="C24" s="219">
        <v>5.3977149999999998</v>
      </c>
      <c r="D24" s="219">
        <v>4.6501719000000001</v>
      </c>
      <c r="E24" s="219">
        <v>4.0783262000000002</v>
      </c>
      <c r="F24" s="219">
        <v>3.5996028</v>
      </c>
      <c r="G24" s="219">
        <v>3.9474749999999998</v>
      </c>
      <c r="H24" s="219">
        <v>3.9144635000000001</v>
      </c>
      <c r="I24" s="219">
        <v>3.4851388999999999</v>
      </c>
      <c r="J24" s="219">
        <v>3.2342</v>
      </c>
      <c r="K24" s="219">
        <v>3.0627049999999998</v>
      </c>
      <c r="L24" s="219">
        <v>4.1229354999999996</v>
      </c>
      <c r="M24" s="219">
        <v>3.7698</v>
      </c>
      <c r="N24" s="219">
        <v>5.5002000000000004</v>
      </c>
      <c r="O24" s="219">
        <v>6.0049000000000001</v>
      </c>
      <c r="P24" s="219">
        <v>5.4795999999999996</v>
      </c>
      <c r="Q24" s="219">
        <v>4.4187000000000003</v>
      </c>
      <c r="R24" s="219">
        <v>4.1509</v>
      </c>
      <c r="S24" s="219">
        <v>4.2641999999999998</v>
      </c>
      <c r="T24" s="219">
        <v>4.944</v>
      </c>
      <c r="U24" s="219">
        <v>4.7689000000000004</v>
      </c>
      <c r="V24" s="219">
        <v>4.4496000000000002</v>
      </c>
      <c r="W24" s="219">
        <v>4.0067000000000004</v>
      </c>
      <c r="X24" s="219">
        <v>3.5329000000000002</v>
      </c>
      <c r="Y24" s="219">
        <v>3.8212999999999999</v>
      </c>
      <c r="Z24" s="219">
        <v>4.3775000000000004</v>
      </c>
      <c r="AA24" s="219">
        <v>4.6246999999999998</v>
      </c>
      <c r="AB24" s="219">
        <v>4.2126999999999999</v>
      </c>
      <c r="AC24" s="219">
        <v>4.0891000000000002</v>
      </c>
      <c r="AD24" s="219">
        <v>4.3775000000000004</v>
      </c>
      <c r="AE24" s="219">
        <v>4.4393000000000002</v>
      </c>
      <c r="AF24" s="219">
        <v>4.6864999999999997</v>
      </c>
      <c r="AG24" s="219">
        <v>4.5526</v>
      </c>
      <c r="AH24" s="219">
        <v>4.1715</v>
      </c>
      <c r="AI24" s="219">
        <v>4.0170000000000003</v>
      </c>
      <c r="AJ24" s="219">
        <v>3.6667999999999998</v>
      </c>
      <c r="AK24" s="219">
        <v>3.3372000000000002</v>
      </c>
      <c r="AL24" s="219">
        <v>3.2650999999999999</v>
      </c>
      <c r="AM24" s="219">
        <v>2.7501000000000002</v>
      </c>
      <c r="AN24" s="219">
        <v>2.5750000000000002</v>
      </c>
      <c r="AO24" s="219">
        <v>2.2454000000000001</v>
      </c>
      <c r="AP24" s="219">
        <v>2.0085000000000002</v>
      </c>
      <c r="AQ24" s="219">
        <v>2.5028999999999999</v>
      </c>
      <c r="AR24" s="219">
        <v>2.5337999999999998</v>
      </c>
      <c r="AS24" s="219">
        <v>3.0385</v>
      </c>
      <c r="AT24" s="219">
        <v>2.9251999999999998</v>
      </c>
      <c r="AU24" s="219">
        <v>2.93344</v>
      </c>
      <c r="AV24" s="219">
        <v>3.4165100000000002</v>
      </c>
      <c r="AW24" s="219">
        <v>3.6467149999999999</v>
      </c>
      <c r="AX24" s="219">
        <v>3.4417450000000001</v>
      </c>
      <c r="AY24" s="219">
        <v>3.4298999999999999</v>
      </c>
      <c r="AZ24" s="219">
        <v>3.4298999999999999</v>
      </c>
      <c r="BA24" s="219">
        <v>3.9243000000000001</v>
      </c>
      <c r="BB24" s="219">
        <v>4.2950999999999997</v>
      </c>
      <c r="BC24" s="219">
        <v>4.1612</v>
      </c>
      <c r="BD24" s="219">
        <v>3.9407800000000002</v>
      </c>
      <c r="BE24" s="333">
        <v>3.8494820000000001</v>
      </c>
      <c r="BF24" s="333">
        <v>3.8037010000000002</v>
      </c>
      <c r="BG24" s="333">
        <v>3.795175</v>
      </c>
      <c r="BH24" s="333">
        <v>3.8531080000000002</v>
      </c>
      <c r="BI24" s="333">
        <v>3.9954900000000002</v>
      </c>
      <c r="BJ24" s="333">
        <v>4.0208380000000004</v>
      </c>
      <c r="BK24" s="333">
        <v>4.1203989999999999</v>
      </c>
      <c r="BL24" s="333">
        <v>4.0828199999999999</v>
      </c>
      <c r="BM24" s="333">
        <v>3.9510100000000001</v>
      </c>
      <c r="BN24" s="333">
        <v>3.7282440000000001</v>
      </c>
      <c r="BO24" s="333">
        <v>3.6667770000000002</v>
      </c>
      <c r="BP24" s="333">
        <v>3.8422369999999999</v>
      </c>
      <c r="BQ24" s="333">
        <v>4.0168049999999997</v>
      </c>
      <c r="BR24" s="333">
        <v>4.0639149999999997</v>
      </c>
      <c r="BS24" s="333">
        <v>4.0806979999999999</v>
      </c>
      <c r="BT24" s="333">
        <v>4.1154900000000003</v>
      </c>
      <c r="BU24" s="333">
        <v>4.254912</v>
      </c>
      <c r="BV24" s="333">
        <v>4.3499400000000001</v>
      </c>
    </row>
    <row r="25" spans="1:74" ht="11.1" customHeight="1">
      <c r="A25" s="52" t="s">
        <v>153</v>
      </c>
      <c r="B25" s="151" t="s">
        <v>142</v>
      </c>
      <c r="C25" s="219">
        <v>5.2404999999999999</v>
      </c>
      <c r="D25" s="219">
        <v>4.5147300000000001</v>
      </c>
      <c r="E25" s="219">
        <v>3.9595400000000001</v>
      </c>
      <c r="F25" s="219">
        <v>3.4947599999999999</v>
      </c>
      <c r="G25" s="219">
        <v>3.8325</v>
      </c>
      <c r="H25" s="219">
        <v>3.8004500000000001</v>
      </c>
      <c r="I25" s="219">
        <v>3.3836300000000001</v>
      </c>
      <c r="J25" s="219">
        <v>3.14</v>
      </c>
      <c r="K25" s="219">
        <v>2.9735</v>
      </c>
      <c r="L25" s="219">
        <v>4.0028499999999996</v>
      </c>
      <c r="M25" s="219">
        <v>3.66</v>
      </c>
      <c r="N25" s="219">
        <v>5.34</v>
      </c>
      <c r="O25" s="219">
        <v>5.83</v>
      </c>
      <c r="P25" s="219">
        <v>5.32</v>
      </c>
      <c r="Q25" s="219">
        <v>4.29</v>
      </c>
      <c r="R25" s="219">
        <v>4.03</v>
      </c>
      <c r="S25" s="219">
        <v>4.1399999999999997</v>
      </c>
      <c r="T25" s="219">
        <v>4.8</v>
      </c>
      <c r="U25" s="219">
        <v>4.63</v>
      </c>
      <c r="V25" s="219">
        <v>4.32</v>
      </c>
      <c r="W25" s="219">
        <v>3.89</v>
      </c>
      <c r="X25" s="219">
        <v>3.43</v>
      </c>
      <c r="Y25" s="219">
        <v>3.71</v>
      </c>
      <c r="Z25" s="219">
        <v>4.25</v>
      </c>
      <c r="AA25" s="219">
        <v>4.49</v>
      </c>
      <c r="AB25" s="219">
        <v>4.09</v>
      </c>
      <c r="AC25" s="219">
        <v>3.97</v>
      </c>
      <c r="AD25" s="219">
        <v>4.25</v>
      </c>
      <c r="AE25" s="219">
        <v>4.3099999999999996</v>
      </c>
      <c r="AF25" s="219">
        <v>4.55</v>
      </c>
      <c r="AG25" s="219">
        <v>4.42</v>
      </c>
      <c r="AH25" s="219">
        <v>4.05</v>
      </c>
      <c r="AI25" s="219">
        <v>3.9</v>
      </c>
      <c r="AJ25" s="219">
        <v>3.56</v>
      </c>
      <c r="AK25" s="219">
        <v>3.24</v>
      </c>
      <c r="AL25" s="219">
        <v>3.17</v>
      </c>
      <c r="AM25" s="219">
        <v>2.67</v>
      </c>
      <c r="AN25" s="219">
        <v>2.5</v>
      </c>
      <c r="AO25" s="219">
        <v>2.1800000000000002</v>
      </c>
      <c r="AP25" s="219">
        <v>1.95</v>
      </c>
      <c r="AQ25" s="219">
        <v>2.4300000000000002</v>
      </c>
      <c r="AR25" s="219">
        <v>2.46</v>
      </c>
      <c r="AS25" s="219">
        <v>2.95</v>
      </c>
      <c r="AT25" s="219">
        <v>2.84</v>
      </c>
      <c r="AU25" s="219">
        <v>2.8479999999999999</v>
      </c>
      <c r="AV25" s="219">
        <v>3.3170000000000002</v>
      </c>
      <c r="AW25" s="219">
        <v>3.5405000000000002</v>
      </c>
      <c r="AX25" s="219">
        <v>3.3414999999999999</v>
      </c>
      <c r="AY25" s="219">
        <v>3.33</v>
      </c>
      <c r="AZ25" s="219">
        <v>3.33</v>
      </c>
      <c r="BA25" s="219">
        <v>3.81</v>
      </c>
      <c r="BB25" s="219">
        <v>4.17</v>
      </c>
      <c r="BC25" s="219">
        <v>4.04</v>
      </c>
      <c r="BD25" s="219">
        <v>3.8260000000000001</v>
      </c>
      <c r="BE25" s="333">
        <v>3.7373609999999999</v>
      </c>
      <c r="BF25" s="333">
        <v>3.6929129999999999</v>
      </c>
      <c r="BG25" s="333">
        <v>3.6846359999999998</v>
      </c>
      <c r="BH25" s="333">
        <v>3.7408809999999999</v>
      </c>
      <c r="BI25" s="333">
        <v>3.8791169999999999</v>
      </c>
      <c r="BJ25" s="333">
        <v>3.9037259999999998</v>
      </c>
      <c r="BK25" s="333">
        <v>4.0003869999999999</v>
      </c>
      <c r="BL25" s="333">
        <v>3.9639030000000002</v>
      </c>
      <c r="BM25" s="333">
        <v>3.8359320000000001</v>
      </c>
      <c r="BN25" s="333">
        <v>3.6196549999999998</v>
      </c>
      <c r="BO25" s="333">
        <v>3.5599769999999999</v>
      </c>
      <c r="BP25" s="333">
        <v>3.7303269999999999</v>
      </c>
      <c r="BQ25" s="333">
        <v>3.8998110000000001</v>
      </c>
      <c r="BR25" s="333">
        <v>3.9455480000000001</v>
      </c>
      <c r="BS25" s="333">
        <v>3.9618419999999999</v>
      </c>
      <c r="BT25" s="333">
        <v>3.995622</v>
      </c>
      <c r="BU25" s="333">
        <v>4.1309829999999996</v>
      </c>
      <c r="BV25" s="333">
        <v>4.2232430000000001</v>
      </c>
    </row>
    <row r="26" spans="1:74" ht="11.1" customHeight="1">
      <c r="A26" s="52"/>
      <c r="B26" s="53" t="s">
        <v>152</v>
      </c>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336"/>
      <c r="BF26" s="336"/>
      <c r="BG26" s="336"/>
      <c r="BH26" s="336"/>
      <c r="BI26" s="336"/>
      <c r="BJ26" s="336"/>
      <c r="BK26" s="336"/>
      <c r="BL26" s="336"/>
      <c r="BM26" s="336"/>
      <c r="BN26" s="336"/>
      <c r="BO26" s="336"/>
      <c r="BP26" s="336"/>
      <c r="BQ26" s="336"/>
      <c r="BR26" s="336"/>
      <c r="BS26" s="336"/>
      <c r="BT26" s="336"/>
      <c r="BU26" s="336"/>
      <c r="BV26" s="336"/>
    </row>
    <row r="27" spans="1:74" ht="11.1" customHeight="1">
      <c r="A27" s="52" t="s">
        <v>970</v>
      </c>
      <c r="B27" s="151" t="s">
        <v>580</v>
      </c>
      <c r="C27" s="219">
        <v>7.5</v>
      </c>
      <c r="D27" s="219">
        <v>6.43</v>
      </c>
      <c r="E27" s="219">
        <v>5.69</v>
      </c>
      <c r="F27" s="219">
        <v>5.05</v>
      </c>
      <c r="G27" s="219">
        <v>4.4000000000000004</v>
      </c>
      <c r="H27" s="219">
        <v>4.5599999999999996</v>
      </c>
      <c r="I27" s="219">
        <v>4.68</v>
      </c>
      <c r="J27" s="219">
        <v>4.38</v>
      </c>
      <c r="K27" s="219">
        <v>3.89</v>
      </c>
      <c r="L27" s="219">
        <v>4.82</v>
      </c>
      <c r="M27" s="219">
        <v>5.44</v>
      </c>
      <c r="N27" s="219">
        <v>5.97</v>
      </c>
      <c r="O27" s="219">
        <v>6.93</v>
      </c>
      <c r="P27" s="219">
        <v>6.76</v>
      </c>
      <c r="Q27" s="219">
        <v>6.01</v>
      </c>
      <c r="R27" s="219">
        <v>5.12</v>
      </c>
      <c r="S27" s="219">
        <v>5.08</v>
      </c>
      <c r="T27" s="219">
        <v>5.04</v>
      </c>
      <c r="U27" s="219">
        <v>5.49</v>
      </c>
      <c r="V27" s="219">
        <v>5.37</v>
      </c>
      <c r="W27" s="219">
        <v>4.6100000000000003</v>
      </c>
      <c r="X27" s="219">
        <v>4.7300000000000004</v>
      </c>
      <c r="Y27" s="219">
        <v>4.5999999999999996</v>
      </c>
      <c r="Z27" s="219">
        <v>5.5</v>
      </c>
      <c r="AA27" s="219">
        <v>5.64</v>
      </c>
      <c r="AB27" s="219">
        <v>5.75</v>
      </c>
      <c r="AC27" s="219">
        <v>5.2</v>
      </c>
      <c r="AD27" s="219">
        <v>5.33</v>
      </c>
      <c r="AE27" s="219">
        <v>5.2</v>
      </c>
      <c r="AF27" s="219">
        <v>5.2</v>
      </c>
      <c r="AG27" s="219">
        <v>5.04</v>
      </c>
      <c r="AH27" s="219">
        <v>5.2</v>
      </c>
      <c r="AI27" s="219">
        <v>4.82</v>
      </c>
      <c r="AJ27" s="219">
        <v>4.7</v>
      </c>
      <c r="AK27" s="219">
        <v>4.63</v>
      </c>
      <c r="AL27" s="219">
        <v>4.57</v>
      </c>
      <c r="AM27" s="219">
        <v>4.54</v>
      </c>
      <c r="AN27" s="219">
        <v>4.17</v>
      </c>
      <c r="AO27" s="219">
        <v>3.71</v>
      </c>
      <c r="AP27" s="219">
        <v>3.19</v>
      </c>
      <c r="AQ27" s="219">
        <v>3.01</v>
      </c>
      <c r="AR27" s="219">
        <v>3.29</v>
      </c>
      <c r="AS27" s="219">
        <v>3.55</v>
      </c>
      <c r="AT27" s="219">
        <v>3.8</v>
      </c>
      <c r="AU27" s="219">
        <v>3.53</v>
      </c>
      <c r="AV27" s="219">
        <v>3.91</v>
      </c>
      <c r="AW27" s="219">
        <v>4.43</v>
      </c>
      <c r="AX27" s="219">
        <v>4.72</v>
      </c>
      <c r="AY27" s="219">
        <v>4.58</v>
      </c>
      <c r="AZ27" s="219">
        <v>4.53</v>
      </c>
      <c r="BA27" s="219">
        <v>4.58</v>
      </c>
      <c r="BB27" s="219">
        <v>4.95</v>
      </c>
      <c r="BC27" s="219">
        <v>4.8844940000000001</v>
      </c>
      <c r="BD27" s="219">
        <v>4.6949110000000003</v>
      </c>
      <c r="BE27" s="333">
        <v>4.7888279999999996</v>
      </c>
      <c r="BF27" s="333">
        <v>4.8191560000000004</v>
      </c>
      <c r="BG27" s="333">
        <v>4.7298400000000003</v>
      </c>
      <c r="BH27" s="333">
        <v>4.8473730000000002</v>
      </c>
      <c r="BI27" s="333">
        <v>5.1047599999999997</v>
      </c>
      <c r="BJ27" s="333">
        <v>5.316567</v>
      </c>
      <c r="BK27" s="333">
        <v>5.4461649999999997</v>
      </c>
      <c r="BL27" s="333">
        <v>5.4636149999999999</v>
      </c>
      <c r="BM27" s="333">
        <v>5.1270670000000003</v>
      </c>
      <c r="BN27" s="333">
        <v>4.8434200000000001</v>
      </c>
      <c r="BO27" s="333">
        <v>4.5551649999999997</v>
      </c>
      <c r="BP27" s="333">
        <v>4.4899829999999996</v>
      </c>
      <c r="BQ27" s="333">
        <v>4.8799080000000004</v>
      </c>
      <c r="BR27" s="333">
        <v>5.0810399999999998</v>
      </c>
      <c r="BS27" s="333">
        <v>5.045598</v>
      </c>
      <c r="BT27" s="333">
        <v>5.2005720000000002</v>
      </c>
      <c r="BU27" s="333">
        <v>5.4500859999999998</v>
      </c>
      <c r="BV27" s="333">
        <v>5.6807920000000003</v>
      </c>
    </row>
    <row r="28" spans="1:74" ht="11.1" customHeight="1">
      <c r="A28" s="52" t="s">
        <v>960</v>
      </c>
      <c r="B28" s="151" t="s">
        <v>581</v>
      </c>
      <c r="C28" s="219">
        <v>11.28</v>
      </c>
      <c r="D28" s="219">
        <v>10.98</v>
      </c>
      <c r="E28" s="219">
        <v>10.46</v>
      </c>
      <c r="F28" s="219">
        <v>9.6999999999999993</v>
      </c>
      <c r="G28" s="219">
        <v>9.42</v>
      </c>
      <c r="H28" s="219">
        <v>9.5299999999999994</v>
      </c>
      <c r="I28" s="219">
        <v>9.74</v>
      </c>
      <c r="J28" s="219">
        <v>9.52</v>
      </c>
      <c r="K28" s="219">
        <v>9.35</v>
      </c>
      <c r="L28" s="219">
        <v>8.93</v>
      </c>
      <c r="M28" s="219">
        <v>9.4499999999999993</v>
      </c>
      <c r="N28" s="219">
        <v>9.1</v>
      </c>
      <c r="O28" s="219">
        <v>9.65</v>
      </c>
      <c r="P28" s="219">
        <v>9.7100000000000009</v>
      </c>
      <c r="Q28" s="219">
        <v>9.6999999999999993</v>
      </c>
      <c r="R28" s="219">
        <v>9.57</v>
      </c>
      <c r="S28" s="219">
        <v>9.5</v>
      </c>
      <c r="T28" s="219">
        <v>9.7200000000000006</v>
      </c>
      <c r="U28" s="219">
        <v>10.039999999999999</v>
      </c>
      <c r="V28" s="219">
        <v>9.94</v>
      </c>
      <c r="W28" s="219">
        <v>9.56</v>
      </c>
      <c r="X28" s="219">
        <v>9.27</v>
      </c>
      <c r="Y28" s="219">
        <v>8.86</v>
      </c>
      <c r="Z28" s="219">
        <v>8.82</v>
      </c>
      <c r="AA28" s="219">
        <v>8.75</v>
      </c>
      <c r="AB28" s="219">
        <v>8.8800000000000008</v>
      </c>
      <c r="AC28" s="219">
        <v>8.89</v>
      </c>
      <c r="AD28" s="219">
        <v>9.0299999999999994</v>
      </c>
      <c r="AE28" s="219">
        <v>9.36</v>
      </c>
      <c r="AF28" s="219">
        <v>9.58</v>
      </c>
      <c r="AG28" s="219">
        <v>9.59</v>
      </c>
      <c r="AH28" s="219">
        <v>9.77</v>
      </c>
      <c r="AI28" s="219">
        <v>9.4700000000000006</v>
      </c>
      <c r="AJ28" s="219">
        <v>8.9499999999999993</v>
      </c>
      <c r="AK28" s="219">
        <v>8.6300000000000008</v>
      </c>
      <c r="AL28" s="219">
        <v>8.33</v>
      </c>
      <c r="AM28" s="219">
        <v>8.2200000000000006</v>
      </c>
      <c r="AN28" s="219">
        <v>7.94</v>
      </c>
      <c r="AO28" s="219">
        <v>8.4</v>
      </c>
      <c r="AP28" s="219">
        <v>8.02</v>
      </c>
      <c r="AQ28" s="219">
        <v>7.93</v>
      </c>
      <c r="AR28" s="219">
        <v>8.2100000000000009</v>
      </c>
      <c r="AS28" s="219">
        <v>8.3000000000000007</v>
      </c>
      <c r="AT28" s="219">
        <v>8.4700000000000006</v>
      </c>
      <c r="AU28" s="219">
        <v>8.23</v>
      </c>
      <c r="AV28" s="219">
        <v>8</v>
      </c>
      <c r="AW28" s="219">
        <v>8.02</v>
      </c>
      <c r="AX28" s="219">
        <v>8.11</v>
      </c>
      <c r="AY28" s="219">
        <v>7.81</v>
      </c>
      <c r="AZ28" s="219">
        <v>7.88</v>
      </c>
      <c r="BA28" s="219">
        <v>7.82</v>
      </c>
      <c r="BB28" s="219">
        <v>8.26</v>
      </c>
      <c r="BC28" s="219">
        <v>8.7325839999999992</v>
      </c>
      <c r="BD28" s="219">
        <v>9.0874349999999993</v>
      </c>
      <c r="BE28" s="333">
        <v>9.3977369999999993</v>
      </c>
      <c r="BF28" s="333">
        <v>9.7501239999999996</v>
      </c>
      <c r="BG28" s="333">
        <v>9.7904940000000007</v>
      </c>
      <c r="BH28" s="333">
        <v>9.5428139999999999</v>
      </c>
      <c r="BI28" s="333">
        <v>9.6974110000000007</v>
      </c>
      <c r="BJ28" s="333">
        <v>9.3921329999999994</v>
      </c>
      <c r="BK28" s="333">
        <v>9.4418430000000004</v>
      </c>
      <c r="BL28" s="333">
        <v>9.4154450000000001</v>
      </c>
      <c r="BM28" s="333">
        <v>9.6063159999999996</v>
      </c>
      <c r="BN28" s="333">
        <v>9.5330159999999999</v>
      </c>
      <c r="BO28" s="333">
        <v>9.3993330000000004</v>
      </c>
      <c r="BP28" s="333">
        <v>9.5289579999999994</v>
      </c>
      <c r="BQ28" s="333">
        <v>9.8037810000000007</v>
      </c>
      <c r="BR28" s="333">
        <v>10.19088</v>
      </c>
      <c r="BS28" s="333">
        <v>10.26798</v>
      </c>
      <c r="BT28" s="333">
        <v>10.030099999999999</v>
      </c>
      <c r="BU28" s="333">
        <v>10.17853</v>
      </c>
      <c r="BV28" s="333">
        <v>9.8794719999999998</v>
      </c>
    </row>
    <row r="29" spans="1:74" ht="11.1" customHeight="1">
      <c r="A29" s="52" t="s">
        <v>737</v>
      </c>
      <c r="B29" s="151" t="s">
        <v>582</v>
      </c>
      <c r="C29" s="219">
        <v>12.49</v>
      </c>
      <c r="D29" s="219">
        <v>12.26</v>
      </c>
      <c r="E29" s="219">
        <v>11.98</v>
      </c>
      <c r="F29" s="219">
        <v>11.68</v>
      </c>
      <c r="G29" s="219">
        <v>12.86</v>
      </c>
      <c r="H29" s="219">
        <v>14.26</v>
      </c>
      <c r="I29" s="219">
        <v>15.27</v>
      </c>
      <c r="J29" s="219">
        <v>15.61</v>
      </c>
      <c r="K29" s="219">
        <v>14.8</v>
      </c>
      <c r="L29" s="219">
        <v>11.78</v>
      </c>
      <c r="M29" s="219">
        <v>11.48</v>
      </c>
      <c r="N29" s="219">
        <v>10.42</v>
      </c>
      <c r="O29" s="219">
        <v>10.56</v>
      </c>
      <c r="P29" s="219">
        <v>10.69</v>
      </c>
      <c r="Q29" s="219">
        <v>10.99</v>
      </c>
      <c r="R29" s="219">
        <v>11.97</v>
      </c>
      <c r="S29" s="219">
        <v>13.12</v>
      </c>
      <c r="T29" s="219">
        <v>14.86</v>
      </c>
      <c r="U29" s="219">
        <v>16.21</v>
      </c>
      <c r="V29" s="219">
        <v>16.649999999999999</v>
      </c>
      <c r="W29" s="219">
        <v>15.63</v>
      </c>
      <c r="X29" s="219">
        <v>13.37</v>
      </c>
      <c r="Y29" s="219">
        <v>10.89</v>
      </c>
      <c r="Z29" s="219">
        <v>9.98</v>
      </c>
      <c r="AA29" s="219">
        <v>9.9</v>
      </c>
      <c r="AB29" s="219">
        <v>10.14</v>
      </c>
      <c r="AC29" s="219">
        <v>10.43</v>
      </c>
      <c r="AD29" s="219">
        <v>11.27</v>
      </c>
      <c r="AE29" s="219">
        <v>12.5</v>
      </c>
      <c r="AF29" s="219">
        <v>14.7</v>
      </c>
      <c r="AG29" s="219">
        <v>16.14</v>
      </c>
      <c r="AH29" s="219">
        <v>16.670000000000002</v>
      </c>
      <c r="AI29" s="219">
        <v>15.63</v>
      </c>
      <c r="AJ29" s="219">
        <v>12.85</v>
      </c>
      <c r="AK29" s="219">
        <v>10.78</v>
      </c>
      <c r="AL29" s="219">
        <v>9.84</v>
      </c>
      <c r="AM29" s="219">
        <v>9.64</v>
      </c>
      <c r="AN29" s="219">
        <v>9.51</v>
      </c>
      <c r="AO29" s="219">
        <v>10.45</v>
      </c>
      <c r="AP29" s="219">
        <v>10.91</v>
      </c>
      <c r="AQ29" s="219">
        <v>12.44</v>
      </c>
      <c r="AR29" s="219">
        <v>14.22</v>
      </c>
      <c r="AS29" s="219">
        <v>15.29</v>
      </c>
      <c r="AT29" s="219">
        <v>15.94</v>
      </c>
      <c r="AU29" s="219">
        <v>14.89</v>
      </c>
      <c r="AV29" s="219">
        <v>11.77</v>
      </c>
      <c r="AW29" s="219">
        <v>9.9700000000000006</v>
      </c>
      <c r="AX29" s="219">
        <v>9.75</v>
      </c>
      <c r="AY29" s="219">
        <v>9.19</v>
      </c>
      <c r="AZ29" s="219">
        <v>9.24</v>
      </c>
      <c r="BA29" s="219">
        <v>9.36</v>
      </c>
      <c r="BB29" s="219">
        <v>10.44</v>
      </c>
      <c r="BC29" s="219">
        <v>12.410349999999999</v>
      </c>
      <c r="BD29" s="219">
        <v>14.359730000000001</v>
      </c>
      <c r="BE29" s="333">
        <v>16.05377</v>
      </c>
      <c r="BF29" s="333">
        <v>17.069600000000001</v>
      </c>
      <c r="BG29" s="333">
        <v>16.516110000000001</v>
      </c>
      <c r="BH29" s="333">
        <v>13.85976</v>
      </c>
      <c r="BI29" s="333">
        <v>11.96739</v>
      </c>
      <c r="BJ29" s="333">
        <v>10.64228</v>
      </c>
      <c r="BK29" s="333">
        <v>10.64873</v>
      </c>
      <c r="BL29" s="333">
        <v>10.71341</v>
      </c>
      <c r="BM29" s="333">
        <v>10.96991</v>
      </c>
      <c r="BN29" s="333">
        <v>11.901809999999999</v>
      </c>
      <c r="BO29" s="333">
        <v>13.196260000000001</v>
      </c>
      <c r="BP29" s="333">
        <v>14.959680000000001</v>
      </c>
      <c r="BQ29" s="333">
        <v>16.622820000000001</v>
      </c>
      <c r="BR29" s="333">
        <v>17.728359999999999</v>
      </c>
      <c r="BS29" s="333">
        <v>17.309940000000001</v>
      </c>
      <c r="BT29" s="333">
        <v>14.63829</v>
      </c>
      <c r="BU29" s="333">
        <v>12.683490000000001</v>
      </c>
      <c r="BV29" s="333">
        <v>11.303089999999999</v>
      </c>
    </row>
    <row r="30" spans="1:74" ht="11.1" customHeight="1">
      <c r="A30" s="49"/>
      <c r="B30" s="54" t="s">
        <v>1108</v>
      </c>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643"/>
      <c r="AZ30" s="643"/>
      <c r="BA30" s="643"/>
      <c r="BB30" s="643"/>
      <c r="BC30" s="643"/>
      <c r="BD30" s="643"/>
      <c r="BE30" s="421"/>
      <c r="BF30" s="421"/>
      <c r="BG30" s="421"/>
      <c r="BH30" s="421"/>
      <c r="BI30" s="421"/>
      <c r="BJ30" s="421"/>
      <c r="BK30" s="421"/>
      <c r="BL30" s="421"/>
      <c r="BM30" s="421"/>
      <c r="BN30" s="421"/>
      <c r="BO30" s="421"/>
      <c r="BP30" s="421"/>
      <c r="BQ30" s="421"/>
      <c r="BR30" s="421"/>
      <c r="BS30" s="421"/>
      <c r="BT30" s="421"/>
      <c r="BU30" s="421"/>
      <c r="BV30" s="421"/>
    </row>
    <row r="31" spans="1:74" ht="11.1" customHeight="1">
      <c r="A31" s="49"/>
      <c r="B31" s="55" t="s">
        <v>122</v>
      </c>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643"/>
      <c r="AZ31" s="643"/>
      <c r="BA31" s="643"/>
      <c r="BB31" s="643"/>
      <c r="BC31" s="643"/>
      <c r="BD31" s="643"/>
      <c r="BE31" s="421"/>
      <c r="BF31" s="421"/>
      <c r="BG31" s="421"/>
      <c r="BH31" s="421"/>
      <c r="BI31" s="421"/>
      <c r="BJ31" s="421"/>
      <c r="BK31" s="421"/>
      <c r="BL31" s="421"/>
      <c r="BM31" s="421"/>
      <c r="BN31" s="421"/>
      <c r="BO31" s="421"/>
      <c r="BP31" s="421"/>
      <c r="BQ31" s="421"/>
      <c r="BR31" s="421"/>
      <c r="BS31" s="421"/>
      <c r="BT31" s="421"/>
      <c r="BU31" s="421"/>
      <c r="BV31" s="421"/>
    </row>
    <row r="32" spans="1:74" ht="11.1" customHeight="1">
      <c r="A32" s="52" t="s">
        <v>734</v>
      </c>
      <c r="B32" s="151" t="s">
        <v>583</v>
      </c>
      <c r="C32" s="219">
        <v>2.23</v>
      </c>
      <c r="D32" s="219">
        <v>2.27</v>
      </c>
      <c r="E32" s="219">
        <v>2.29</v>
      </c>
      <c r="F32" s="219">
        <v>2.2200000000000002</v>
      </c>
      <c r="G32" s="219">
        <v>2.23</v>
      </c>
      <c r="H32" s="219">
        <v>2.2200000000000002</v>
      </c>
      <c r="I32" s="219">
        <v>2.19</v>
      </c>
      <c r="J32" s="219">
        <v>2.21</v>
      </c>
      <c r="K32" s="219">
        <v>2.1800000000000002</v>
      </c>
      <c r="L32" s="219">
        <v>2.17</v>
      </c>
      <c r="M32" s="219">
        <v>2.13</v>
      </c>
      <c r="N32" s="219">
        <v>2.14</v>
      </c>
      <c r="O32" s="219">
        <v>2.23</v>
      </c>
      <c r="P32" s="219">
        <v>2.27</v>
      </c>
      <c r="Q32" s="219">
        <v>2.31</v>
      </c>
      <c r="R32" s="219">
        <v>2.29</v>
      </c>
      <c r="S32" s="219">
        <v>2.2599999999999998</v>
      </c>
      <c r="T32" s="219">
        <v>2.25</v>
      </c>
      <c r="U32" s="219">
        <v>2.27</v>
      </c>
      <c r="V32" s="219">
        <v>2.2999999999999998</v>
      </c>
      <c r="W32" s="219">
        <v>2.2799999999999998</v>
      </c>
      <c r="X32" s="219">
        <v>2.27</v>
      </c>
      <c r="Y32" s="219">
        <v>2.2599999999999998</v>
      </c>
      <c r="Z32" s="219">
        <v>2.23</v>
      </c>
      <c r="AA32" s="219">
        <v>2.3199999999999998</v>
      </c>
      <c r="AB32" s="219">
        <v>2.35</v>
      </c>
      <c r="AC32" s="219">
        <v>2.34</v>
      </c>
      <c r="AD32" s="219">
        <v>2.38</v>
      </c>
      <c r="AE32" s="219">
        <v>2.4300000000000002</v>
      </c>
      <c r="AF32" s="219">
        <v>2.4</v>
      </c>
      <c r="AG32" s="219">
        <v>2.4500000000000002</v>
      </c>
      <c r="AH32" s="219">
        <v>2.4700000000000002</v>
      </c>
      <c r="AI32" s="219">
        <v>2.44</v>
      </c>
      <c r="AJ32" s="219">
        <v>2.39</v>
      </c>
      <c r="AK32" s="219">
        <v>2.37</v>
      </c>
      <c r="AL32" s="219">
        <v>2.34</v>
      </c>
      <c r="AM32" s="219">
        <v>2.4300000000000002</v>
      </c>
      <c r="AN32" s="219">
        <v>2.4</v>
      </c>
      <c r="AO32" s="219">
        <v>2.41</v>
      </c>
      <c r="AP32" s="219">
        <v>2.44</v>
      </c>
      <c r="AQ32" s="219">
        <v>2.44</v>
      </c>
      <c r="AR32" s="219">
        <v>2.38</v>
      </c>
      <c r="AS32" s="219">
        <v>2.41</v>
      </c>
      <c r="AT32" s="219">
        <v>2.42</v>
      </c>
      <c r="AU32" s="219">
        <v>2.39</v>
      </c>
      <c r="AV32" s="219">
        <v>2.38</v>
      </c>
      <c r="AW32" s="219">
        <v>2.38</v>
      </c>
      <c r="AX32" s="219">
        <v>2.38</v>
      </c>
      <c r="AY32" s="219">
        <v>2.34</v>
      </c>
      <c r="AZ32" s="219">
        <v>2.34</v>
      </c>
      <c r="BA32" s="219">
        <v>2.35</v>
      </c>
      <c r="BB32" s="219">
        <v>2.37</v>
      </c>
      <c r="BC32" s="219">
        <v>2.36965</v>
      </c>
      <c r="BD32" s="219">
        <v>2.3697900000000001</v>
      </c>
      <c r="BE32" s="333">
        <v>2.3797570000000001</v>
      </c>
      <c r="BF32" s="333">
        <v>2.3696480000000002</v>
      </c>
      <c r="BG32" s="333">
        <v>2.3599000000000001</v>
      </c>
      <c r="BH32" s="333">
        <v>2.3702320000000001</v>
      </c>
      <c r="BI32" s="333">
        <v>2.3701240000000001</v>
      </c>
      <c r="BJ32" s="333">
        <v>2.3800249999999998</v>
      </c>
      <c r="BK32" s="333">
        <v>2.3898730000000001</v>
      </c>
      <c r="BL32" s="333">
        <v>2.4097469999999999</v>
      </c>
      <c r="BM32" s="333">
        <v>2.4197570000000002</v>
      </c>
      <c r="BN32" s="333">
        <v>2.4099210000000002</v>
      </c>
      <c r="BO32" s="333">
        <v>2.39988</v>
      </c>
      <c r="BP32" s="333">
        <v>2.3896860000000002</v>
      </c>
      <c r="BQ32" s="333">
        <v>2.4098380000000001</v>
      </c>
      <c r="BR32" s="333">
        <v>2.3997809999999999</v>
      </c>
      <c r="BS32" s="333">
        <v>2.3897819999999999</v>
      </c>
      <c r="BT32" s="333">
        <v>2.3899550000000001</v>
      </c>
      <c r="BU32" s="333">
        <v>2.3801030000000001</v>
      </c>
      <c r="BV32" s="333">
        <v>2.3698809999999999</v>
      </c>
    </row>
    <row r="33" spans="1:74" ht="11.1" customHeight="1">
      <c r="A33" s="52" t="s">
        <v>736</v>
      </c>
      <c r="B33" s="151" t="s">
        <v>584</v>
      </c>
      <c r="C33" s="219">
        <v>6.38</v>
      </c>
      <c r="D33" s="219">
        <v>5.38</v>
      </c>
      <c r="E33" s="219">
        <v>4.7300000000000004</v>
      </c>
      <c r="F33" s="219">
        <v>4.4800000000000004</v>
      </c>
      <c r="G33" s="219">
        <v>4.4800000000000004</v>
      </c>
      <c r="H33" s="219">
        <v>4.4400000000000004</v>
      </c>
      <c r="I33" s="219">
        <v>4.32</v>
      </c>
      <c r="J33" s="219">
        <v>4.1500000000000004</v>
      </c>
      <c r="K33" s="219">
        <v>3.84</v>
      </c>
      <c r="L33" s="219">
        <v>4.82</v>
      </c>
      <c r="M33" s="219">
        <v>4.87</v>
      </c>
      <c r="N33" s="219">
        <v>5.96</v>
      </c>
      <c r="O33" s="219">
        <v>6.71</v>
      </c>
      <c r="P33" s="219">
        <v>6.07</v>
      </c>
      <c r="Q33" s="219">
        <v>5.29</v>
      </c>
      <c r="R33" s="219">
        <v>4.71</v>
      </c>
      <c r="S33" s="219">
        <v>4.79</v>
      </c>
      <c r="T33" s="219">
        <v>5.12</v>
      </c>
      <c r="U33" s="219">
        <v>5.18</v>
      </c>
      <c r="V33" s="219">
        <v>4.92</v>
      </c>
      <c r="W33" s="219">
        <v>4.45</v>
      </c>
      <c r="X33" s="219">
        <v>4.3</v>
      </c>
      <c r="Y33" s="219">
        <v>4.3499999999999996</v>
      </c>
      <c r="Z33" s="219">
        <v>5.43</v>
      </c>
      <c r="AA33" s="219">
        <v>5.39</v>
      </c>
      <c r="AB33" s="219">
        <v>5.09</v>
      </c>
      <c r="AC33" s="219">
        <v>4.6399999999999997</v>
      </c>
      <c r="AD33" s="219">
        <v>4.8600000000000003</v>
      </c>
      <c r="AE33" s="219">
        <v>4.8899999999999997</v>
      </c>
      <c r="AF33" s="219">
        <v>5.04</v>
      </c>
      <c r="AG33" s="219">
        <v>4.9800000000000004</v>
      </c>
      <c r="AH33" s="219">
        <v>4.7300000000000004</v>
      </c>
      <c r="AI33" s="219">
        <v>4.5599999999999996</v>
      </c>
      <c r="AJ33" s="219">
        <v>4.33</v>
      </c>
      <c r="AK33" s="219">
        <v>4.0999999999999996</v>
      </c>
      <c r="AL33" s="219">
        <v>4.04</v>
      </c>
      <c r="AM33" s="219">
        <v>3.67</v>
      </c>
      <c r="AN33" s="219">
        <v>3.32</v>
      </c>
      <c r="AO33" s="219">
        <v>2.96</v>
      </c>
      <c r="AP33" s="219">
        <v>2.68</v>
      </c>
      <c r="AQ33" s="219">
        <v>2.9</v>
      </c>
      <c r="AR33" s="219">
        <v>3.08</v>
      </c>
      <c r="AS33" s="219">
        <v>3.41</v>
      </c>
      <c r="AT33" s="219">
        <v>3.48</v>
      </c>
      <c r="AU33" s="219">
        <v>3.38</v>
      </c>
      <c r="AV33" s="219">
        <v>3.81</v>
      </c>
      <c r="AW33" s="219">
        <v>4.2300000000000004</v>
      </c>
      <c r="AX33" s="219">
        <v>4.2</v>
      </c>
      <c r="AY33" s="219">
        <v>4.38</v>
      </c>
      <c r="AZ33" s="219">
        <v>4.3899999999999997</v>
      </c>
      <c r="BA33" s="219">
        <v>4.3</v>
      </c>
      <c r="BB33" s="219">
        <v>4.67</v>
      </c>
      <c r="BC33" s="219">
        <v>4.6726080000000003</v>
      </c>
      <c r="BD33" s="219">
        <v>4.423813</v>
      </c>
      <c r="BE33" s="333">
        <v>4.2554499999999997</v>
      </c>
      <c r="BF33" s="333">
        <v>4.4306010000000002</v>
      </c>
      <c r="BG33" s="333">
        <v>4.3128789999999997</v>
      </c>
      <c r="BH33" s="333">
        <v>4.473522</v>
      </c>
      <c r="BI33" s="333">
        <v>4.8259280000000002</v>
      </c>
      <c r="BJ33" s="333">
        <v>4.9798920000000004</v>
      </c>
      <c r="BK33" s="333">
        <v>4.9645159999999997</v>
      </c>
      <c r="BL33" s="333">
        <v>4.8005300000000002</v>
      </c>
      <c r="BM33" s="333">
        <v>4.5419270000000003</v>
      </c>
      <c r="BN33" s="333">
        <v>4.3733279999999999</v>
      </c>
      <c r="BO33" s="333">
        <v>4.2574969999999999</v>
      </c>
      <c r="BP33" s="333">
        <v>4.327617</v>
      </c>
      <c r="BQ33" s="333">
        <v>4.4082499999999998</v>
      </c>
      <c r="BR33" s="333">
        <v>4.6615339999999996</v>
      </c>
      <c r="BS33" s="333">
        <v>4.5651820000000001</v>
      </c>
      <c r="BT33" s="333">
        <v>4.7022820000000003</v>
      </c>
      <c r="BU33" s="333">
        <v>5.048197</v>
      </c>
      <c r="BV33" s="333">
        <v>5.252332</v>
      </c>
    </row>
    <row r="34" spans="1:74" ht="11.1" customHeight="1">
      <c r="A34" s="52" t="s">
        <v>735</v>
      </c>
      <c r="B34" s="151" t="s">
        <v>155</v>
      </c>
      <c r="C34" s="219">
        <v>6.9</v>
      </c>
      <c r="D34" s="219">
        <v>6.84</v>
      </c>
      <c r="E34" s="219">
        <v>7.02</v>
      </c>
      <c r="F34" s="219">
        <v>7.9</v>
      </c>
      <c r="G34" s="219">
        <v>8.2899999999999991</v>
      </c>
      <c r="H34" s="219">
        <v>9.4600000000000009</v>
      </c>
      <c r="I34" s="219">
        <v>10.23</v>
      </c>
      <c r="J34" s="219">
        <v>11.02</v>
      </c>
      <c r="K34" s="219">
        <v>12.04</v>
      </c>
      <c r="L34" s="219">
        <v>11.54</v>
      </c>
      <c r="M34" s="219">
        <v>11.56</v>
      </c>
      <c r="N34" s="219">
        <v>11.77</v>
      </c>
      <c r="O34" s="219">
        <v>11.85</v>
      </c>
      <c r="P34" s="219">
        <v>12.11</v>
      </c>
      <c r="Q34" s="219">
        <v>12.44</v>
      </c>
      <c r="R34" s="219">
        <v>13.17</v>
      </c>
      <c r="S34" s="219">
        <v>12.36</v>
      </c>
      <c r="T34" s="219">
        <v>11.96</v>
      </c>
      <c r="U34" s="219">
        <v>12.28</v>
      </c>
      <c r="V34" s="219">
        <v>12.28</v>
      </c>
      <c r="W34" s="219">
        <v>12.34</v>
      </c>
      <c r="X34" s="219">
        <v>13.53</v>
      </c>
      <c r="Y34" s="219">
        <v>14.06</v>
      </c>
      <c r="Z34" s="219">
        <v>14.61</v>
      </c>
      <c r="AA34" s="219">
        <v>14.8</v>
      </c>
      <c r="AB34" s="219">
        <v>15.94</v>
      </c>
      <c r="AC34" s="219">
        <v>17.59</v>
      </c>
      <c r="AD34" s="219">
        <v>18.21</v>
      </c>
      <c r="AE34" s="219">
        <v>17.57</v>
      </c>
      <c r="AF34" s="219">
        <v>20.38</v>
      </c>
      <c r="AG34" s="219">
        <v>20.18</v>
      </c>
      <c r="AH34" s="219">
        <v>17.09</v>
      </c>
      <c r="AI34" s="219">
        <v>19.66</v>
      </c>
      <c r="AJ34" s="219">
        <v>19.62</v>
      </c>
      <c r="AK34" s="219">
        <v>19.47</v>
      </c>
      <c r="AL34" s="219">
        <v>20.99</v>
      </c>
      <c r="AM34" s="219">
        <v>20.81</v>
      </c>
      <c r="AN34" s="219">
        <v>21.04</v>
      </c>
      <c r="AO34" s="219">
        <v>21.6</v>
      </c>
      <c r="AP34" s="219">
        <v>22.83</v>
      </c>
      <c r="AQ34" s="219">
        <v>22.54</v>
      </c>
      <c r="AR34" s="219">
        <v>22.19</v>
      </c>
      <c r="AS34" s="219">
        <v>19.72</v>
      </c>
      <c r="AT34" s="219">
        <v>19.59</v>
      </c>
      <c r="AU34" s="219">
        <v>20.77</v>
      </c>
      <c r="AV34" s="219">
        <v>20.7</v>
      </c>
      <c r="AW34" s="219">
        <v>20.43</v>
      </c>
      <c r="AX34" s="219">
        <v>18.829999999999998</v>
      </c>
      <c r="AY34" s="219">
        <v>19.149999999999999</v>
      </c>
      <c r="AZ34" s="219">
        <v>19.7</v>
      </c>
      <c r="BA34" s="219">
        <v>19.39</v>
      </c>
      <c r="BB34" s="219">
        <v>18.73902</v>
      </c>
      <c r="BC34" s="219">
        <v>18.097989999999999</v>
      </c>
      <c r="BD34" s="219">
        <v>18.00328</v>
      </c>
      <c r="BE34" s="333">
        <v>17.947800000000001</v>
      </c>
      <c r="BF34" s="333">
        <v>17.812360000000002</v>
      </c>
      <c r="BG34" s="333">
        <v>17.691890000000001</v>
      </c>
      <c r="BH34" s="333">
        <v>17.59667</v>
      </c>
      <c r="BI34" s="333">
        <v>17.568909999999999</v>
      </c>
      <c r="BJ34" s="333">
        <v>17.687909999999999</v>
      </c>
      <c r="BK34" s="333">
        <v>17.785599999999999</v>
      </c>
      <c r="BL34" s="333">
        <v>17.724139999999998</v>
      </c>
      <c r="BM34" s="333">
        <v>17.510750000000002</v>
      </c>
      <c r="BN34" s="333">
        <v>17.585339999999999</v>
      </c>
      <c r="BO34" s="333">
        <v>17.28182</v>
      </c>
      <c r="BP34" s="333">
        <v>17.232780000000002</v>
      </c>
      <c r="BQ34" s="333">
        <v>17.094470000000001</v>
      </c>
      <c r="BR34" s="333">
        <v>16.954640000000001</v>
      </c>
      <c r="BS34" s="333">
        <v>16.85406</v>
      </c>
      <c r="BT34" s="333">
        <v>16.78218</v>
      </c>
      <c r="BU34" s="333">
        <v>16.768049999999999</v>
      </c>
      <c r="BV34" s="333">
        <v>16.862939999999998</v>
      </c>
    </row>
    <row r="35" spans="1:74" ht="11.1" customHeight="1">
      <c r="A35" s="52" t="s">
        <v>22</v>
      </c>
      <c r="B35" s="151" t="s">
        <v>594</v>
      </c>
      <c r="C35" s="219">
        <v>11.67</v>
      </c>
      <c r="D35" s="219">
        <v>11.36</v>
      </c>
      <c r="E35" s="219">
        <v>10.75</v>
      </c>
      <c r="F35" s="219">
        <v>11.54</v>
      </c>
      <c r="G35" s="219">
        <v>12</v>
      </c>
      <c r="H35" s="219">
        <v>13.66</v>
      </c>
      <c r="I35" s="219">
        <v>14</v>
      </c>
      <c r="J35" s="219">
        <v>14.94</v>
      </c>
      <c r="K35" s="219">
        <v>15.22</v>
      </c>
      <c r="L35" s="219">
        <v>15.79</v>
      </c>
      <c r="M35" s="219">
        <v>15.5</v>
      </c>
      <c r="N35" s="219">
        <v>15.88</v>
      </c>
      <c r="O35" s="219">
        <v>15.73</v>
      </c>
      <c r="P35" s="219">
        <v>15.69</v>
      </c>
      <c r="Q35" s="219">
        <v>16.420000000000002</v>
      </c>
      <c r="R35" s="219">
        <v>17.100000000000001</v>
      </c>
      <c r="S35" s="219">
        <v>16.54</v>
      </c>
      <c r="T35" s="219">
        <v>16.12</v>
      </c>
      <c r="U35" s="219">
        <v>15.89</v>
      </c>
      <c r="V35" s="219">
        <v>16.239999999999998</v>
      </c>
      <c r="W35" s="219">
        <v>16.53</v>
      </c>
      <c r="X35" s="219">
        <v>17.14</v>
      </c>
      <c r="Y35" s="219">
        <v>17.43</v>
      </c>
      <c r="Z35" s="219">
        <v>18.559999999999999</v>
      </c>
      <c r="AA35" s="219">
        <v>19.59</v>
      </c>
      <c r="AB35" s="219">
        <v>20.93</v>
      </c>
      <c r="AC35" s="219">
        <v>22.59</v>
      </c>
      <c r="AD35" s="219">
        <v>24.06</v>
      </c>
      <c r="AE35" s="219">
        <v>23.04</v>
      </c>
      <c r="AF35" s="219">
        <v>23.13</v>
      </c>
      <c r="AG35" s="219">
        <v>22.95</v>
      </c>
      <c r="AH35" s="219">
        <v>22.51</v>
      </c>
      <c r="AI35" s="219">
        <v>22.73</v>
      </c>
      <c r="AJ35" s="219">
        <v>23.2</v>
      </c>
      <c r="AK35" s="219">
        <v>23.38</v>
      </c>
      <c r="AL35" s="219">
        <v>22.45</v>
      </c>
      <c r="AM35" s="219">
        <v>22.87</v>
      </c>
      <c r="AN35" s="219">
        <v>23.73</v>
      </c>
      <c r="AO35" s="219">
        <v>24.8</v>
      </c>
      <c r="AP35" s="219">
        <v>24.3</v>
      </c>
      <c r="AQ35" s="219">
        <v>23.23</v>
      </c>
      <c r="AR35" s="219">
        <v>21.66</v>
      </c>
      <c r="AS35" s="219">
        <v>21.8</v>
      </c>
      <c r="AT35" s="219">
        <v>23.15</v>
      </c>
      <c r="AU35" s="219">
        <v>24.3</v>
      </c>
      <c r="AV35" s="219">
        <v>24.85</v>
      </c>
      <c r="AW35" s="219">
        <v>24.37</v>
      </c>
      <c r="AX35" s="219">
        <v>23.5</v>
      </c>
      <c r="AY35" s="219">
        <v>23</v>
      </c>
      <c r="AZ35" s="219">
        <v>23.89</v>
      </c>
      <c r="BA35" s="219">
        <v>23.85</v>
      </c>
      <c r="BB35" s="219">
        <v>23.157330000000002</v>
      </c>
      <c r="BC35" s="219">
        <v>23.01961</v>
      </c>
      <c r="BD35" s="219">
        <v>22.888999999999999</v>
      </c>
      <c r="BE35" s="333">
        <v>22.69886</v>
      </c>
      <c r="BF35" s="333">
        <v>22.994599999999998</v>
      </c>
      <c r="BG35" s="333">
        <v>23.402149999999999</v>
      </c>
      <c r="BH35" s="333">
        <v>23.802119999999999</v>
      </c>
      <c r="BI35" s="333">
        <v>23.730630000000001</v>
      </c>
      <c r="BJ35" s="333">
        <v>23.569040000000001</v>
      </c>
      <c r="BK35" s="333">
        <v>23.624880000000001</v>
      </c>
      <c r="BL35" s="333">
        <v>23.376850000000001</v>
      </c>
      <c r="BM35" s="333">
        <v>23.21246</v>
      </c>
      <c r="BN35" s="333">
        <v>23.51268</v>
      </c>
      <c r="BO35" s="333">
        <v>23.67268</v>
      </c>
      <c r="BP35" s="333">
        <v>23.4178</v>
      </c>
      <c r="BQ35" s="333">
        <v>23.371729999999999</v>
      </c>
      <c r="BR35" s="333">
        <v>23.408200000000001</v>
      </c>
      <c r="BS35" s="333">
        <v>23.63231</v>
      </c>
      <c r="BT35" s="333">
        <v>23.933589999999999</v>
      </c>
      <c r="BU35" s="333">
        <v>23.83745</v>
      </c>
      <c r="BV35" s="333">
        <v>23.603860000000001</v>
      </c>
    </row>
    <row r="36" spans="1:74" ht="11.1" customHeight="1">
      <c r="A36" s="52"/>
      <c r="B36" s="55" t="s">
        <v>275</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336"/>
      <c r="BF36" s="336"/>
      <c r="BG36" s="336"/>
      <c r="BH36" s="336"/>
      <c r="BI36" s="336"/>
      <c r="BJ36" s="336"/>
      <c r="BK36" s="336"/>
      <c r="BL36" s="336"/>
      <c r="BM36" s="336"/>
      <c r="BN36" s="336"/>
      <c r="BO36" s="336"/>
      <c r="BP36" s="336"/>
      <c r="BQ36" s="336"/>
      <c r="BR36" s="336"/>
      <c r="BS36" s="336"/>
      <c r="BT36" s="336"/>
      <c r="BU36" s="336"/>
      <c r="BV36" s="336"/>
    </row>
    <row r="37" spans="1:74" ht="11.1" customHeight="1">
      <c r="A37" s="56" t="s">
        <v>8</v>
      </c>
      <c r="B37" s="152" t="s">
        <v>580</v>
      </c>
      <c r="C37" s="496">
        <v>6.88</v>
      </c>
      <c r="D37" s="496">
        <v>6.89</v>
      </c>
      <c r="E37" s="496">
        <v>6.76</v>
      </c>
      <c r="F37" s="496">
        <v>6.69</v>
      </c>
      <c r="G37" s="496">
        <v>6.79</v>
      </c>
      <c r="H37" s="496">
        <v>7.07</v>
      </c>
      <c r="I37" s="496">
        <v>7.09</v>
      </c>
      <c r="J37" s="496">
        <v>7.07</v>
      </c>
      <c r="K37" s="496">
        <v>6.92</v>
      </c>
      <c r="L37" s="496">
        <v>6.64</v>
      </c>
      <c r="M37" s="496">
        <v>6.43</v>
      </c>
      <c r="N37" s="496">
        <v>6.49</v>
      </c>
      <c r="O37" s="496">
        <v>6.5</v>
      </c>
      <c r="P37" s="496">
        <v>6.55</v>
      </c>
      <c r="Q37" s="496">
        <v>6.53</v>
      </c>
      <c r="R37" s="496">
        <v>6.55</v>
      </c>
      <c r="S37" s="496">
        <v>6.64</v>
      </c>
      <c r="T37" s="496">
        <v>6.96</v>
      </c>
      <c r="U37" s="496">
        <v>7.23</v>
      </c>
      <c r="V37" s="496">
        <v>7.22</v>
      </c>
      <c r="W37" s="496">
        <v>7</v>
      </c>
      <c r="X37" s="496">
        <v>6.8</v>
      </c>
      <c r="Y37" s="496">
        <v>6.56</v>
      </c>
      <c r="Z37" s="496">
        <v>6.6</v>
      </c>
      <c r="AA37" s="496">
        <v>6.53</v>
      </c>
      <c r="AB37" s="496">
        <v>6.63</v>
      </c>
      <c r="AC37" s="496">
        <v>6.53</v>
      </c>
      <c r="AD37" s="496">
        <v>6.53</v>
      </c>
      <c r="AE37" s="496">
        <v>6.68</v>
      </c>
      <c r="AF37" s="496">
        <v>7.14</v>
      </c>
      <c r="AG37" s="496">
        <v>7.31</v>
      </c>
      <c r="AH37" s="496">
        <v>7.4</v>
      </c>
      <c r="AI37" s="496">
        <v>7.15</v>
      </c>
      <c r="AJ37" s="496">
        <v>6.77</v>
      </c>
      <c r="AK37" s="496">
        <v>6.53</v>
      </c>
      <c r="AL37" s="496">
        <v>6.51</v>
      </c>
      <c r="AM37" s="496">
        <v>6.46</v>
      </c>
      <c r="AN37" s="496">
        <v>6.48</v>
      </c>
      <c r="AO37" s="496">
        <v>6.48</v>
      </c>
      <c r="AP37" s="496">
        <v>6.4</v>
      </c>
      <c r="AQ37" s="496">
        <v>6.55</v>
      </c>
      <c r="AR37" s="496">
        <v>6.92</v>
      </c>
      <c r="AS37" s="496">
        <v>7.15</v>
      </c>
      <c r="AT37" s="496">
        <v>7.11</v>
      </c>
      <c r="AU37" s="496">
        <v>7.01</v>
      </c>
      <c r="AV37" s="496">
        <v>6.65</v>
      </c>
      <c r="AW37" s="496">
        <v>6.53</v>
      </c>
      <c r="AX37" s="496">
        <v>6.54</v>
      </c>
      <c r="AY37" s="496">
        <v>6.45</v>
      </c>
      <c r="AZ37" s="496">
        <v>6.6</v>
      </c>
      <c r="BA37" s="496">
        <v>6.59</v>
      </c>
      <c r="BB37" s="496">
        <v>6.51</v>
      </c>
      <c r="BC37" s="496">
        <v>6.6306520000000004</v>
      </c>
      <c r="BD37" s="496">
        <v>7.0181009999999997</v>
      </c>
      <c r="BE37" s="497">
        <v>7.2135819999999997</v>
      </c>
      <c r="BF37" s="497">
        <v>7.2066179999999997</v>
      </c>
      <c r="BG37" s="497">
        <v>7.0502359999999999</v>
      </c>
      <c r="BH37" s="497">
        <v>6.798807</v>
      </c>
      <c r="BI37" s="497">
        <v>6.612635</v>
      </c>
      <c r="BJ37" s="497">
        <v>6.6037939999999997</v>
      </c>
      <c r="BK37" s="497">
        <v>6.6008599999999999</v>
      </c>
      <c r="BL37" s="497">
        <v>6.7151009999999998</v>
      </c>
      <c r="BM37" s="497">
        <v>6.6889539999999998</v>
      </c>
      <c r="BN37" s="497">
        <v>6.5821639999999997</v>
      </c>
      <c r="BO37" s="497">
        <v>6.7253119999999997</v>
      </c>
      <c r="BP37" s="497">
        <v>7.0913240000000002</v>
      </c>
      <c r="BQ37" s="497">
        <v>7.3039690000000004</v>
      </c>
      <c r="BR37" s="497">
        <v>7.2878109999999996</v>
      </c>
      <c r="BS37" s="497">
        <v>7.1174790000000003</v>
      </c>
      <c r="BT37" s="497">
        <v>6.8614540000000002</v>
      </c>
      <c r="BU37" s="497">
        <v>6.6650729999999996</v>
      </c>
      <c r="BV37" s="497">
        <v>6.6548040000000004</v>
      </c>
    </row>
    <row r="38" spans="1:74" ht="11.1" customHeight="1">
      <c r="A38" s="56" t="s">
        <v>9</v>
      </c>
      <c r="B38" s="152" t="s">
        <v>581</v>
      </c>
      <c r="C38" s="496">
        <v>9.9600000000000009</v>
      </c>
      <c r="D38" s="496">
        <v>10.14</v>
      </c>
      <c r="E38" s="496">
        <v>10</v>
      </c>
      <c r="F38" s="496">
        <v>9.91</v>
      </c>
      <c r="G38" s="496">
        <v>10.07</v>
      </c>
      <c r="H38" s="496">
        <v>10.47</v>
      </c>
      <c r="I38" s="496">
        <v>10.59</v>
      </c>
      <c r="J38" s="496">
        <v>10.55</v>
      </c>
      <c r="K38" s="496">
        <v>10.46</v>
      </c>
      <c r="L38" s="496">
        <v>10.17</v>
      </c>
      <c r="M38" s="496">
        <v>9.81</v>
      </c>
      <c r="N38" s="496">
        <v>9.69</v>
      </c>
      <c r="O38" s="496">
        <v>9.5500000000000007</v>
      </c>
      <c r="P38" s="496">
        <v>9.89</v>
      </c>
      <c r="Q38" s="496">
        <v>9.9499999999999993</v>
      </c>
      <c r="R38" s="496">
        <v>9.9499999999999993</v>
      </c>
      <c r="S38" s="496">
        <v>10.15</v>
      </c>
      <c r="T38" s="496">
        <v>10.56</v>
      </c>
      <c r="U38" s="496">
        <v>10.72</v>
      </c>
      <c r="V38" s="496">
        <v>10.62</v>
      </c>
      <c r="W38" s="496">
        <v>10.52</v>
      </c>
      <c r="X38" s="496">
        <v>10.25</v>
      </c>
      <c r="Y38" s="496">
        <v>9.99</v>
      </c>
      <c r="Z38" s="496">
        <v>9.82</v>
      </c>
      <c r="AA38" s="496">
        <v>9.7799999999999994</v>
      </c>
      <c r="AB38" s="496">
        <v>9.99</v>
      </c>
      <c r="AC38" s="496">
        <v>9.93</v>
      </c>
      <c r="AD38" s="496">
        <v>9.9600000000000009</v>
      </c>
      <c r="AE38" s="496">
        <v>10.19</v>
      </c>
      <c r="AF38" s="496">
        <v>10.66</v>
      </c>
      <c r="AG38" s="496">
        <v>10.67</v>
      </c>
      <c r="AH38" s="496">
        <v>10.72</v>
      </c>
      <c r="AI38" s="496">
        <v>10.59</v>
      </c>
      <c r="AJ38" s="496">
        <v>10.25</v>
      </c>
      <c r="AK38" s="496">
        <v>9.98</v>
      </c>
      <c r="AL38" s="496">
        <v>9.77</v>
      </c>
      <c r="AM38" s="496">
        <v>9.83</v>
      </c>
      <c r="AN38" s="496">
        <v>9.9600000000000009</v>
      </c>
      <c r="AO38" s="496">
        <v>9.8800000000000008</v>
      </c>
      <c r="AP38" s="496">
        <v>9.83</v>
      </c>
      <c r="AQ38" s="496">
        <v>10.01</v>
      </c>
      <c r="AR38" s="496">
        <v>10.42</v>
      </c>
      <c r="AS38" s="496">
        <v>10.42</v>
      </c>
      <c r="AT38" s="496">
        <v>10.43</v>
      </c>
      <c r="AU38" s="496">
        <v>10.55</v>
      </c>
      <c r="AV38" s="496">
        <v>10.11</v>
      </c>
      <c r="AW38" s="496">
        <v>9.8800000000000008</v>
      </c>
      <c r="AX38" s="496">
        <v>9.82</v>
      </c>
      <c r="AY38" s="496">
        <v>9.7799999999999994</v>
      </c>
      <c r="AZ38" s="496">
        <v>10.039999999999999</v>
      </c>
      <c r="BA38" s="496">
        <v>9.99</v>
      </c>
      <c r="BB38" s="496">
        <v>9.9600000000000009</v>
      </c>
      <c r="BC38" s="496">
        <v>10.159420000000001</v>
      </c>
      <c r="BD38" s="496">
        <v>10.664770000000001</v>
      </c>
      <c r="BE38" s="497">
        <v>10.7715</v>
      </c>
      <c r="BF38" s="497">
        <v>10.755699999999999</v>
      </c>
      <c r="BG38" s="497">
        <v>10.65619</v>
      </c>
      <c r="BH38" s="497">
        <v>10.37515</v>
      </c>
      <c r="BI38" s="497">
        <v>10.09625</v>
      </c>
      <c r="BJ38" s="497">
        <v>9.9508360000000007</v>
      </c>
      <c r="BK38" s="497">
        <v>9.9267219999999998</v>
      </c>
      <c r="BL38" s="497">
        <v>10.2438</v>
      </c>
      <c r="BM38" s="497">
        <v>10.14864</v>
      </c>
      <c r="BN38" s="497">
        <v>10.14049</v>
      </c>
      <c r="BO38" s="497">
        <v>10.32287</v>
      </c>
      <c r="BP38" s="497">
        <v>10.800090000000001</v>
      </c>
      <c r="BQ38" s="497">
        <v>10.93554</v>
      </c>
      <c r="BR38" s="497">
        <v>10.91165</v>
      </c>
      <c r="BS38" s="497">
        <v>10.802949999999999</v>
      </c>
      <c r="BT38" s="497">
        <v>10.51369</v>
      </c>
      <c r="BU38" s="497">
        <v>10.22292</v>
      </c>
      <c r="BV38" s="497">
        <v>10.068659999999999</v>
      </c>
    </row>
    <row r="39" spans="1:74" ht="11.1" customHeight="1">
      <c r="A39" s="56" t="s">
        <v>738</v>
      </c>
      <c r="B39" s="268" t="s">
        <v>582</v>
      </c>
      <c r="C39" s="498">
        <v>10.95</v>
      </c>
      <c r="D39" s="498">
        <v>11.15</v>
      </c>
      <c r="E39" s="498">
        <v>11.3</v>
      </c>
      <c r="F39" s="498">
        <v>11.51</v>
      </c>
      <c r="G39" s="498">
        <v>11.77</v>
      </c>
      <c r="H39" s="498">
        <v>11.8</v>
      </c>
      <c r="I39" s="498">
        <v>11.85</v>
      </c>
      <c r="J39" s="498">
        <v>11.96</v>
      </c>
      <c r="K39" s="498">
        <v>11.95</v>
      </c>
      <c r="L39" s="498">
        <v>11.66</v>
      </c>
      <c r="M39" s="498">
        <v>11.3</v>
      </c>
      <c r="N39" s="498">
        <v>10.89</v>
      </c>
      <c r="O39" s="498">
        <v>10.49</v>
      </c>
      <c r="P39" s="498">
        <v>10.89</v>
      </c>
      <c r="Q39" s="498">
        <v>11.11</v>
      </c>
      <c r="R39" s="498">
        <v>11.71</v>
      </c>
      <c r="S39" s="498">
        <v>11.91</v>
      </c>
      <c r="T39" s="498">
        <v>11.91</v>
      </c>
      <c r="U39" s="498">
        <v>12.04</v>
      </c>
      <c r="V39" s="498">
        <v>12.03</v>
      </c>
      <c r="W39" s="498">
        <v>11.95</v>
      </c>
      <c r="X39" s="498">
        <v>11.86</v>
      </c>
      <c r="Y39" s="498">
        <v>11.62</v>
      </c>
      <c r="Z39" s="498">
        <v>11.06</v>
      </c>
      <c r="AA39" s="498">
        <v>10.87</v>
      </c>
      <c r="AB39" s="498">
        <v>11.06</v>
      </c>
      <c r="AC39" s="498">
        <v>11.52</v>
      </c>
      <c r="AD39" s="498">
        <v>11.67</v>
      </c>
      <c r="AE39" s="498">
        <v>11.93</v>
      </c>
      <c r="AF39" s="498">
        <v>11.97</v>
      </c>
      <c r="AG39" s="498">
        <v>12.09</v>
      </c>
      <c r="AH39" s="498">
        <v>12.09</v>
      </c>
      <c r="AI39" s="498">
        <v>12.17</v>
      </c>
      <c r="AJ39" s="498">
        <v>12.08</v>
      </c>
      <c r="AK39" s="498">
        <v>11.78</v>
      </c>
      <c r="AL39" s="498">
        <v>11.4</v>
      </c>
      <c r="AM39" s="498">
        <v>11.39</v>
      </c>
      <c r="AN39" s="498">
        <v>11.52</v>
      </c>
      <c r="AO39" s="498">
        <v>11.72</v>
      </c>
      <c r="AP39" s="498">
        <v>11.91</v>
      </c>
      <c r="AQ39" s="498">
        <v>11.94</v>
      </c>
      <c r="AR39" s="498">
        <v>12.09</v>
      </c>
      <c r="AS39" s="498">
        <v>12</v>
      </c>
      <c r="AT39" s="498">
        <v>12.17</v>
      </c>
      <c r="AU39" s="498">
        <v>12.33</v>
      </c>
      <c r="AV39" s="498">
        <v>12.03</v>
      </c>
      <c r="AW39" s="498">
        <v>11.74</v>
      </c>
      <c r="AX39" s="498">
        <v>11.62</v>
      </c>
      <c r="AY39" s="498">
        <v>11.47</v>
      </c>
      <c r="AZ39" s="498">
        <v>11.61</v>
      </c>
      <c r="BA39" s="498">
        <v>11.59</v>
      </c>
      <c r="BB39" s="498">
        <v>11.92</v>
      </c>
      <c r="BC39" s="498">
        <v>12.13031</v>
      </c>
      <c r="BD39" s="498">
        <v>12.264699999999999</v>
      </c>
      <c r="BE39" s="499">
        <v>12.35563</v>
      </c>
      <c r="BF39" s="499">
        <v>12.39813</v>
      </c>
      <c r="BG39" s="499">
        <v>12.36759</v>
      </c>
      <c r="BH39" s="499">
        <v>12.246980000000001</v>
      </c>
      <c r="BI39" s="499">
        <v>12.027469999999999</v>
      </c>
      <c r="BJ39" s="499">
        <v>11.679489999999999</v>
      </c>
      <c r="BK39" s="499">
        <v>11.5862</v>
      </c>
      <c r="BL39" s="499">
        <v>11.693350000000001</v>
      </c>
      <c r="BM39" s="499">
        <v>11.87351</v>
      </c>
      <c r="BN39" s="499">
        <v>12.1326</v>
      </c>
      <c r="BO39" s="499">
        <v>12.31845</v>
      </c>
      <c r="BP39" s="499">
        <v>12.452669999999999</v>
      </c>
      <c r="BQ39" s="499">
        <v>12.56692</v>
      </c>
      <c r="BR39" s="499">
        <v>12.614190000000001</v>
      </c>
      <c r="BS39" s="499">
        <v>12.58372</v>
      </c>
      <c r="BT39" s="499">
        <v>12.46139</v>
      </c>
      <c r="BU39" s="499">
        <v>12.25592</v>
      </c>
      <c r="BV39" s="499">
        <v>11.898849999999999</v>
      </c>
    </row>
    <row r="40" spans="1:74" s="267" customFormat="1" ht="9.6" customHeight="1">
      <c r="A40" s="56"/>
      <c r="B40" s="672"/>
      <c r="C40" s="673"/>
      <c r="D40" s="673"/>
      <c r="E40" s="673"/>
      <c r="F40" s="673"/>
      <c r="G40" s="673"/>
      <c r="H40" s="673"/>
      <c r="I40" s="673"/>
      <c r="J40" s="673"/>
      <c r="K40" s="673"/>
      <c r="L40" s="673"/>
      <c r="M40" s="673"/>
      <c r="N40" s="673"/>
      <c r="O40" s="673"/>
      <c r="P40" s="673"/>
      <c r="Q40" s="673"/>
      <c r="R40" s="673"/>
      <c r="S40" s="673"/>
      <c r="T40" s="673"/>
      <c r="U40" s="673"/>
      <c r="V40" s="673"/>
      <c r="W40" s="673"/>
      <c r="X40" s="673"/>
      <c r="Y40" s="673"/>
      <c r="Z40" s="673"/>
      <c r="AA40" s="673"/>
      <c r="AB40" s="673"/>
      <c r="AC40" s="673"/>
      <c r="AD40" s="673"/>
      <c r="AE40" s="673"/>
      <c r="AF40" s="673"/>
      <c r="AG40" s="673"/>
      <c r="AH40" s="673"/>
      <c r="AI40" s="673"/>
      <c r="AJ40" s="673"/>
      <c r="AK40" s="673"/>
      <c r="AL40" s="673"/>
      <c r="AM40" s="312"/>
      <c r="AY40" s="422"/>
      <c r="AZ40" s="422"/>
      <c r="BA40" s="422"/>
      <c r="BB40" s="422"/>
      <c r="BC40" s="422"/>
      <c r="BD40" s="422"/>
      <c r="BE40" s="422"/>
      <c r="BF40" s="422"/>
      <c r="BG40" s="422"/>
      <c r="BH40" s="422"/>
      <c r="BI40" s="422"/>
      <c r="BJ40" s="422"/>
      <c r="BK40" s="422"/>
      <c r="BL40" s="422"/>
      <c r="BM40" s="422"/>
      <c r="BN40" s="422"/>
      <c r="BO40" s="422"/>
      <c r="BP40" s="422"/>
      <c r="BQ40" s="422"/>
      <c r="BR40" s="422"/>
      <c r="BS40" s="422"/>
      <c r="BT40" s="422"/>
      <c r="BU40" s="422"/>
      <c r="BV40" s="422"/>
    </row>
    <row r="41" spans="1:74" s="267" customFormat="1" ht="12" customHeight="1">
      <c r="A41" s="56"/>
      <c r="B41" s="647" t="s">
        <v>1151</v>
      </c>
      <c r="C41" s="648"/>
      <c r="D41" s="648"/>
      <c r="E41" s="648"/>
      <c r="F41" s="648"/>
      <c r="G41" s="648"/>
      <c r="H41" s="648"/>
      <c r="I41" s="648"/>
      <c r="J41" s="648"/>
      <c r="K41" s="648"/>
      <c r="L41" s="648"/>
      <c r="M41" s="648"/>
      <c r="N41" s="648"/>
      <c r="O41" s="648"/>
      <c r="P41" s="648"/>
      <c r="Q41" s="648"/>
      <c r="AY41" s="513"/>
      <c r="AZ41" s="513"/>
      <c r="BA41" s="513"/>
      <c r="BB41" s="513"/>
      <c r="BC41" s="513"/>
      <c r="BD41" s="513"/>
      <c r="BE41" s="513"/>
      <c r="BF41" s="513"/>
      <c r="BG41" s="513"/>
      <c r="BH41" s="513"/>
      <c r="BI41" s="513"/>
      <c r="BJ41" s="513"/>
      <c r="BK41" s="493"/>
    </row>
    <row r="42" spans="1:74" s="267" customFormat="1" ht="12" customHeight="1">
      <c r="A42" s="56"/>
      <c r="B42" s="656" t="s">
        <v>146</v>
      </c>
      <c r="C42" s="648"/>
      <c r="D42" s="648"/>
      <c r="E42" s="648"/>
      <c r="F42" s="648"/>
      <c r="G42" s="648"/>
      <c r="H42" s="648"/>
      <c r="I42" s="648"/>
      <c r="J42" s="648"/>
      <c r="K42" s="648"/>
      <c r="L42" s="648"/>
      <c r="M42" s="648"/>
      <c r="N42" s="648"/>
      <c r="O42" s="648"/>
      <c r="P42" s="648"/>
      <c r="Q42" s="648"/>
      <c r="AY42" s="513"/>
      <c r="AZ42" s="513"/>
      <c r="BA42" s="513"/>
      <c r="BB42" s="513"/>
      <c r="BC42" s="513"/>
      <c r="BD42" s="513"/>
      <c r="BE42" s="513"/>
      <c r="BF42" s="513"/>
      <c r="BG42" s="513"/>
      <c r="BH42" s="513"/>
      <c r="BI42" s="513"/>
      <c r="BJ42" s="513"/>
      <c r="BK42" s="493"/>
    </row>
    <row r="43" spans="1:74" s="444" customFormat="1" ht="12" customHeight="1">
      <c r="A43" s="443"/>
      <c r="B43" s="676" t="s">
        <v>1189</v>
      </c>
      <c r="C43" s="670"/>
      <c r="D43" s="670"/>
      <c r="E43" s="670"/>
      <c r="F43" s="670"/>
      <c r="G43" s="670"/>
      <c r="H43" s="670"/>
      <c r="I43" s="670"/>
      <c r="J43" s="670"/>
      <c r="K43" s="670"/>
      <c r="L43" s="670"/>
      <c r="M43" s="670"/>
      <c r="N43" s="670"/>
      <c r="O43" s="670"/>
      <c r="P43" s="670"/>
      <c r="Q43" s="666"/>
      <c r="AY43" s="514"/>
      <c r="AZ43" s="514"/>
      <c r="BA43" s="514"/>
      <c r="BB43" s="514"/>
      <c r="BC43" s="514"/>
      <c r="BD43" s="514"/>
      <c r="BE43" s="514"/>
      <c r="BF43" s="514"/>
      <c r="BG43" s="514"/>
      <c r="BH43" s="514"/>
      <c r="BI43" s="514"/>
      <c r="BJ43" s="514"/>
    </row>
    <row r="44" spans="1:74" s="444" customFormat="1" ht="12" customHeight="1">
      <c r="A44" s="443"/>
      <c r="B44" s="676" t="s">
        <v>1190</v>
      </c>
      <c r="C44" s="670"/>
      <c r="D44" s="670"/>
      <c r="E44" s="670"/>
      <c r="F44" s="670"/>
      <c r="G44" s="670"/>
      <c r="H44" s="670"/>
      <c r="I44" s="670"/>
      <c r="J44" s="670"/>
      <c r="K44" s="670"/>
      <c r="L44" s="670"/>
      <c r="M44" s="670"/>
      <c r="N44" s="670"/>
      <c r="O44" s="670"/>
      <c r="P44" s="670"/>
      <c r="Q44" s="666"/>
      <c r="AY44" s="514"/>
      <c r="AZ44" s="514"/>
      <c r="BA44" s="514"/>
      <c r="BB44" s="514"/>
      <c r="BC44" s="514"/>
      <c r="BD44" s="514"/>
      <c r="BE44" s="514"/>
      <c r="BF44" s="514"/>
      <c r="BG44" s="514"/>
      <c r="BH44" s="514"/>
      <c r="BI44" s="514"/>
      <c r="BJ44" s="514"/>
    </row>
    <row r="45" spans="1:74" s="444" customFormat="1" ht="12" customHeight="1">
      <c r="A45" s="443"/>
      <c r="B45" s="676" t="s">
        <v>154</v>
      </c>
      <c r="C45" s="670"/>
      <c r="D45" s="670"/>
      <c r="E45" s="670"/>
      <c r="F45" s="670"/>
      <c r="G45" s="670"/>
      <c r="H45" s="670"/>
      <c r="I45" s="670"/>
      <c r="J45" s="670"/>
      <c r="K45" s="670"/>
      <c r="L45" s="670"/>
      <c r="M45" s="670"/>
      <c r="N45" s="670"/>
      <c r="O45" s="670"/>
      <c r="P45" s="670"/>
      <c r="Q45" s="666"/>
      <c r="AY45" s="514"/>
      <c r="AZ45" s="514"/>
      <c r="BA45" s="514"/>
      <c r="BB45" s="514"/>
      <c r="BC45" s="514"/>
      <c r="BD45" s="514"/>
      <c r="BE45" s="514"/>
      <c r="BF45" s="514"/>
      <c r="BG45" s="514"/>
      <c r="BH45" s="514"/>
      <c r="BI45" s="514"/>
      <c r="BJ45" s="514"/>
    </row>
    <row r="46" spans="1:74" s="444" customFormat="1" ht="12" customHeight="1">
      <c r="A46" s="443"/>
      <c r="B46" s="669" t="s">
        <v>1181</v>
      </c>
      <c r="C46" s="670"/>
      <c r="D46" s="670"/>
      <c r="E46" s="670"/>
      <c r="F46" s="670"/>
      <c r="G46" s="670"/>
      <c r="H46" s="670"/>
      <c r="I46" s="670"/>
      <c r="J46" s="670"/>
      <c r="K46" s="670"/>
      <c r="L46" s="670"/>
      <c r="M46" s="670"/>
      <c r="N46" s="670"/>
      <c r="O46" s="670"/>
      <c r="P46" s="670"/>
      <c r="Q46" s="666"/>
      <c r="AY46" s="514"/>
      <c r="AZ46" s="514"/>
      <c r="BA46" s="514"/>
      <c r="BB46" s="514"/>
      <c r="BC46" s="514"/>
      <c r="BD46" s="514"/>
      <c r="BE46" s="514"/>
      <c r="BF46" s="514"/>
      <c r="BG46" s="514"/>
      <c r="BH46" s="514"/>
      <c r="BI46" s="514"/>
      <c r="BJ46" s="514"/>
    </row>
    <row r="47" spans="1:74" s="444" customFormat="1" ht="12" customHeight="1">
      <c r="A47" s="443"/>
      <c r="B47" s="664" t="s">
        <v>1191</v>
      </c>
      <c r="C47" s="665"/>
      <c r="D47" s="665"/>
      <c r="E47" s="665"/>
      <c r="F47" s="665"/>
      <c r="G47" s="665"/>
      <c r="H47" s="665"/>
      <c r="I47" s="665"/>
      <c r="J47" s="665"/>
      <c r="K47" s="665"/>
      <c r="L47" s="665"/>
      <c r="M47" s="665"/>
      <c r="N47" s="665"/>
      <c r="O47" s="665"/>
      <c r="P47" s="665"/>
      <c r="Q47" s="665"/>
      <c r="AY47" s="514"/>
      <c r="AZ47" s="514"/>
      <c r="BA47" s="514"/>
      <c r="BB47" s="514"/>
      <c r="BC47" s="514"/>
      <c r="BD47" s="514"/>
      <c r="BE47" s="514"/>
      <c r="BF47" s="514"/>
      <c r="BG47" s="514"/>
      <c r="BH47" s="514"/>
      <c r="BI47" s="514"/>
      <c r="BJ47" s="514"/>
    </row>
    <row r="48" spans="1:74" s="444" customFormat="1" ht="12" customHeight="1">
      <c r="A48" s="443"/>
      <c r="B48" s="669" t="s">
        <v>1192</v>
      </c>
      <c r="C48" s="670"/>
      <c r="D48" s="670"/>
      <c r="E48" s="670"/>
      <c r="F48" s="670"/>
      <c r="G48" s="670"/>
      <c r="H48" s="670"/>
      <c r="I48" s="670"/>
      <c r="J48" s="670"/>
      <c r="K48" s="670"/>
      <c r="L48" s="670"/>
      <c r="M48" s="670"/>
      <c r="N48" s="670"/>
      <c r="O48" s="670"/>
      <c r="P48" s="670"/>
      <c r="Q48" s="666"/>
      <c r="AY48" s="514"/>
      <c r="AZ48" s="514"/>
      <c r="BA48" s="514"/>
      <c r="BB48" s="514"/>
      <c r="BC48" s="514"/>
      <c r="BD48" s="514"/>
      <c r="BE48" s="514"/>
      <c r="BF48" s="514"/>
      <c r="BG48" s="514"/>
      <c r="BH48" s="514"/>
      <c r="BI48" s="514"/>
      <c r="BJ48" s="514"/>
    </row>
    <row r="49" spans="1:74" s="444" customFormat="1" ht="12" customHeight="1">
      <c r="A49" s="443"/>
      <c r="B49" s="678" t="s">
        <v>1193</v>
      </c>
      <c r="C49" s="666"/>
      <c r="D49" s="666"/>
      <c r="E49" s="666"/>
      <c r="F49" s="666"/>
      <c r="G49" s="666"/>
      <c r="H49" s="666"/>
      <c r="I49" s="666"/>
      <c r="J49" s="666"/>
      <c r="K49" s="666"/>
      <c r="L49" s="666"/>
      <c r="M49" s="666"/>
      <c r="N49" s="666"/>
      <c r="O49" s="666"/>
      <c r="P49" s="666"/>
      <c r="Q49" s="666"/>
      <c r="AY49" s="514"/>
      <c r="AZ49" s="514"/>
      <c r="BA49" s="514"/>
      <c r="BB49" s="514"/>
      <c r="BC49" s="514"/>
      <c r="BD49" s="514"/>
      <c r="BE49" s="514"/>
      <c r="BF49" s="514"/>
      <c r="BG49" s="514"/>
      <c r="BH49" s="514"/>
      <c r="BI49" s="514"/>
      <c r="BJ49" s="514"/>
    </row>
    <row r="50" spans="1:74" s="444" customFormat="1" ht="12" customHeight="1">
      <c r="A50" s="443"/>
      <c r="B50" s="675" t="s">
        <v>971</v>
      </c>
      <c r="C50" s="666"/>
      <c r="D50" s="666"/>
      <c r="E50" s="666"/>
      <c r="F50" s="666"/>
      <c r="G50" s="666"/>
      <c r="H50" s="666"/>
      <c r="I50" s="666"/>
      <c r="J50" s="666"/>
      <c r="K50" s="666"/>
      <c r="L50" s="666"/>
      <c r="M50" s="666"/>
      <c r="N50" s="666"/>
      <c r="O50" s="666"/>
      <c r="P50" s="666"/>
      <c r="Q50" s="666"/>
      <c r="AY50" s="514"/>
      <c r="AZ50" s="514"/>
      <c r="BA50" s="514"/>
      <c r="BB50" s="514"/>
      <c r="BC50" s="514"/>
      <c r="BD50" s="514"/>
      <c r="BE50" s="514"/>
      <c r="BF50" s="514"/>
      <c r="BG50" s="514"/>
      <c r="BH50" s="514"/>
      <c r="BI50" s="514"/>
      <c r="BJ50" s="514"/>
    </row>
    <row r="51" spans="1:74" s="444" customFormat="1" ht="12" customHeight="1">
      <c r="A51" s="443"/>
      <c r="B51" s="664" t="s">
        <v>1186</v>
      </c>
      <c r="C51" s="665"/>
      <c r="D51" s="665"/>
      <c r="E51" s="665"/>
      <c r="F51" s="665"/>
      <c r="G51" s="665"/>
      <c r="H51" s="665"/>
      <c r="I51" s="665"/>
      <c r="J51" s="665"/>
      <c r="K51" s="665"/>
      <c r="L51" s="665"/>
      <c r="M51" s="665"/>
      <c r="N51" s="665"/>
      <c r="O51" s="665"/>
      <c r="P51" s="665"/>
      <c r="Q51" s="666"/>
      <c r="AY51" s="514"/>
      <c r="AZ51" s="514"/>
      <c r="BA51" s="514"/>
      <c r="BB51" s="514"/>
      <c r="BC51" s="514"/>
      <c r="BD51" s="514"/>
      <c r="BE51" s="514"/>
      <c r="BF51" s="514"/>
      <c r="BG51" s="514"/>
      <c r="BH51" s="514"/>
      <c r="BI51" s="514"/>
      <c r="BJ51" s="514"/>
    </row>
    <row r="52" spans="1:74" s="446" customFormat="1" ht="12" customHeight="1">
      <c r="A52" s="445"/>
      <c r="B52" s="677" t="s">
        <v>1194</v>
      </c>
      <c r="C52" s="666"/>
      <c r="D52" s="666"/>
      <c r="E52" s="666"/>
      <c r="F52" s="666"/>
      <c r="G52" s="666"/>
      <c r="H52" s="666"/>
      <c r="I52" s="666"/>
      <c r="J52" s="666"/>
      <c r="K52" s="666"/>
      <c r="L52" s="666"/>
      <c r="M52" s="666"/>
      <c r="N52" s="666"/>
      <c r="O52" s="666"/>
      <c r="P52" s="666"/>
      <c r="Q52" s="666"/>
      <c r="AY52" s="515"/>
      <c r="AZ52" s="515"/>
      <c r="BA52" s="515"/>
      <c r="BB52" s="515"/>
      <c r="BC52" s="515"/>
      <c r="BD52" s="515"/>
      <c r="BE52" s="515"/>
      <c r="BF52" s="515"/>
      <c r="BG52" s="515"/>
      <c r="BH52" s="515"/>
      <c r="BI52" s="515"/>
      <c r="BJ52" s="515"/>
    </row>
    <row r="53" spans="1:74">
      <c r="BK53" s="423"/>
      <c r="BL53" s="423"/>
      <c r="BM53" s="423"/>
      <c r="BN53" s="423"/>
      <c r="BO53" s="423"/>
      <c r="BP53" s="423"/>
      <c r="BQ53" s="423"/>
      <c r="BR53" s="423"/>
      <c r="BS53" s="423"/>
      <c r="BT53" s="423"/>
      <c r="BU53" s="423"/>
      <c r="BV53" s="423"/>
    </row>
    <row r="54" spans="1:74">
      <c r="BK54" s="423"/>
      <c r="BL54" s="423"/>
      <c r="BM54" s="423"/>
      <c r="BN54" s="423"/>
      <c r="BO54" s="423"/>
      <c r="BP54" s="423"/>
      <c r="BQ54" s="423"/>
      <c r="BR54" s="423"/>
      <c r="BS54" s="423"/>
      <c r="BT54" s="423"/>
      <c r="BU54" s="423"/>
      <c r="BV54" s="423"/>
    </row>
    <row r="55" spans="1:74">
      <c r="BK55" s="423"/>
      <c r="BL55" s="423"/>
      <c r="BM55" s="423"/>
      <c r="BN55" s="423"/>
      <c r="BO55" s="423"/>
      <c r="BP55" s="423"/>
      <c r="BQ55" s="423"/>
      <c r="BR55" s="423"/>
      <c r="BS55" s="423"/>
      <c r="BT55" s="423"/>
      <c r="BU55" s="423"/>
      <c r="BV55" s="423"/>
    </row>
    <row r="56" spans="1:74">
      <c r="BK56" s="423"/>
      <c r="BL56" s="423"/>
      <c r="BM56" s="423"/>
      <c r="BN56" s="423"/>
      <c r="BO56" s="423"/>
      <c r="BP56" s="423"/>
      <c r="BQ56" s="423"/>
      <c r="BR56" s="423"/>
      <c r="BS56" s="423"/>
      <c r="BT56" s="423"/>
      <c r="BU56" s="423"/>
      <c r="BV56" s="423"/>
    </row>
    <row r="57" spans="1:74">
      <c r="BK57" s="423"/>
      <c r="BL57" s="423"/>
      <c r="BM57" s="423"/>
      <c r="BN57" s="423"/>
      <c r="BO57" s="423"/>
      <c r="BP57" s="423"/>
      <c r="BQ57" s="423"/>
      <c r="BR57" s="423"/>
      <c r="BS57" s="423"/>
      <c r="BT57" s="423"/>
      <c r="BU57" s="423"/>
      <c r="BV57" s="423"/>
    </row>
    <row r="58" spans="1:74">
      <c r="BK58" s="423"/>
      <c r="BL58" s="423"/>
      <c r="BM58" s="423"/>
      <c r="BN58" s="423"/>
      <c r="BO58" s="423"/>
      <c r="BP58" s="423"/>
      <c r="BQ58" s="423"/>
      <c r="BR58" s="423"/>
      <c r="BS58" s="423"/>
      <c r="BT58" s="423"/>
      <c r="BU58" s="423"/>
      <c r="BV58" s="423"/>
    </row>
    <row r="59" spans="1:74">
      <c r="BK59" s="423"/>
      <c r="BL59" s="423"/>
      <c r="BM59" s="423"/>
      <c r="BN59" s="423"/>
      <c r="BO59" s="423"/>
      <c r="BP59" s="423"/>
      <c r="BQ59" s="423"/>
      <c r="BR59" s="423"/>
      <c r="BS59" s="423"/>
      <c r="BT59" s="423"/>
      <c r="BU59" s="423"/>
      <c r="BV59" s="423"/>
    </row>
    <row r="60" spans="1:74">
      <c r="BK60" s="423"/>
      <c r="BL60" s="423"/>
      <c r="BM60" s="423"/>
      <c r="BN60" s="423"/>
      <c r="BO60" s="423"/>
      <c r="BP60" s="423"/>
      <c r="BQ60" s="423"/>
      <c r="BR60" s="423"/>
      <c r="BS60" s="423"/>
      <c r="BT60" s="423"/>
      <c r="BU60" s="423"/>
      <c r="BV60" s="423"/>
    </row>
    <row r="61" spans="1:74">
      <c r="BK61" s="423"/>
      <c r="BL61" s="423"/>
      <c r="BM61" s="423"/>
      <c r="BN61" s="423"/>
      <c r="BO61" s="423"/>
      <c r="BP61" s="423"/>
      <c r="BQ61" s="423"/>
      <c r="BR61" s="423"/>
      <c r="BS61" s="423"/>
      <c r="BT61" s="423"/>
      <c r="BU61" s="423"/>
      <c r="BV61" s="423"/>
    </row>
    <row r="62" spans="1:74">
      <c r="BK62" s="423"/>
      <c r="BL62" s="423"/>
      <c r="BM62" s="423"/>
      <c r="BN62" s="423"/>
      <c r="BO62" s="423"/>
      <c r="BP62" s="423"/>
      <c r="BQ62" s="423"/>
      <c r="BR62" s="423"/>
      <c r="BS62" s="423"/>
      <c r="BT62" s="423"/>
      <c r="BU62" s="423"/>
      <c r="BV62" s="423"/>
    </row>
    <row r="63" spans="1:74">
      <c r="BK63" s="423"/>
      <c r="BL63" s="423"/>
      <c r="BM63" s="423"/>
      <c r="BN63" s="423"/>
      <c r="BO63" s="423"/>
      <c r="BP63" s="423"/>
      <c r="BQ63" s="423"/>
      <c r="BR63" s="423"/>
      <c r="BS63" s="423"/>
      <c r="BT63" s="423"/>
      <c r="BU63" s="423"/>
      <c r="BV63" s="423"/>
    </row>
    <row r="64" spans="1:74">
      <c r="BK64" s="423"/>
      <c r="BL64" s="423"/>
      <c r="BM64" s="423"/>
      <c r="BN64" s="423"/>
      <c r="BO64" s="423"/>
      <c r="BP64" s="423"/>
      <c r="BQ64" s="423"/>
      <c r="BR64" s="423"/>
      <c r="BS64" s="423"/>
      <c r="BT64" s="423"/>
      <c r="BU64" s="423"/>
      <c r="BV64" s="423"/>
    </row>
    <row r="65" spans="63:74">
      <c r="BK65" s="423"/>
      <c r="BL65" s="423"/>
      <c r="BM65" s="423"/>
      <c r="BN65" s="423"/>
      <c r="BO65" s="423"/>
      <c r="BP65" s="423"/>
      <c r="BQ65" s="423"/>
      <c r="BR65" s="423"/>
      <c r="BS65" s="423"/>
      <c r="BT65" s="423"/>
      <c r="BU65" s="423"/>
      <c r="BV65" s="423"/>
    </row>
    <row r="66" spans="63:74">
      <c r="BK66" s="423"/>
      <c r="BL66" s="423"/>
      <c r="BM66" s="423"/>
      <c r="BN66" s="423"/>
      <c r="BO66" s="423"/>
      <c r="BP66" s="423"/>
      <c r="BQ66" s="423"/>
      <c r="BR66" s="423"/>
      <c r="BS66" s="423"/>
      <c r="BT66" s="423"/>
      <c r="BU66" s="423"/>
      <c r="BV66" s="423"/>
    </row>
    <row r="67" spans="63:74">
      <c r="BK67" s="423"/>
      <c r="BL67" s="423"/>
      <c r="BM67" s="423"/>
      <c r="BN67" s="423"/>
      <c r="BO67" s="423"/>
      <c r="BP67" s="423"/>
      <c r="BQ67" s="423"/>
      <c r="BR67" s="423"/>
      <c r="BS67" s="423"/>
      <c r="BT67" s="423"/>
      <c r="BU67" s="423"/>
      <c r="BV67" s="423"/>
    </row>
    <row r="68" spans="63:74">
      <c r="BK68" s="423"/>
      <c r="BL68" s="423"/>
      <c r="BM68" s="423"/>
      <c r="BN68" s="423"/>
      <c r="BO68" s="423"/>
      <c r="BP68" s="423"/>
      <c r="BQ68" s="423"/>
      <c r="BR68" s="423"/>
      <c r="BS68" s="423"/>
      <c r="BT68" s="423"/>
      <c r="BU68" s="423"/>
      <c r="BV68" s="423"/>
    </row>
    <row r="69" spans="63:74">
      <c r="BK69" s="423"/>
      <c r="BL69" s="423"/>
      <c r="BM69" s="423"/>
      <c r="BN69" s="423"/>
      <c r="BO69" s="423"/>
      <c r="BP69" s="423"/>
      <c r="BQ69" s="423"/>
      <c r="BR69" s="423"/>
      <c r="BS69" s="423"/>
      <c r="BT69" s="423"/>
      <c r="BU69" s="423"/>
      <c r="BV69" s="423"/>
    </row>
    <row r="70" spans="63:74">
      <c r="BK70" s="423"/>
      <c r="BL70" s="423"/>
      <c r="BM70" s="423"/>
      <c r="BN70" s="423"/>
      <c r="BO70" s="423"/>
      <c r="BP70" s="423"/>
      <c r="BQ70" s="423"/>
      <c r="BR70" s="423"/>
      <c r="BS70" s="423"/>
      <c r="BT70" s="423"/>
      <c r="BU70" s="423"/>
      <c r="BV70" s="423"/>
    </row>
    <row r="71" spans="63:74">
      <c r="BK71" s="423"/>
      <c r="BL71" s="423"/>
      <c r="BM71" s="423"/>
      <c r="BN71" s="423"/>
      <c r="BO71" s="423"/>
      <c r="BP71" s="423"/>
      <c r="BQ71" s="423"/>
      <c r="BR71" s="423"/>
      <c r="BS71" s="423"/>
      <c r="BT71" s="423"/>
      <c r="BU71" s="423"/>
      <c r="BV71" s="423"/>
    </row>
    <row r="72" spans="63:74">
      <c r="BK72" s="423"/>
      <c r="BL72" s="423"/>
      <c r="BM72" s="423"/>
      <c r="BN72" s="423"/>
      <c r="BO72" s="423"/>
      <c r="BP72" s="423"/>
      <c r="BQ72" s="423"/>
      <c r="BR72" s="423"/>
      <c r="BS72" s="423"/>
      <c r="BT72" s="423"/>
      <c r="BU72" s="423"/>
      <c r="BV72" s="423"/>
    </row>
    <row r="73" spans="63:74">
      <c r="BK73" s="423"/>
      <c r="BL73" s="423"/>
      <c r="BM73" s="423"/>
      <c r="BN73" s="423"/>
      <c r="BO73" s="423"/>
      <c r="BP73" s="423"/>
      <c r="BQ73" s="423"/>
      <c r="BR73" s="423"/>
      <c r="BS73" s="423"/>
      <c r="BT73" s="423"/>
      <c r="BU73" s="423"/>
      <c r="BV73" s="423"/>
    </row>
    <row r="74" spans="63:74">
      <c r="BK74" s="423"/>
      <c r="BL74" s="423"/>
      <c r="BM74" s="423"/>
      <c r="BN74" s="423"/>
      <c r="BO74" s="423"/>
      <c r="BP74" s="423"/>
      <c r="BQ74" s="423"/>
      <c r="BR74" s="423"/>
      <c r="BS74" s="423"/>
      <c r="BT74" s="423"/>
      <c r="BU74" s="423"/>
      <c r="BV74" s="423"/>
    </row>
    <row r="75" spans="63:74">
      <c r="BK75" s="423"/>
      <c r="BL75" s="423"/>
      <c r="BM75" s="423"/>
      <c r="BN75" s="423"/>
      <c r="BO75" s="423"/>
      <c r="BP75" s="423"/>
      <c r="BQ75" s="423"/>
      <c r="BR75" s="423"/>
      <c r="BS75" s="423"/>
      <c r="BT75" s="423"/>
      <c r="BU75" s="423"/>
      <c r="BV75" s="423"/>
    </row>
    <row r="76" spans="63:74">
      <c r="BK76" s="423"/>
      <c r="BL76" s="423"/>
      <c r="BM76" s="423"/>
      <c r="BN76" s="423"/>
      <c r="BO76" s="423"/>
      <c r="BP76" s="423"/>
      <c r="BQ76" s="423"/>
      <c r="BR76" s="423"/>
      <c r="BS76" s="423"/>
      <c r="BT76" s="423"/>
      <c r="BU76" s="423"/>
      <c r="BV76" s="423"/>
    </row>
    <row r="77" spans="63:74">
      <c r="BK77" s="423"/>
      <c r="BL77" s="423"/>
      <c r="BM77" s="423"/>
      <c r="BN77" s="423"/>
      <c r="BO77" s="423"/>
      <c r="BP77" s="423"/>
      <c r="BQ77" s="423"/>
      <c r="BR77" s="423"/>
      <c r="BS77" s="423"/>
      <c r="BT77" s="423"/>
      <c r="BU77" s="423"/>
      <c r="BV77" s="423"/>
    </row>
    <row r="78" spans="63:74">
      <c r="BK78" s="423"/>
      <c r="BL78" s="423"/>
      <c r="BM78" s="423"/>
      <c r="BN78" s="423"/>
      <c r="BO78" s="423"/>
      <c r="BP78" s="423"/>
      <c r="BQ78" s="423"/>
      <c r="BR78" s="423"/>
      <c r="BS78" s="423"/>
      <c r="BT78" s="423"/>
      <c r="BU78" s="423"/>
      <c r="BV78" s="423"/>
    </row>
    <row r="79" spans="63:74">
      <c r="BK79" s="423"/>
      <c r="BL79" s="423"/>
      <c r="BM79" s="423"/>
      <c r="BN79" s="423"/>
      <c r="BO79" s="423"/>
      <c r="BP79" s="423"/>
      <c r="BQ79" s="423"/>
      <c r="BR79" s="423"/>
      <c r="BS79" s="423"/>
      <c r="BT79" s="423"/>
      <c r="BU79" s="423"/>
      <c r="BV79" s="423"/>
    </row>
    <row r="80" spans="63:74">
      <c r="BK80" s="423"/>
      <c r="BL80" s="423"/>
      <c r="BM80" s="423"/>
      <c r="BN80" s="423"/>
      <c r="BO80" s="423"/>
      <c r="BP80" s="423"/>
      <c r="BQ80" s="423"/>
      <c r="BR80" s="423"/>
      <c r="BS80" s="423"/>
      <c r="BT80" s="423"/>
      <c r="BU80" s="423"/>
      <c r="BV80" s="423"/>
    </row>
    <row r="81" spans="63:74">
      <c r="BK81" s="423"/>
      <c r="BL81" s="423"/>
      <c r="BM81" s="423"/>
      <c r="BN81" s="423"/>
      <c r="BO81" s="423"/>
      <c r="BP81" s="423"/>
      <c r="BQ81" s="423"/>
      <c r="BR81" s="423"/>
      <c r="BS81" s="423"/>
      <c r="BT81" s="423"/>
      <c r="BU81" s="423"/>
      <c r="BV81" s="423"/>
    </row>
    <row r="82" spans="63:74">
      <c r="BK82" s="423"/>
      <c r="BL82" s="423"/>
      <c r="BM82" s="423"/>
      <c r="BN82" s="423"/>
      <c r="BO82" s="423"/>
      <c r="BP82" s="423"/>
      <c r="BQ82" s="423"/>
      <c r="BR82" s="423"/>
      <c r="BS82" s="423"/>
      <c r="BT82" s="423"/>
      <c r="BU82" s="423"/>
      <c r="BV82" s="423"/>
    </row>
    <row r="83" spans="63:74">
      <c r="BK83" s="423"/>
      <c r="BL83" s="423"/>
      <c r="BM83" s="423"/>
      <c r="BN83" s="423"/>
      <c r="BO83" s="423"/>
      <c r="BP83" s="423"/>
      <c r="BQ83" s="423"/>
      <c r="BR83" s="423"/>
      <c r="BS83" s="423"/>
      <c r="BT83" s="423"/>
      <c r="BU83" s="423"/>
      <c r="BV83" s="423"/>
    </row>
    <row r="84" spans="63:74">
      <c r="BK84" s="423"/>
      <c r="BL84" s="423"/>
      <c r="BM84" s="423"/>
      <c r="BN84" s="423"/>
      <c r="BO84" s="423"/>
      <c r="BP84" s="423"/>
      <c r="BQ84" s="423"/>
      <c r="BR84" s="423"/>
      <c r="BS84" s="423"/>
      <c r="BT84" s="423"/>
      <c r="BU84" s="423"/>
      <c r="BV84" s="423"/>
    </row>
    <row r="85" spans="63:74">
      <c r="BK85" s="423"/>
      <c r="BL85" s="423"/>
      <c r="BM85" s="423"/>
      <c r="BN85" s="423"/>
      <c r="BO85" s="423"/>
      <c r="BP85" s="423"/>
      <c r="BQ85" s="423"/>
      <c r="BR85" s="423"/>
      <c r="BS85" s="423"/>
      <c r="BT85" s="423"/>
      <c r="BU85" s="423"/>
      <c r="BV85" s="423"/>
    </row>
    <row r="86" spans="63:74">
      <c r="BK86" s="423"/>
      <c r="BL86" s="423"/>
      <c r="BM86" s="423"/>
      <c r="BN86" s="423"/>
      <c r="BO86" s="423"/>
      <c r="BP86" s="423"/>
      <c r="BQ86" s="423"/>
      <c r="BR86" s="423"/>
      <c r="BS86" s="423"/>
      <c r="BT86" s="423"/>
      <c r="BU86" s="423"/>
      <c r="BV86" s="423"/>
    </row>
    <row r="87" spans="63:74">
      <c r="BK87" s="423"/>
      <c r="BL87" s="423"/>
      <c r="BM87" s="423"/>
      <c r="BN87" s="423"/>
      <c r="BO87" s="423"/>
      <c r="BP87" s="423"/>
      <c r="BQ87" s="423"/>
      <c r="BR87" s="423"/>
      <c r="BS87" s="423"/>
      <c r="BT87" s="423"/>
      <c r="BU87" s="423"/>
      <c r="BV87" s="423"/>
    </row>
    <row r="88" spans="63:74">
      <c r="BK88" s="423"/>
      <c r="BL88" s="423"/>
      <c r="BM88" s="423"/>
      <c r="BN88" s="423"/>
      <c r="BO88" s="423"/>
      <c r="BP88" s="423"/>
      <c r="BQ88" s="423"/>
      <c r="BR88" s="423"/>
      <c r="BS88" s="423"/>
      <c r="BT88" s="423"/>
      <c r="BU88" s="423"/>
      <c r="BV88" s="423"/>
    </row>
    <row r="89" spans="63:74">
      <c r="BK89" s="423"/>
      <c r="BL89" s="423"/>
      <c r="BM89" s="423"/>
      <c r="BN89" s="423"/>
      <c r="BO89" s="423"/>
      <c r="BP89" s="423"/>
      <c r="BQ89" s="423"/>
      <c r="BR89" s="423"/>
      <c r="BS89" s="423"/>
      <c r="BT89" s="423"/>
      <c r="BU89" s="423"/>
      <c r="BV89" s="423"/>
    </row>
    <row r="90" spans="63:74">
      <c r="BK90" s="423"/>
      <c r="BL90" s="423"/>
      <c r="BM90" s="423"/>
      <c r="BN90" s="423"/>
      <c r="BO90" s="423"/>
      <c r="BP90" s="423"/>
      <c r="BQ90" s="423"/>
      <c r="BR90" s="423"/>
      <c r="BS90" s="423"/>
      <c r="BT90" s="423"/>
      <c r="BU90" s="423"/>
      <c r="BV90" s="423"/>
    </row>
    <row r="91" spans="63:74">
      <c r="BK91" s="423"/>
      <c r="BL91" s="423"/>
      <c r="BM91" s="423"/>
      <c r="BN91" s="423"/>
      <c r="BO91" s="423"/>
      <c r="BP91" s="423"/>
      <c r="BQ91" s="423"/>
      <c r="BR91" s="423"/>
      <c r="BS91" s="423"/>
      <c r="BT91" s="423"/>
      <c r="BU91" s="423"/>
      <c r="BV91" s="423"/>
    </row>
    <row r="92" spans="63:74">
      <c r="BK92" s="423"/>
      <c r="BL92" s="423"/>
      <c r="BM92" s="423"/>
      <c r="BN92" s="423"/>
      <c r="BO92" s="423"/>
      <c r="BP92" s="423"/>
      <c r="BQ92" s="423"/>
      <c r="BR92" s="423"/>
      <c r="BS92" s="423"/>
      <c r="BT92" s="423"/>
      <c r="BU92" s="423"/>
      <c r="BV92" s="423"/>
    </row>
    <row r="93" spans="63:74">
      <c r="BK93" s="423"/>
      <c r="BL93" s="423"/>
      <c r="BM93" s="423"/>
      <c r="BN93" s="423"/>
      <c r="BO93" s="423"/>
      <c r="BP93" s="423"/>
      <c r="BQ93" s="423"/>
      <c r="BR93" s="423"/>
      <c r="BS93" s="423"/>
      <c r="BT93" s="423"/>
      <c r="BU93" s="423"/>
      <c r="BV93" s="423"/>
    </row>
    <row r="94" spans="63:74">
      <c r="BK94" s="423"/>
      <c r="BL94" s="423"/>
      <c r="BM94" s="423"/>
      <c r="BN94" s="423"/>
      <c r="BO94" s="423"/>
      <c r="BP94" s="423"/>
      <c r="BQ94" s="423"/>
      <c r="BR94" s="423"/>
      <c r="BS94" s="423"/>
      <c r="BT94" s="423"/>
      <c r="BU94" s="423"/>
      <c r="BV94" s="423"/>
    </row>
    <row r="95" spans="63:74">
      <c r="BK95" s="423"/>
      <c r="BL95" s="423"/>
      <c r="BM95" s="423"/>
      <c r="BN95" s="423"/>
      <c r="BO95" s="423"/>
      <c r="BP95" s="423"/>
      <c r="BQ95" s="423"/>
      <c r="BR95" s="423"/>
      <c r="BS95" s="423"/>
      <c r="BT95" s="423"/>
      <c r="BU95" s="423"/>
      <c r="BV95" s="423"/>
    </row>
    <row r="96" spans="63:74">
      <c r="BK96" s="423"/>
      <c r="BL96" s="423"/>
      <c r="BM96" s="423"/>
      <c r="BN96" s="423"/>
      <c r="BO96" s="423"/>
      <c r="BP96" s="423"/>
      <c r="BQ96" s="423"/>
      <c r="BR96" s="423"/>
      <c r="BS96" s="423"/>
      <c r="BT96" s="423"/>
      <c r="BU96" s="423"/>
      <c r="BV96" s="423"/>
    </row>
    <row r="97" spans="63:74">
      <c r="BK97" s="423"/>
      <c r="BL97" s="423"/>
      <c r="BM97" s="423"/>
      <c r="BN97" s="423"/>
      <c r="BO97" s="423"/>
      <c r="BP97" s="423"/>
      <c r="BQ97" s="423"/>
      <c r="BR97" s="423"/>
      <c r="BS97" s="423"/>
      <c r="BT97" s="423"/>
      <c r="BU97" s="423"/>
      <c r="BV97" s="423"/>
    </row>
    <row r="98" spans="63:74">
      <c r="BK98" s="423"/>
      <c r="BL98" s="423"/>
      <c r="BM98" s="423"/>
      <c r="BN98" s="423"/>
      <c r="BO98" s="423"/>
      <c r="BP98" s="423"/>
      <c r="BQ98" s="423"/>
      <c r="BR98" s="423"/>
      <c r="BS98" s="423"/>
      <c r="BT98" s="423"/>
      <c r="BU98" s="423"/>
      <c r="BV98" s="423"/>
    </row>
    <row r="99" spans="63:74">
      <c r="BK99" s="423"/>
      <c r="BL99" s="423"/>
      <c r="BM99" s="423"/>
      <c r="BN99" s="423"/>
      <c r="BO99" s="423"/>
      <c r="BP99" s="423"/>
      <c r="BQ99" s="423"/>
      <c r="BR99" s="423"/>
      <c r="BS99" s="423"/>
      <c r="BT99" s="423"/>
      <c r="BU99" s="423"/>
      <c r="BV99" s="423"/>
    </row>
    <row r="100" spans="63:74">
      <c r="BK100" s="423"/>
      <c r="BL100" s="423"/>
      <c r="BM100" s="423"/>
      <c r="BN100" s="423"/>
      <c r="BO100" s="423"/>
      <c r="BP100" s="423"/>
      <c r="BQ100" s="423"/>
      <c r="BR100" s="423"/>
      <c r="BS100" s="423"/>
      <c r="BT100" s="423"/>
      <c r="BU100" s="423"/>
      <c r="BV100" s="423"/>
    </row>
    <row r="101" spans="63:74">
      <c r="BK101" s="423"/>
      <c r="BL101" s="423"/>
      <c r="BM101" s="423"/>
      <c r="BN101" s="423"/>
      <c r="BO101" s="423"/>
      <c r="BP101" s="423"/>
      <c r="BQ101" s="423"/>
      <c r="BR101" s="423"/>
      <c r="BS101" s="423"/>
      <c r="BT101" s="423"/>
      <c r="BU101" s="423"/>
      <c r="BV101" s="423"/>
    </row>
    <row r="102" spans="63:74">
      <c r="BK102" s="423"/>
      <c r="BL102" s="423"/>
      <c r="BM102" s="423"/>
      <c r="BN102" s="423"/>
      <c r="BO102" s="423"/>
      <c r="BP102" s="423"/>
      <c r="BQ102" s="423"/>
      <c r="BR102" s="423"/>
      <c r="BS102" s="423"/>
      <c r="BT102" s="423"/>
      <c r="BU102" s="423"/>
      <c r="BV102" s="423"/>
    </row>
    <row r="103" spans="63:74">
      <c r="BK103" s="423"/>
      <c r="BL103" s="423"/>
      <c r="BM103" s="423"/>
      <c r="BN103" s="423"/>
      <c r="BO103" s="423"/>
      <c r="BP103" s="423"/>
      <c r="BQ103" s="423"/>
      <c r="BR103" s="423"/>
      <c r="BS103" s="423"/>
      <c r="BT103" s="423"/>
      <c r="BU103" s="423"/>
      <c r="BV103" s="423"/>
    </row>
    <row r="104" spans="63:74">
      <c r="BK104" s="423"/>
      <c r="BL104" s="423"/>
      <c r="BM104" s="423"/>
      <c r="BN104" s="423"/>
      <c r="BO104" s="423"/>
      <c r="BP104" s="423"/>
      <c r="BQ104" s="423"/>
      <c r="BR104" s="423"/>
      <c r="BS104" s="423"/>
      <c r="BT104" s="423"/>
      <c r="BU104" s="423"/>
      <c r="BV104" s="423"/>
    </row>
    <row r="105" spans="63:74">
      <c r="BK105" s="423"/>
      <c r="BL105" s="423"/>
      <c r="BM105" s="423"/>
      <c r="BN105" s="423"/>
      <c r="BO105" s="423"/>
      <c r="BP105" s="423"/>
      <c r="BQ105" s="423"/>
      <c r="BR105" s="423"/>
      <c r="BS105" s="423"/>
      <c r="BT105" s="423"/>
      <c r="BU105" s="423"/>
      <c r="BV105" s="423"/>
    </row>
    <row r="106" spans="63:74">
      <c r="BK106" s="423"/>
      <c r="BL106" s="423"/>
      <c r="BM106" s="423"/>
      <c r="BN106" s="423"/>
      <c r="BO106" s="423"/>
      <c r="BP106" s="423"/>
      <c r="BQ106" s="423"/>
      <c r="BR106" s="423"/>
      <c r="BS106" s="423"/>
      <c r="BT106" s="423"/>
      <c r="BU106" s="423"/>
      <c r="BV106" s="423"/>
    </row>
    <row r="107" spans="63:74">
      <c r="BK107" s="423"/>
      <c r="BL107" s="423"/>
      <c r="BM107" s="423"/>
      <c r="BN107" s="423"/>
      <c r="BO107" s="423"/>
      <c r="BP107" s="423"/>
      <c r="BQ107" s="423"/>
      <c r="BR107" s="423"/>
      <c r="BS107" s="423"/>
      <c r="BT107" s="423"/>
      <c r="BU107" s="423"/>
      <c r="BV107" s="423"/>
    </row>
    <row r="108" spans="63:74">
      <c r="BK108" s="423"/>
      <c r="BL108" s="423"/>
      <c r="BM108" s="423"/>
      <c r="BN108" s="423"/>
      <c r="BO108" s="423"/>
      <c r="BP108" s="423"/>
      <c r="BQ108" s="423"/>
      <c r="BR108" s="423"/>
      <c r="BS108" s="423"/>
      <c r="BT108" s="423"/>
      <c r="BU108" s="423"/>
      <c r="BV108" s="423"/>
    </row>
    <row r="109" spans="63:74">
      <c r="BK109" s="423"/>
      <c r="BL109" s="423"/>
      <c r="BM109" s="423"/>
      <c r="BN109" s="423"/>
      <c r="BO109" s="423"/>
      <c r="BP109" s="423"/>
      <c r="BQ109" s="423"/>
      <c r="BR109" s="423"/>
      <c r="BS109" s="423"/>
      <c r="BT109" s="423"/>
      <c r="BU109" s="423"/>
      <c r="BV109" s="423"/>
    </row>
    <row r="110" spans="63:74">
      <c r="BK110" s="423"/>
      <c r="BL110" s="423"/>
      <c r="BM110" s="423"/>
      <c r="BN110" s="423"/>
      <c r="BO110" s="423"/>
      <c r="BP110" s="423"/>
      <c r="BQ110" s="423"/>
      <c r="BR110" s="423"/>
      <c r="BS110" s="423"/>
      <c r="BT110" s="423"/>
      <c r="BU110" s="423"/>
      <c r="BV110" s="423"/>
    </row>
    <row r="111" spans="63:74">
      <c r="BK111" s="423"/>
      <c r="BL111" s="423"/>
      <c r="BM111" s="423"/>
      <c r="BN111" s="423"/>
      <c r="BO111" s="423"/>
      <c r="BP111" s="423"/>
      <c r="BQ111" s="423"/>
      <c r="BR111" s="423"/>
      <c r="BS111" s="423"/>
      <c r="BT111" s="423"/>
      <c r="BU111" s="423"/>
      <c r="BV111" s="423"/>
    </row>
    <row r="112" spans="63:74">
      <c r="BK112" s="423"/>
      <c r="BL112" s="423"/>
      <c r="BM112" s="423"/>
      <c r="BN112" s="423"/>
      <c r="BO112" s="423"/>
      <c r="BP112" s="423"/>
      <c r="BQ112" s="423"/>
      <c r="BR112" s="423"/>
      <c r="BS112" s="423"/>
      <c r="BT112" s="423"/>
      <c r="BU112" s="423"/>
      <c r="BV112" s="423"/>
    </row>
    <row r="113" spans="63:74">
      <c r="BK113" s="423"/>
      <c r="BL113" s="423"/>
      <c r="BM113" s="423"/>
      <c r="BN113" s="423"/>
      <c r="BO113" s="423"/>
      <c r="BP113" s="423"/>
      <c r="BQ113" s="423"/>
      <c r="BR113" s="423"/>
      <c r="BS113" s="423"/>
      <c r="BT113" s="423"/>
      <c r="BU113" s="423"/>
      <c r="BV113" s="423"/>
    </row>
    <row r="114" spans="63:74">
      <c r="BK114" s="423"/>
      <c r="BL114" s="423"/>
      <c r="BM114" s="423"/>
      <c r="BN114" s="423"/>
      <c r="BO114" s="423"/>
      <c r="BP114" s="423"/>
      <c r="BQ114" s="423"/>
      <c r="BR114" s="423"/>
      <c r="BS114" s="423"/>
      <c r="BT114" s="423"/>
      <c r="BU114" s="423"/>
      <c r="BV114" s="423"/>
    </row>
    <row r="115" spans="63:74">
      <c r="BK115" s="423"/>
      <c r="BL115" s="423"/>
      <c r="BM115" s="423"/>
      <c r="BN115" s="423"/>
      <c r="BO115" s="423"/>
      <c r="BP115" s="423"/>
      <c r="BQ115" s="423"/>
      <c r="BR115" s="423"/>
      <c r="BS115" s="423"/>
      <c r="BT115" s="423"/>
      <c r="BU115" s="423"/>
      <c r="BV115" s="423"/>
    </row>
    <row r="116" spans="63:74">
      <c r="BK116" s="423"/>
      <c r="BL116" s="423"/>
      <c r="BM116" s="423"/>
      <c r="BN116" s="423"/>
      <c r="BO116" s="423"/>
      <c r="BP116" s="423"/>
      <c r="BQ116" s="423"/>
      <c r="BR116" s="423"/>
      <c r="BS116" s="423"/>
      <c r="BT116" s="423"/>
      <c r="BU116" s="423"/>
      <c r="BV116" s="423"/>
    </row>
    <row r="117" spans="63:74">
      <c r="BK117" s="423"/>
      <c r="BL117" s="423"/>
      <c r="BM117" s="423"/>
      <c r="BN117" s="423"/>
      <c r="BO117" s="423"/>
      <c r="BP117" s="423"/>
      <c r="BQ117" s="423"/>
      <c r="BR117" s="423"/>
      <c r="BS117" s="423"/>
      <c r="BT117" s="423"/>
      <c r="BU117" s="423"/>
      <c r="BV117" s="423"/>
    </row>
    <row r="118" spans="63:74">
      <c r="BK118" s="423"/>
      <c r="BL118" s="423"/>
      <c r="BM118" s="423"/>
      <c r="BN118" s="423"/>
      <c r="BO118" s="423"/>
      <c r="BP118" s="423"/>
      <c r="BQ118" s="423"/>
      <c r="BR118" s="423"/>
      <c r="BS118" s="423"/>
      <c r="BT118" s="423"/>
      <c r="BU118" s="423"/>
      <c r="BV118" s="423"/>
    </row>
    <row r="119" spans="63:74">
      <c r="BK119" s="423"/>
      <c r="BL119" s="423"/>
      <c r="BM119" s="423"/>
      <c r="BN119" s="423"/>
      <c r="BO119" s="423"/>
      <c r="BP119" s="423"/>
      <c r="BQ119" s="423"/>
      <c r="BR119" s="423"/>
      <c r="BS119" s="423"/>
      <c r="BT119" s="423"/>
      <c r="BU119" s="423"/>
      <c r="BV119" s="423"/>
    </row>
    <row r="120" spans="63:74">
      <c r="BK120" s="423"/>
      <c r="BL120" s="423"/>
      <c r="BM120" s="423"/>
      <c r="BN120" s="423"/>
      <c r="BO120" s="423"/>
      <c r="BP120" s="423"/>
      <c r="BQ120" s="423"/>
      <c r="BR120" s="423"/>
      <c r="BS120" s="423"/>
      <c r="BT120" s="423"/>
      <c r="BU120" s="423"/>
      <c r="BV120" s="423"/>
    </row>
    <row r="121" spans="63:74">
      <c r="BK121" s="423"/>
      <c r="BL121" s="423"/>
      <c r="BM121" s="423"/>
      <c r="BN121" s="423"/>
      <c r="BO121" s="423"/>
      <c r="BP121" s="423"/>
      <c r="BQ121" s="423"/>
      <c r="BR121" s="423"/>
      <c r="BS121" s="423"/>
      <c r="BT121" s="423"/>
      <c r="BU121" s="423"/>
      <c r="BV121" s="423"/>
    </row>
    <row r="122" spans="63:74">
      <c r="BK122" s="423"/>
      <c r="BL122" s="423"/>
      <c r="BM122" s="423"/>
      <c r="BN122" s="423"/>
      <c r="BO122" s="423"/>
      <c r="BP122" s="423"/>
      <c r="BQ122" s="423"/>
      <c r="BR122" s="423"/>
      <c r="BS122" s="423"/>
      <c r="BT122" s="423"/>
      <c r="BU122" s="423"/>
      <c r="BV122" s="423"/>
    </row>
    <row r="123" spans="63:74">
      <c r="BK123" s="423"/>
      <c r="BL123" s="423"/>
      <c r="BM123" s="423"/>
      <c r="BN123" s="423"/>
      <c r="BO123" s="423"/>
      <c r="BP123" s="423"/>
      <c r="BQ123" s="423"/>
      <c r="BR123" s="423"/>
      <c r="BS123" s="423"/>
      <c r="BT123" s="423"/>
      <c r="BU123" s="423"/>
      <c r="BV123" s="423"/>
    </row>
    <row r="124" spans="63:74">
      <c r="BK124" s="423"/>
      <c r="BL124" s="423"/>
      <c r="BM124" s="423"/>
      <c r="BN124" s="423"/>
      <c r="BO124" s="423"/>
      <c r="BP124" s="423"/>
      <c r="BQ124" s="423"/>
      <c r="BR124" s="423"/>
      <c r="BS124" s="423"/>
      <c r="BT124" s="423"/>
      <c r="BU124" s="423"/>
      <c r="BV124" s="423"/>
    </row>
    <row r="125" spans="63:74">
      <c r="BK125" s="423"/>
      <c r="BL125" s="423"/>
      <c r="BM125" s="423"/>
      <c r="BN125" s="423"/>
      <c r="BO125" s="423"/>
      <c r="BP125" s="423"/>
      <c r="BQ125" s="423"/>
      <c r="BR125" s="423"/>
      <c r="BS125" s="423"/>
      <c r="BT125" s="423"/>
      <c r="BU125" s="423"/>
      <c r="BV125" s="423"/>
    </row>
    <row r="126" spans="63:74">
      <c r="BK126" s="423"/>
      <c r="BL126" s="423"/>
      <c r="BM126" s="423"/>
      <c r="BN126" s="423"/>
      <c r="BO126" s="423"/>
      <c r="BP126" s="423"/>
      <c r="BQ126" s="423"/>
      <c r="BR126" s="423"/>
      <c r="BS126" s="423"/>
      <c r="BT126" s="423"/>
      <c r="BU126" s="423"/>
      <c r="BV126" s="423"/>
    </row>
    <row r="127" spans="63:74">
      <c r="BK127" s="423"/>
      <c r="BL127" s="423"/>
      <c r="BM127" s="423"/>
      <c r="BN127" s="423"/>
      <c r="BO127" s="423"/>
      <c r="BP127" s="423"/>
      <c r="BQ127" s="423"/>
      <c r="BR127" s="423"/>
      <c r="BS127" s="423"/>
      <c r="BT127" s="423"/>
      <c r="BU127" s="423"/>
      <c r="BV127" s="423"/>
    </row>
    <row r="128" spans="63:74">
      <c r="BK128" s="423"/>
      <c r="BL128" s="423"/>
      <c r="BM128" s="423"/>
      <c r="BN128" s="423"/>
      <c r="BO128" s="423"/>
      <c r="BP128" s="423"/>
      <c r="BQ128" s="423"/>
      <c r="BR128" s="423"/>
      <c r="BS128" s="423"/>
      <c r="BT128" s="423"/>
      <c r="BU128" s="423"/>
      <c r="BV128" s="423"/>
    </row>
    <row r="129" spans="63:74">
      <c r="BK129" s="423"/>
      <c r="BL129" s="423"/>
      <c r="BM129" s="423"/>
      <c r="BN129" s="423"/>
      <c r="BO129" s="423"/>
      <c r="BP129" s="423"/>
      <c r="BQ129" s="423"/>
      <c r="BR129" s="423"/>
      <c r="BS129" s="423"/>
      <c r="BT129" s="423"/>
      <c r="BU129" s="423"/>
      <c r="BV129" s="423"/>
    </row>
    <row r="130" spans="63:74">
      <c r="BK130" s="423"/>
      <c r="BL130" s="423"/>
      <c r="BM130" s="423"/>
      <c r="BN130" s="423"/>
      <c r="BO130" s="423"/>
      <c r="BP130" s="423"/>
      <c r="BQ130" s="423"/>
      <c r="BR130" s="423"/>
      <c r="BS130" s="423"/>
      <c r="BT130" s="423"/>
      <c r="BU130" s="423"/>
      <c r="BV130" s="423"/>
    </row>
    <row r="131" spans="63:74">
      <c r="BK131" s="423"/>
      <c r="BL131" s="423"/>
      <c r="BM131" s="423"/>
      <c r="BN131" s="423"/>
      <c r="BO131" s="423"/>
      <c r="BP131" s="423"/>
      <c r="BQ131" s="423"/>
      <c r="BR131" s="423"/>
      <c r="BS131" s="423"/>
      <c r="BT131" s="423"/>
      <c r="BU131" s="423"/>
      <c r="BV131" s="423"/>
    </row>
    <row r="132" spans="63:74">
      <c r="BK132" s="423"/>
      <c r="BL132" s="423"/>
      <c r="BM132" s="423"/>
      <c r="BN132" s="423"/>
      <c r="BO132" s="423"/>
      <c r="BP132" s="423"/>
      <c r="BQ132" s="423"/>
      <c r="BR132" s="423"/>
      <c r="BS132" s="423"/>
      <c r="BT132" s="423"/>
      <c r="BU132" s="423"/>
      <c r="BV132" s="423"/>
    </row>
    <row r="133" spans="63:74">
      <c r="BK133" s="423"/>
      <c r="BL133" s="423"/>
      <c r="BM133" s="423"/>
      <c r="BN133" s="423"/>
      <c r="BO133" s="423"/>
      <c r="BP133" s="423"/>
      <c r="BQ133" s="423"/>
      <c r="BR133" s="423"/>
      <c r="BS133" s="423"/>
      <c r="BT133" s="423"/>
      <c r="BU133" s="423"/>
      <c r="BV133" s="423"/>
    </row>
    <row r="134" spans="63:74">
      <c r="BK134" s="423"/>
      <c r="BL134" s="423"/>
      <c r="BM134" s="423"/>
      <c r="BN134" s="423"/>
      <c r="BO134" s="423"/>
      <c r="BP134" s="423"/>
      <c r="BQ134" s="423"/>
      <c r="BR134" s="423"/>
      <c r="BS134" s="423"/>
      <c r="BT134" s="423"/>
      <c r="BU134" s="423"/>
      <c r="BV134" s="423"/>
    </row>
    <row r="135" spans="63:74">
      <c r="BK135" s="423"/>
      <c r="BL135" s="423"/>
      <c r="BM135" s="423"/>
      <c r="BN135" s="423"/>
      <c r="BO135" s="423"/>
      <c r="BP135" s="423"/>
      <c r="BQ135" s="423"/>
      <c r="BR135" s="423"/>
      <c r="BS135" s="423"/>
      <c r="BT135" s="423"/>
      <c r="BU135" s="423"/>
      <c r="BV135" s="423"/>
    </row>
    <row r="136" spans="63:74">
      <c r="BK136" s="423"/>
      <c r="BL136" s="423"/>
      <c r="BM136" s="423"/>
      <c r="BN136" s="423"/>
      <c r="BO136" s="423"/>
      <c r="BP136" s="423"/>
      <c r="BQ136" s="423"/>
      <c r="BR136" s="423"/>
      <c r="BS136" s="423"/>
      <c r="BT136" s="423"/>
      <c r="BU136" s="423"/>
      <c r="BV136" s="423"/>
    </row>
    <row r="137" spans="63:74">
      <c r="BK137" s="423"/>
      <c r="BL137" s="423"/>
      <c r="BM137" s="423"/>
      <c r="BN137" s="423"/>
      <c r="BO137" s="423"/>
      <c r="BP137" s="423"/>
      <c r="BQ137" s="423"/>
      <c r="BR137" s="423"/>
      <c r="BS137" s="423"/>
      <c r="BT137" s="423"/>
      <c r="BU137" s="423"/>
      <c r="BV137" s="423"/>
    </row>
    <row r="138" spans="63:74">
      <c r="BK138" s="423"/>
      <c r="BL138" s="423"/>
      <c r="BM138" s="423"/>
      <c r="BN138" s="423"/>
      <c r="BO138" s="423"/>
      <c r="BP138" s="423"/>
      <c r="BQ138" s="423"/>
      <c r="BR138" s="423"/>
      <c r="BS138" s="423"/>
      <c r="BT138" s="423"/>
      <c r="BU138" s="423"/>
      <c r="BV138" s="423"/>
    </row>
    <row r="139" spans="63:74">
      <c r="BK139" s="423"/>
      <c r="BL139" s="423"/>
      <c r="BM139" s="423"/>
      <c r="BN139" s="423"/>
      <c r="BO139" s="423"/>
      <c r="BP139" s="423"/>
      <c r="BQ139" s="423"/>
      <c r="BR139" s="423"/>
      <c r="BS139" s="423"/>
      <c r="BT139" s="423"/>
      <c r="BU139" s="423"/>
      <c r="BV139" s="423"/>
    </row>
    <row r="140" spans="63:74">
      <c r="BK140" s="423"/>
      <c r="BL140" s="423"/>
      <c r="BM140" s="423"/>
      <c r="BN140" s="423"/>
      <c r="BO140" s="423"/>
      <c r="BP140" s="423"/>
      <c r="BQ140" s="423"/>
      <c r="BR140" s="423"/>
      <c r="BS140" s="423"/>
      <c r="BT140" s="423"/>
      <c r="BU140" s="423"/>
      <c r="BV140" s="423"/>
    </row>
    <row r="141" spans="63:74">
      <c r="BK141" s="423"/>
      <c r="BL141" s="423"/>
      <c r="BM141" s="423"/>
      <c r="BN141" s="423"/>
      <c r="BO141" s="423"/>
      <c r="BP141" s="423"/>
      <c r="BQ141" s="423"/>
      <c r="BR141" s="423"/>
      <c r="BS141" s="423"/>
      <c r="BT141" s="423"/>
      <c r="BU141" s="423"/>
      <c r="BV141" s="423"/>
    </row>
    <row r="142" spans="63:74">
      <c r="BK142" s="423"/>
      <c r="BL142" s="423"/>
      <c r="BM142" s="423"/>
      <c r="BN142" s="423"/>
      <c r="BO142" s="423"/>
      <c r="BP142" s="423"/>
      <c r="BQ142" s="423"/>
      <c r="BR142" s="423"/>
      <c r="BS142" s="423"/>
      <c r="BT142" s="423"/>
      <c r="BU142" s="423"/>
      <c r="BV142" s="423"/>
    </row>
    <row r="143" spans="63:74">
      <c r="BK143" s="423"/>
      <c r="BL143" s="423"/>
      <c r="BM143" s="423"/>
      <c r="BN143" s="423"/>
      <c r="BO143" s="423"/>
      <c r="BP143" s="423"/>
      <c r="BQ143" s="423"/>
      <c r="BR143" s="423"/>
      <c r="BS143" s="423"/>
      <c r="BT143" s="423"/>
      <c r="BU143" s="423"/>
      <c r="BV143" s="423"/>
    </row>
  </sheetData>
  <mergeCells count="21">
    <mergeCell ref="B51:Q51"/>
    <mergeCell ref="B52:Q52"/>
    <mergeCell ref="B46:Q46"/>
    <mergeCell ref="B47:Q47"/>
    <mergeCell ref="B48:Q48"/>
    <mergeCell ref="B49:Q49"/>
    <mergeCell ref="A1:A2"/>
    <mergeCell ref="B1:AL1"/>
    <mergeCell ref="B50:Q50"/>
    <mergeCell ref="B45:Q45"/>
    <mergeCell ref="B42:Q42"/>
    <mergeCell ref="B41:Q41"/>
    <mergeCell ref="B43:Q43"/>
    <mergeCell ref="B44:Q44"/>
    <mergeCell ref="AM3:AX3"/>
    <mergeCell ref="AY3:BJ3"/>
    <mergeCell ref="BK3:BV3"/>
    <mergeCell ref="B40:AL40"/>
    <mergeCell ref="C3:N3"/>
    <mergeCell ref="O3:Z3"/>
    <mergeCell ref="AA3:AL3"/>
  </mergeCells>
  <phoneticPr fontId="5" type="noConversion"/>
  <hyperlinks>
    <hyperlink ref="A1:A2" location="Contents!A1" display="Table of Contents"/>
  </hyperlinks>
  <pageMargins left="0.25" right="0.25" top="0.25" bottom="0.25" header="0.5" footer="0.5"/>
  <pageSetup scale="75"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sheetPr codeName="Sheet20">
    <pageSetUpPr fitToPage="1"/>
  </sheetPr>
  <dimension ref="A1:BV137"/>
  <sheetViews>
    <sheetView workbookViewId="0">
      <pane xSplit="2" ySplit="4" topLeftCell="AR5" activePane="bottomRight" state="frozen"/>
      <selection activeCell="BC15" sqref="BC15"/>
      <selection pane="topRight" activeCell="BC15" sqref="BC15"/>
      <selection pane="bottomLeft" activeCell="BC15" sqref="BC15"/>
      <selection pane="bottomRight" activeCell="BA2" sqref="BA2"/>
    </sheetView>
  </sheetViews>
  <sheetFormatPr defaultColWidth="8.85546875" defaultRowHeight="11.25"/>
  <cols>
    <col min="1" max="1" width="17.28515625" style="163" customWidth="1"/>
    <col min="2" max="2" width="25.28515625" style="153" customWidth="1"/>
    <col min="3" max="50" width="6.7109375" style="153" customWidth="1"/>
    <col min="51" max="62" width="6.7109375" style="504" customWidth="1"/>
    <col min="63" max="74" width="6.7109375" style="153" customWidth="1"/>
    <col min="75" max="16384" width="8.85546875" style="153"/>
  </cols>
  <sheetData>
    <row r="1" spans="1:74" ht="12.75">
      <c r="A1" s="657" t="s">
        <v>1118</v>
      </c>
      <c r="B1" s="681" t="s">
        <v>743</v>
      </c>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row>
    <row r="2" spans="1:74" ht="12.75">
      <c r="A2" s="658"/>
      <c r="B2" s="553" t="str">
        <f>"U.S. Energy Information Administration   |   Short-Term Energy Outlook  - "&amp;Dates!D1</f>
        <v>U.S. Energy Information Administration   |   Short-Term Energy Outlook  - July 2013</v>
      </c>
      <c r="C2" s="556"/>
      <c r="D2" s="556"/>
      <c r="E2" s="556"/>
      <c r="F2" s="556"/>
      <c r="G2" s="556"/>
      <c r="H2" s="556"/>
      <c r="I2" s="556"/>
      <c r="J2" s="556"/>
      <c r="K2" s="556"/>
      <c r="L2" s="556"/>
      <c r="M2" s="556"/>
      <c r="N2" s="556"/>
      <c r="O2" s="556"/>
      <c r="P2" s="556"/>
      <c r="Q2" s="556"/>
      <c r="R2" s="554"/>
      <c r="S2" s="554"/>
      <c r="T2" s="554"/>
      <c r="U2" s="554"/>
      <c r="V2" s="554"/>
      <c r="W2" s="554"/>
      <c r="X2" s="554"/>
      <c r="Y2" s="554"/>
      <c r="Z2" s="554"/>
      <c r="AA2" s="554"/>
      <c r="AB2" s="554"/>
      <c r="AC2" s="554"/>
      <c r="AD2" s="554"/>
      <c r="AE2" s="554"/>
      <c r="AF2" s="554"/>
      <c r="AG2" s="554"/>
      <c r="AH2" s="554"/>
      <c r="AI2" s="554"/>
      <c r="AJ2" s="554"/>
      <c r="AK2" s="554"/>
      <c r="AL2" s="554"/>
    </row>
    <row r="3" spans="1:74" s="12" customFormat="1" ht="12.75">
      <c r="A3" s="14"/>
      <c r="B3" s="15"/>
      <c r="C3" s="662">
        <f>Dates!D3</f>
        <v>2009</v>
      </c>
      <c r="D3" s="653"/>
      <c r="E3" s="653"/>
      <c r="F3" s="653"/>
      <c r="G3" s="653"/>
      <c r="H3" s="653"/>
      <c r="I3" s="653"/>
      <c r="J3" s="653"/>
      <c r="K3" s="653"/>
      <c r="L3" s="653"/>
      <c r="M3" s="653"/>
      <c r="N3" s="654"/>
      <c r="O3" s="662">
        <f>C3+1</f>
        <v>2010</v>
      </c>
      <c r="P3" s="663"/>
      <c r="Q3" s="663"/>
      <c r="R3" s="663"/>
      <c r="S3" s="663"/>
      <c r="T3" s="663"/>
      <c r="U3" s="663"/>
      <c r="V3" s="663"/>
      <c r="W3" s="663"/>
      <c r="X3" s="653"/>
      <c r="Y3" s="653"/>
      <c r="Z3" s="654"/>
      <c r="AA3" s="652">
        <f>O3+1</f>
        <v>2011</v>
      </c>
      <c r="AB3" s="653"/>
      <c r="AC3" s="653"/>
      <c r="AD3" s="653"/>
      <c r="AE3" s="653"/>
      <c r="AF3" s="653"/>
      <c r="AG3" s="653"/>
      <c r="AH3" s="653"/>
      <c r="AI3" s="653"/>
      <c r="AJ3" s="653"/>
      <c r="AK3" s="653"/>
      <c r="AL3" s="654"/>
      <c r="AM3" s="652">
        <f>AA3+1</f>
        <v>2012</v>
      </c>
      <c r="AN3" s="653"/>
      <c r="AO3" s="653"/>
      <c r="AP3" s="653"/>
      <c r="AQ3" s="653"/>
      <c r="AR3" s="653"/>
      <c r="AS3" s="653"/>
      <c r="AT3" s="653"/>
      <c r="AU3" s="653"/>
      <c r="AV3" s="653"/>
      <c r="AW3" s="653"/>
      <c r="AX3" s="654"/>
      <c r="AY3" s="652">
        <f>AM3+1</f>
        <v>2013</v>
      </c>
      <c r="AZ3" s="659"/>
      <c r="BA3" s="659"/>
      <c r="BB3" s="659"/>
      <c r="BC3" s="659"/>
      <c r="BD3" s="659"/>
      <c r="BE3" s="659"/>
      <c r="BF3" s="659"/>
      <c r="BG3" s="659"/>
      <c r="BH3" s="659"/>
      <c r="BI3" s="659"/>
      <c r="BJ3" s="660"/>
      <c r="BK3" s="652">
        <f>AY3+1</f>
        <v>2014</v>
      </c>
      <c r="BL3" s="653"/>
      <c r="BM3" s="653"/>
      <c r="BN3" s="653"/>
      <c r="BO3" s="653"/>
      <c r="BP3" s="653"/>
      <c r="BQ3" s="653"/>
      <c r="BR3" s="653"/>
      <c r="BS3" s="653"/>
      <c r="BT3" s="653"/>
      <c r="BU3" s="653"/>
      <c r="BV3" s="654"/>
    </row>
    <row r="4" spans="1:74" s="12" customFormat="1">
      <c r="A4" s="16"/>
      <c r="B4" s="17"/>
      <c r="C4" s="18" t="s">
        <v>678</v>
      </c>
      <c r="D4" s="18" t="s">
        <v>679</v>
      </c>
      <c r="E4" s="18" t="s">
        <v>680</v>
      </c>
      <c r="F4" s="18" t="s">
        <v>681</v>
      </c>
      <c r="G4" s="18" t="s">
        <v>682</v>
      </c>
      <c r="H4" s="18" t="s">
        <v>683</v>
      </c>
      <c r="I4" s="18" t="s">
        <v>684</v>
      </c>
      <c r="J4" s="18" t="s">
        <v>685</v>
      </c>
      <c r="K4" s="18" t="s">
        <v>686</v>
      </c>
      <c r="L4" s="18" t="s">
        <v>687</v>
      </c>
      <c r="M4" s="18" t="s">
        <v>688</v>
      </c>
      <c r="N4" s="18" t="s">
        <v>689</v>
      </c>
      <c r="O4" s="18" t="s">
        <v>678</v>
      </c>
      <c r="P4" s="18" t="s">
        <v>679</v>
      </c>
      <c r="Q4" s="18" t="s">
        <v>680</v>
      </c>
      <c r="R4" s="18" t="s">
        <v>681</v>
      </c>
      <c r="S4" s="18" t="s">
        <v>682</v>
      </c>
      <c r="T4" s="18" t="s">
        <v>683</v>
      </c>
      <c r="U4" s="18" t="s">
        <v>684</v>
      </c>
      <c r="V4" s="18" t="s">
        <v>685</v>
      </c>
      <c r="W4" s="18" t="s">
        <v>686</v>
      </c>
      <c r="X4" s="18" t="s">
        <v>687</v>
      </c>
      <c r="Y4" s="18" t="s">
        <v>688</v>
      </c>
      <c r="Z4" s="18" t="s">
        <v>689</v>
      </c>
      <c r="AA4" s="18" t="s">
        <v>678</v>
      </c>
      <c r="AB4" s="18" t="s">
        <v>679</v>
      </c>
      <c r="AC4" s="18" t="s">
        <v>680</v>
      </c>
      <c r="AD4" s="18" t="s">
        <v>681</v>
      </c>
      <c r="AE4" s="18" t="s">
        <v>682</v>
      </c>
      <c r="AF4" s="18" t="s">
        <v>683</v>
      </c>
      <c r="AG4" s="18" t="s">
        <v>684</v>
      </c>
      <c r="AH4" s="18" t="s">
        <v>685</v>
      </c>
      <c r="AI4" s="18" t="s">
        <v>686</v>
      </c>
      <c r="AJ4" s="18" t="s">
        <v>687</v>
      </c>
      <c r="AK4" s="18" t="s">
        <v>688</v>
      </c>
      <c r="AL4" s="18" t="s">
        <v>689</v>
      </c>
      <c r="AM4" s="18" t="s">
        <v>678</v>
      </c>
      <c r="AN4" s="18" t="s">
        <v>679</v>
      </c>
      <c r="AO4" s="18" t="s">
        <v>680</v>
      </c>
      <c r="AP4" s="18" t="s">
        <v>681</v>
      </c>
      <c r="AQ4" s="18" t="s">
        <v>682</v>
      </c>
      <c r="AR4" s="18" t="s">
        <v>683</v>
      </c>
      <c r="AS4" s="18" t="s">
        <v>684</v>
      </c>
      <c r="AT4" s="18" t="s">
        <v>685</v>
      </c>
      <c r="AU4" s="18" t="s">
        <v>686</v>
      </c>
      <c r="AV4" s="18" t="s">
        <v>687</v>
      </c>
      <c r="AW4" s="18" t="s">
        <v>688</v>
      </c>
      <c r="AX4" s="18" t="s">
        <v>689</v>
      </c>
      <c r="AY4" s="18" t="s">
        <v>678</v>
      </c>
      <c r="AZ4" s="18" t="s">
        <v>679</v>
      </c>
      <c r="BA4" s="18" t="s">
        <v>680</v>
      </c>
      <c r="BB4" s="18" t="s">
        <v>681</v>
      </c>
      <c r="BC4" s="18" t="s">
        <v>682</v>
      </c>
      <c r="BD4" s="18" t="s">
        <v>683</v>
      </c>
      <c r="BE4" s="18" t="s">
        <v>684</v>
      </c>
      <c r="BF4" s="18" t="s">
        <v>685</v>
      </c>
      <c r="BG4" s="18" t="s">
        <v>686</v>
      </c>
      <c r="BH4" s="18" t="s">
        <v>687</v>
      </c>
      <c r="BI4" s="18" t="s">
        <v>688</v>
      </c>
      <c r="BJ4" s="18" t="s">
        <v>689</v>
      </c>
      <c r="BK4" s="18" t="s">
        <v>678</v>
      </c>
      <c r="BL4" s="18" t="s">
        <v>679</v>
      </c>
      <c r="BM4" s="18" t="s">
        <v>680</v>
      </c>
      <c r="BN4" s="18" t="s">
        <v>681</v>
      </c>
      <c r="BO4" s="18" t="s">
        <v>682</v>
      </c>
      <c r="BP4" s="18" t="s">
        <v>683</v>
      </c>
      <c r="BQ4" s="18" t="s">
        <v>684</v>
      </c>
      <c r="BR4" s="18" t="s">
        <v>685</v>
      </c>
      <c r="BS4" s="18" t="s">
        <v>686</v>
      </c>
      <c r="BT4" s="18" t="s">
        <v>687</v>
      </c>
      <c r="BU4" s="18" t="s">
        <v>688</v>
      </c>
      <c r="BV4" s="18" t="s">
        <v>689</v>
      </c>
    </row>
    <row r="5" spans="1:74" ht="11.1" customHeight="1">
      <c r="B5" s="258" t="s">
        <v>1135</v>
      </c>
      <c r="C5" s="256"/>
      <c r="D5" s="256"/>
      <c r="E5" s="256"/>
      <c r="F5" s="256"/>
      <c r="G5" s="256"/>
      <c r="H5" s="256"/>
      <c r="I5" s="256"/>
      <c r="J5" s="256"/>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416"/>
      <c r="AZ5" s="416"/>
      <c r="BA5" s="416"/>
      <c r="BB5" s="416"/>
      <c r="BC5" s="416"/>
      <c r="BD5" s="416"/>
      <c r="BE5" s="416"/>
      <c r="BF5" s="416"/>
      <c r="BG5" s="416"/>
      <c r="BH5" s="416"/>
      <c r="BI5" s="416"/>
      <c r="BJ5" s="416"/>
      <c r="BK5" s="416"/>
      <c r="BL5" s="416"/>
      <c r="BM5" s="416"/>
      <c r="BN5" s="416"/>
      <c r="BO5" s="416"/>
      <c r="BP5" s="416"/>
      <c r="BQ5" s="416"/>
      <c r="BR5" s="416"/>
      <c r="BS5" s="416"/>
      <c r="BT5" s="416"/>
      <c r="BU5" s="416"/>
      <c r="BV5" s="416"/>
    </row>
    <row r="6" spans="1:74" ht="11.1" customHeight="1">
      <c r="A6" s="163" t="s">
        <v>349</v>
      </c>
      <c r="B6" s="174" t="s">
        <v>292</v>
      </c>
      <c r="C6" s="256">
        <v>20.980428400000001</v>
      </c>
      <c r="D6" s="256">
        <v>21.363372265999999</v>
      </c>
      <c r="E6" s="256">
        <v>21.290974818999999</v>
      </c>
      <c r="F6" s="256">
        <v>21.001155647000001</v>
      </c>
      <c r="G6" s="256">
        <v>20.698686884000001</v>
      </c>
      <c r="H6" s="256">
        <v>20.669868313999999</v>
      </c>
      <c r="I6" s="256">
        <v>21.318786819</v>
      </c>
      <c r="J6" s="256">
        <v>20.704668206000001</v>
      </c>
      <c r="K6" s="256">
        <v>20.983408647000001</v>
      </c>
      <c r="L6" s="256">
        <v>21.316804690000001</v>
      </c>
      <c r="M6" s="256">
        <v>21.501663981</v>
      </c>
      <c r="N6" s="256">
        <v>21.336902142</v>
      </c>
      <c r="O6" s="256">
        <v>21.258897174000001</v>
      </c>
      <c r="P6" s="256">
        <v>21.573753695000001</v>
      </c>
      <c r="Q6" s="256">
        <v>21.689348205999998</v>
      </c>
      <c r="R6" s="256">
        <v>21.564376980999999</v>
      </c>
      <c r="S6" s="256">
        <v>21.614077120000001</v>
      </c>
      <c r="T6" s="256">
        <v>20.952681120000001</v>
      </c>
      <c r="U6" s="256">
        <v>21.198663635999999</v>
      </c>
      <c r="V6" s="256">
        <v>21.059578894000001</v>
      </c>
      <c r="W6" s="256">
        <v>21.18518212</v>
      </c>
      <c r="X6" s="256">
        <v>21.627581958</v>
      </c>
      <c r="Y6" s="256">
        <v>21.886050785999998</v>
      </c>
      <c r="Z6" s="256">
        <v>22.090730116</v>
      </c>
      <c r="AA6" s="256">
        <v>21.769224993000002</v>
      </c>
      <c r="AB6" s="256">
        <v>21.065765083999999</v>
      </c>
      <c r="AC6" s="256">
        <v>21.583658886999999</v>
      </c>
      <c r="AD6" s="256">
        <v>21.564313713000001</v>
      </c>
      <c r="AE6" s="256">
        <v>21.041485226999999</v>
      </c>
      <c r="AF6" s="256">
        <v>21.105022816999998</v>
      </c>
      <c r="AG6" s="256">
        <v>21.231372020999999</v>
      </c>
      <c r="AH6" s="256">
        <v>21.567536666999999</v>
      </c>
      <c r="AI6" s="256">
        <v>21.286800484</v>
      </c>
      <c r="AJ6" s="256">
        <v>22.081907020999999</v>
      </c>
      <c r="AK6" s="256">
        <v>22.414288484</v>
      </c>
      <c r="AL6" s="256">
        <v>22.578544311999998</v>
      </c>
      <c r="AM6" s="256">
        <v>22.488290154000001</v>
      </c>
      <c r="AN6" s="256">
        <v>22.868833837</v>
      </c>
      <c r="AO6" s="256">
        <v>22.491146959999998</v>
      </c>
      <c r="AP6" s="256">
        <v>22.658234917000001</v>
      </c>
      <c r="AQ6" s="256">
        <v>22.493544379999999</v>
      </c>
      <c r="AR6" s="256">
        <v>22.216250584000001</v>
      </c>
      <c r="AS6" s="256">
        <v>22.287583572999999</v>
      </c>
      <c r="AT6" s="256">
        <v>22.142337509000001</v>
      </c>
      <c r="AU6" s="256">
        <v>21.809203583999999</v>
      </c>
      <c r="AV6" s="256">
        <v>22.592253412000002</v>
      </c>
      <c r="AW6" s="256">
        <v>23.197290584000001</v>
      </c>
      <c r="AX6" s="256">
        <v>23.446143025000001</v>
      </c>
      <c r="AY6" s="256">
        <v>23.049177411999999</v>
      </c>
      <c r="AZ6" s="256">
        <v>22.947668895</v>
      </c>
      <c r="BA6" s="256">
        <v>23.249153294999999</v>
      </c>
      <c r="BB6" s="256">
        <v>23.462596746999999</v>
      </c>
      <c r="BC6" s="256">
        <v>23.251181614</v>
      </c>
      <c r="BD6" s="256">
        <v>23.132213479000001</v>
      </c>
      <c r="BE6" s="416">
        <v>23.400675289999999</v>
      </c>
      <c r="BF6" s="416">
        <v>23.558288304000001</v>
      </c>
      <c r="BG6" s="416">
        <v>23.582862819999999</v>
      </c>
      <c r="BH6" s="416">
        <v>24.071519158000001</v>
      </c>
      <c r="BI6" s="416">
        <v>24.287664924000001</v>
      </c>
      <c r="BJ6" s="416">
        <v>24.523852470000001</v>
      </c>
      <c r="BK6" s="416">
        <v>24.241963269999999</v>
      </c>
      <c r="BL6" s="416">
        <v>24.356399654000001</v>
      </c>
      <c r="BM6" s="416">
        <v>24.546334346999998</v>
      </c>
      <c r="BN6" s="416">
        <v>24.534473467000002</v>
      </c>
      <c r="BO6" s="416">
        <v>24.507304220000002</v>
      </c>
      <c r="BP6" s="416">
        <v>24.495436864999999</v>
      </c>
      <c r="BQ6" s="416">
        <v>24.625812017000001</v>
      </c>
      <c r="BR6" s="416">
        <v>24.717036997000001</v>
      </c>
      <c r="BS6" s="416">
        <v>24.719583710999999</v>
      </c>
      <c r="BT6" s="416">
        <v>24.83054877</v>
      </c>
      <c r="BU6" s="416">
        <v>25.088894432</v>
      </c>
      <c r="BV6" s="416">
        <v>25.323371044999998</v>
      </c>
    </row>
    <row r="7" spans="1:74" ht="11.1" customHeight="1">
      <c r="A7" s="163" t="s">
        <v>344</v>
      </c>
      <c r="B7" s="174" t="s">
        <v>293</v>
      </c>
      <c r="C7" s="256">
        <v>8.6188334193999996</v>
      </c>
      <c r="D7" s="256">
        <v>8.7942592857000008</v>
      </c>
      <c r="E7" s="256">
        <v>8.8586788386999995</v>
      </c>
      <c r="F7" s="256">
        <v>8.9734446667000007</v>
      </c>
      <c r="G7" s="256">
        <v>9.1564439031999996</v>
      </c>
      <c r="H7" s="256">
        <v>9.1335733332999993</v>
      </c>
      <c r="I7" s="256">
        <v>9.2024918387000003</v>
      </c>
      <c r="J7" s="256">
        <v>9.2387192258000006</v>
      </c>
      <c r="K7" s="256">
        <v>9.4791986667000003</v>
      </c>
      <c r="L7" s="256">
        <v>9.3966697096999994</v>
      </c>
      <c r="M7" s="256">
        <v>9.3043250000000004</v>
      </c>
      <c r="N7" s="256">
        <v>9.4196081612999993</v>
      </c>
      <c r="O7" s="256">
        <v>9.3729341935000008</v>
      </c>
      <c r="P7" s="256">
        <v>9.6783487143000002</v>
      </c>
      <c r="Q7" s="256">
        <v>9.6825712258000003</v>
      </c>
      <c r="R7" s="256">
        <v>9.5136409999999998</v>
      </c>
      <c r="S7" s="256">
        <v>9.6295730000000006</v>
      </c>
      <c r="T7" s="256">
        <v>9.5492910000000002</v>
      </c>
      <c r="U7" s="256">
        <v>9.5124735161</v>
      </c>
      <c r="V7" s="256">
        <v>9.7164887742000001</v>
      </c>
      <c r="W7" s="256">
        <v>9.8579659999999993</v>
      </c>
      <c r="X7" s="256">
        <v>9.8180708387000006</v>
      </c>
      <c r="Y7" s="256">
        <v>9.9053706666999997</v>
      </c>
      <c r="Z7" s="256">
        <v>10.073709613</v>
      </c>
      <c r="AA7" s="256">
        <v>9.7955802903000002</v>
      </c>
      <c r="AB7" s="256">
        <v>9.5016721429000004</v>
      </c>
      <c r="AC7" s="256">
        <v>9.9842102903000001</v>
      </c>
      <c r="AD7" s="256">
        <v>9.9220199999999998</v>
      </c>
      <c r="AE7" s="256">
        <v>10.089686097</v>
      </c>
      <c r="AF7" s="256">
        <v>10.048603667</v>
      </c>
      <c r="AG7" s="256">
        <v>9.9107888709999994</v>
      </c>
      <c r="AH7" s="256">
        <v>10.225892516</v>
      </c>
      <c r="AI7" s="256">
        <v>10.069519333000001</v>
      </c>
      <c r="AJ7" s="256">
        <v>10.470346871</v>
      </c>
      <c r="AK7" s="256">
        <v>10.753671333</v>
      </c>
      <c r="AL7" s="256">
        <v>10.802311161</v>
      </c>
      <c r="AM7" s="256">
        <v>10.793284903</v>
      </c>
      <c r="AN7" s="256">
        <v>10.890805586000001</v>
      </c>
      <c r="AO7" s="256">
        <v>10.85610071</v>
      </c>
      <c r="AP7" s="256">
        <v>10.880910667</v>
      </c>
      <c r="AQ7" s="256">
        <v>11.020507129</v>
      </c>
      <c r="AR7" s="256">
        <v>10.894657333</v>
      </c>
      <c r="AS7" s="256">
        <v>10.878077322999999</v>
      </c>
      <c r="AT7" s="256">
        <v>10.938288258</v>
      </c>
      <c r="AU7" s="256">
        <v>11.219808333</v>
      </c>
      <c r="AV7" s="256">
        <v>11.516155161</v>
      </c>
      <c r="AW7" s="256">
        <v>11.813535333000001</v>
      </c>
      <c r="AX7" s="256">
        <v>11.808679774</v>
      </c>
      <c r="AY7" s="256">
        <v>11.602601161000001</v>
      </c>
      <c r="AZ7" s="256">
        <v>11.668395</v>
      </c>
      <c r="BA7" s="256">
        <v>11.811693225999999</v>
      </c>
      <c r="BB7" s="256">
        <v>12.088103667</v>
      </c>
      <c r="BC7" s="256">
        <v>12.019301361</v>
      </c>
      <c r="BD7" s="256">
        <v>11.95464084</v>
      </c>
      <c r="BE7" s="416">
        <v>11.989261300000001</v>
      </c>
      <c r="BF7" s="416">
        <v>11.990092499999999</v>
      </c>
      <c r="BG7" s="416">
        <v>12.000347400000001</v>
      </c>
      <c r="BH7" s="416">
        <v>12.198951299999999</v>
      </c>
      <c r="BI7" s="416">
        <v>12.372446500000001</v>
      </c>
      <c r="BJ7" s="416">
        <v>12.4406152</v>
      </c>
      <c r="BK7" s="416">
        <v>12.4085476</v>
      </c>
      <c r="BL7" s="416">
        <v>12.473621700000001</v>
      </c>
      <c r="BM7" s="416">
        <v>12.5752416</v>
      </c>
      <c r="BN7" s="416">
        <v>12.670403</v>
      </c>
      <c r="BO7" s="416">
        <v>12.7792577</v>
      </c>
      <c r="BP7" s="416">
        <v>12.7473736</v>
      </c>
      <c r="BQ7" s="416">
        <v>12.7762087</v>
      </c>
      <c r="BR7" s="416">
        <v>12.8399187</v>
      </c>
      <c r="BS7" s="416">
        <v>12.9698653</v>
      </c>
      <c r="BT7" s="416">
        <v>13.115399</v>
      </c>
      <c r="BU7" s="416">
        <v>13.265157</v>
      </c>
      <c r="BV7" s="416">
        <v>13.343606400000001</v>
      </c>
    </row>
    <row r="8" spans="1:74" ht="11.1" customHeight="1">
      <c r="A8" s="163" t="s">
        <v>345</v>
      </c>
      <c r="B8" s="174" t="s">
        <v>319</v>
      </c>
      <c r="C8" s="256">
        <v>3.4044643059999999</v>
      </c>
      <c r="D8" s="256">
        <v>3.4851073060000002</v>
      </c>
      <c r="E8" s="256">
        <v>3.3589223060000002</v>
      </c>
      <c r="F8" s="256">
        <v>3.112511306</v>
      </c>
      <c r="G8" s="256">
        <v>3.064133306</v>
      </c>
      <c r="H8" s="256">
        <v>3.2210583060000002</v>
      </c>
      <c r="I8" s="256">
        <v>3.4200013060000001</v>
      </c>
      <c r="J8" s="256">
        <v>3.3303253060000002</v>
      </c>
      <c r="K8" s="256">
        <v>3.2732073060000002</v>
      </c>
      <c r="L8" s="256">
        <v>3.3411713060000001</v>
      </c>
      <c r="M8" s="256">
        <v>3.4778323059999998</v>
      </c>
      <c r="N8" s="256">
        <v>3.3199363059999998</v>
      </c>
      <c r="O8" s="256">
        <v>3.235668306</v>
      </c>
      <c r="P8" s="256">
        <v>3.3156683060000001</v>
      </c>
      <c r="Q8" s="256">
        <v>3.3466683060000002</v>
      </c>
      <c r="R8" s="256">
        <v>3.3856683059999999</v>
      </c>
      <c r="S8" s="256">
        <v>3.4370697369999998</v>
      </c>
      <c r="T8" s="256">
        <v>3.448069737</v>
      </c>
      <c r="U8" s="256">
        <v>3.4570697369999999</v>
      </c>
      <c r="V8" s="256">
        <v>3.5170697369999999</v>
      </c>
      <c r="W8" s="256">
        <v>3.327069737</v>
      </c>
      <c r="X8" s="256">
        <v>3.4170697369999998</v>
      </c>
      <c r="Y8" s="256">
        <v>3.6670697369999998</v>
      </c>
      <c r="Z8" s="256">
        <v>3.7270697369999999</v>
      </c>
      <c r="AA8" s="256">
        <v>3.5886450985999998</v>
      </c>
      <c r="AB8" s="256">
        <v>3.4786450985999999</v>
      </c>
      <c r="AC8" s="256">
        <v>3.5796450985999999</v>
      </c>
      <c r="AD8" s="256">
        <v>3.5496450986000001</v>
      </c>
      <c r="AE8" s="256">
        <v>3.2176450985999998</v>
      </c>
      <c r="AF8" s="256">
        <v>3.3256450985999999</v>
      </c>
      <c r="AG8" s="256">
        <v>3.5986450986</v>
      </c>
      <c r="AH8" s="256">
        <v>3.7486450985999999</v>
      </c>
      <c r="AI8" s="256">
        <v>3.6586450986000001</v>
      </c>
      <c r="AJ8" s="256">
        <v>3.7376450985999998</v>
      </c>
      <c r="AK8" s="256">
        <v>3.7386450986000002</v>
      </c>
      <c r="AL8" s="256">
        <v>3.9306450985999999</v>
      </c>
      <c r="AM8" s="256">
        <v>3.8719450985999999</v>
      </c>
      <c r="AN8" s="256">
        <v>4.0329450985999999</v>
      </c>
      <c r="AO8" s="256">
        <v>3.7819450986000001</v>
      </c>
      <c r="AP8" s="256">
        <v>3.9119450985999999</v>
      </c>
      <c r="AQ8" s="256">
        <v>3.7709450985999999</v>
      </c>
      <c r="AR8" s="256">
        <v>3.7209450986000001</v>
      </c>
      <c r="AS8" s="256">
        <v>3.8199450985999999</v>
      </c>
      <c r="AT8" s="256">
        <v>3.7699450986</v>
      </c>
      <c r="AU8" s="256">
        <v>3.7309450985999999</v>
      </c>
      <c r="AV8" s="256">
        <v>3.8799450985999999</v>
      </c>
      <c r="AW8" s="256">
        <v>3.9909450986000001</v>
      </c>
      <c r="AX8" s="256">
        <v>4.1399450986000002</v>
      </c>
      <c r="AY8" s="256">
        <v>4.0609450986000004</v>
      </c>
      <c r="AZ8" s="256">
        <v>3.9732947430999999</v>
      </c>
      <c r="BA8" s="256">
        <v>4.0055588244999996</v>
      </c>
      <c r="BB8" s="256">
        <v>3.9455869990000001</v>
      </c>
      <c r="BC8" s="256">
        <v>3.8714355975000001</v>
      </c>
      <c r="BD8" s="256">
        <v>3.8103036161000001</v>
      </c>
      <c r="BE8" s="416">
        <v>4.0824368259000003</v>
      </c>
      <c r="BF8" s="416">
        <v>4.0936380059999999</v>
      </c>
      <c r="BG8" s="416">
        <v>4.1365954148000004</v>
      </c>
      <c r="BH8" s="416">
        <v>4.1927926789000001</v>
      </c>
      <c r="BI8" s="416">
        <v>4.2358150216999997</v>
      </c>
      <c r="BJ8" s="416">
        <v>4.3149891142000003</v>
      </c>
      <c r="BK8" s="416">
        <v>4.3171870584000001</v>
      </c>
      <c r="BL8" s="416">
        <v>4.3417253902999997</v>
      </c>
      <c r="BM8" s="416">
        <v>4.3396608591000003</v>
      </c>
      <c r="BN8" s="416">
        <v>4.3557612976</v>
      </c>
      <c r="BO8" s="416">
        <v>4.2793159527000002</v>
      </c>
      <c r="BP8" s="416">
        <v>4.2276364020999999</v>
      </c>
      <c r="BQ8" s="416">
        <v>4.3035455646000003</v>
      </c>
      <c r="BR8" s="416">
        <v>4.3384485011000002</v>
      </c>
      <c r="BS8" s="416">
        <v>4.4277505063999998</v>
      </c>
      <c r="BT8" s="416">
        <v>4.4708418285000002</v>
      </c>
      <c r="BU8" s="416">
        <v>4.5105567379</v>
      </c>
      <c r="BV8" s="416">
        <v>4.6175961879000003</v>
      </c>
    </row>
    <row r="9" spans="1:74" ht="11.1" customHeight="1">
      <c r="A9" s="163" t="s">
        <v>346</v>
      </c>
      <c r="B9" s="174" t="s">
        <v>328</v>
      </c>
      <c r="C9" s="256">
        <v>3.080903776</v>
      </c>
      <c r="D9" s="256">
        <v>3.056703776</v>
      </c>
      <c r="E9" s="256">
        <v>3.0559037760000001</v>
      </c>
      <c r="F9" s="256">
        <v>3.0515037760000001</v>
      </c>
      <c r="G9" s="256">
        <v>3.0208037760000002</v>
      </c>
      <c r="H9" s="256">
        <v>2.9116037760000002</v>
      </c>
      <c r="I9" s="256">
        <v>2.9569037759999999</v>
      </c>
      <c r="J9" s="256">
        <v>2.9448037760000001</v>
      </c>
      <c r="K9" s="256">
        <v>2.9927037759999999</v>
      </c>
      <c r="L9" s="256">
        <v>2.9933037759999999</v>
      </c>
      <c r="M9" s="256">
        <v>2.9523037759999999</v>
      </c>
      <c r="N9" s="256">
        <v>3.0026037759999999</v>
      </c>
      <c r="O9" s="256">
        <v>3.0237037760000001</v>
      </c>
      <c r="P9" s="256">
        <v>3.0175037759999999</v>
      </c>
      <c r="Q9" s="256">
        <v>3.0094037760000001</v>
      </c>
      <c r="R9" s="256">
        <v>3.0051037759999999</v>
      </c>
      <c r="S9" s="256">
        <v>3.0014577918000001</v>
      </c>
      <c r="T9" s="256">
        <v>2.9566577918000001</v>
      </c>
      <c r="U9" s="256">
        <v>2.9734577918</v>
      </c>
      <c r="V9" s="256">
        <v>2.9583577918000001</v>
      </c>
      <c r="W9" s="256">
        <v>2.9682577918000002</v>
      </c>
      <c r="X9" s="256">
        <v>2.9646577918000001</v>
      </c>
      <c r="Y9" s="256">
        <v>2.9056577917999999</v>
      </c>
      <c r="Z9" s="256">
        <v>2.9789577918000001</v>
      </c>
      <c r="AA9" s="256">
        <v>3.0064548315000001</v>
      </c>
      <c r="AB9" s="256">
        <v>2.9669360705000001</v>
      </c>
      <c r="AC9" s="256">
        <v>2.9912757255</v>
      </c>
      <c r="AD9" s="256">
        <v>2.9951938425</v>
      </c>
      <c r="AE9" s="256">
        <v>2.9794242595</v>
      </c>
      <c r="AF9" s="256">
        <v>2.9658022795000001</v>
      </c>
      <c r="AG9" s="256">
        <v>2.9488022795000002</v>
      </c>
      <c r="AH9" s="256">
        <v>2.9578022795000001</v>
      </c>
      <c r="AI9" s="256">
        <v>2.8878022794999998</v>
      </c>
      <c r="AJ9" s="256">
        <v>2.9508022795</v>
      </c>
      <c r="AK9" s="256">
        <v>2.9208022795000002</v>
      </c>
      <c r="AL9" s="256">
        <v>2.9478022794999998</v>
      </c>
      <c r="AM9" s="256">
        <v>2.9129022794999999</v>
      </c>
      <c r="AN9" s="256">
        <v>2.9389022795000002</v>
      </c>
      <c r="AO9" s="256">
        <v>2.9579022794999998</v>
      </c>
      <c r="AP9" s="256">
        <v>2.9529022794999999</v>
      </c>
      <c r="AQ9" s="256">
        <v>2.9459022794999998</v>
      </c>
      <c r="AR9" s="256">
        <v>2.9449022794999999</v>
      </c>
      <c r="AS9" s="256">
        <v>2.9209022794999999</v>
      </c>
      <c r="AT9" s="256">
        <v>2.9579022794999998</v>
      </c>
      <c r="AU9" s="256">
        <v>2.9449022794999999</v>
      </c>
      <c r="AV9" s="256">
        <v>2.8939022794999998</v>
      </c>
      <c r="AW9" s="256">
        <v>2.9469022795000002</v>
      </c>
      <c r="AX9" s="256">
        <v>2.9159022795</v>
      </c>
      <c r="AY9" s="256">
        <v>2.9539022794999998</v>
      </c>
      <c r="AZ9" s="256">
        <v>2.9459022794999998</v>
      </c>
      <c r="BA9" s="256">
        <v>2.8939022794999998</v>
      </c>
      <c r="BB9" s="256">
        <v>2.8980446236000001</v>
      </c>
      <c r="BC9" s="256">
        <v>2.8889223369999999</v>
      </c>
      <c r="BD9" s="256">
        <v>2.9325631289</v>
      </c>
      <c r="BE9" s="416">
        <v>2.9284976903</v>
      </c>
      <c r="BF9" s="416">
        <v>2.9200354260000001</v>
      </c>
      <c r="BG9" s="416">
        <v>2.9162279287000001</v>
      </c>
      <c r="BH9" s="416">
        <v>2.9122940731</v>
      </c>
      <c r="BI9" s="416">
        <v>2.9085721785</v>
      </c>
      <c r="BJ9" s="416">
        <v>2.9047736153999999</v>
      </c>
      <c r="BK9" s="416">
        <v>2.9004839355000001</v>
      </c>
      <c r="BL9" s="416">
        <v>2.8967446826000001</v>
      </c>
      <c r="BM9" s="416">
        <v>2.8925966006000001</v>
      </c>
      <c r="BN9" s="416">
        <v>2.8887179920000001</v>
      </c>
      <c r="BO9" s="416">
        <v>2.8847103798</v>
      </c>
      <c r="BP9" s="416">
        <v>2.8745196485000002</v>
      </c>
      <c r="BQ9" s="416">
        <v>2.8651337359000002</v>
      </c>
      <c r="BR9" s="416">
        <v>2.8558534164</v>
      </c>
      <c r="BS9" s="416">
        <v>2.8467021304000002</v>
      </c>
      <c r="BT9" s="416">
        <v>2.8372665308</v>
      </c>
      <c r="BU9" s="416">
        <v>2.8281995161000002</v>
      </c>
      <c r="BV9" s="416">
        <v>2.8190514808999998</v>
      </c>
    </row>
    <row r="10" spans="1:74" ht="11.1" customHeight="1">
      <c r="A10" s="163" t="s">
        <v>347</v>
      </c>
      <c r="B10" s="174" t="s">
        <v>1254</v>
      </c>
      <c r="C10" s="256">
        <v>4.3227000000000002</v>
      </c>
      <c r="D10" s="256">
        <v>4.4619220000000004</v>
      </c>
      <c r="E10" s="256">
        <v>4.435073</v>
      </c>
      <c r="F10" s="256">
        <v>4.2627680000000003</v>
      </c>
      <c r="G10" s="256">
        <v>3.9457490000000002</v>
      </c>
      <c r="H10" s="256">
        <v>3.848786</v>
      </c>
      <c r="I10" s="256">
        <v>4.1718330000000003</v>
      </c>
      <c r="J10" s="256">
        <v>3.5947969999999998</v>
      </c>
      <c r="K10" s="256">
        <v>3.6681249999999999</v>
      </c>
      <c r="L10" s="256">
        <v>3.9979650000000002</v>
      </c>
      <c r="M10" s="256">
        <v>4.1685689999999997</v>
      </c>
      <c r="N10" s="256">
        <v>4.041112</v>
      </c>
      <c r="O10" s="256">
        <v>4.0980970000000001</v>
      </c>
      <c r="P10" s="256">
        <v>4.0188709999999999</v>
      </c>
      <c r="Q10" s="256">
        <v>4.1171220000000002</v>
      </c>
      <c r="R10" s="256">
        <v>4.0201019999999996</v>
      </c>
      <c r="S10" s="256">
        <v>3.8850009999999999</v>
      </c>
      <c r="T10" s="256">
        <v>3.311801</v>
      </c>
      <c r="U10" s="256">
        <v>3.5308009999999999</v>
      </c>
      <c r="V10" s="256">
        <v>3.1778010000000001</v>
      </c>
      <c r="W10" s="256">
        <v>3.3640270000000001</v>
      </c>
      <c r="X10" s="256">
        <v>3.7869220000000001</v>
      </c>
      <c r="Y10" s="256">
        <v>3.7860909999999999</v>
      </c>
      <c r="Z10" s="256">
        <v>3.7120109999999999</v>
      </c>
      <c r="AA10" s="256">
        <v>3.8539270000000001</v>
      </c>
      <c r="AB10" s="256">
        <v>3.546894</v>
      </c>
      <c r="AC10" s="256">
        <v>3.43791</v>
      </c>
      <c r="AD10" s="256">
        <v>3.5058370000000001</v>
      </c>
      <c r="AE10" s="256">
        <v>3.2001119999999998</v>
      </c>
      <c r="AF10" s="256">
        <v>3.2273540000000001</v>
      </c>
      <c r="AG10" s="256">
        <v>3.2135180000000001</v>
      </c>
      <c r="AH10" s="256">
        <v>3.0195789999999998</v>
      </c>
      <c r="AI10" s="256">
        <v>3.0752160000000002</v>
      </c>
      <c r="AJ10" s="256">
        <v>3.338495</v>
      </c>
      <c r="AK10" s="256">
        <v>3.4085519999999998</v>
      </c>
      <c r="AL10" s="256">
        <v>3.2891680000000001</v>
      </c>
      <c r="AM10" s="256">
        <v>3.3606319999999998</v>
      </c>
      <c r="AN10" s="256">
        <v>3.4394019999999998</v>
      </c>
      <c r="AO10" s="256">
        <v>3.3388</v>
      </c>
      <c r="AP10" s="256">
        <v>3.3155549999999998</v>
      </c>
      <c r="AQ10" s="256">
        <v>3.1975530000000001</v>
      </c>
      <c r="AR10" s="256">
        <v>3.1018490000000001</v>
      </c>
      <c r="AS10" s="256">
        <v>3.074265</v>
      </c>
      <c r="AT10" s="256">
        <v>2.8765200000000002</v>
      </c>
      <c r="AU10" s="256">
        <v>2.33527</v>
      </c>
      <c r="AV10" s="256">
        <v>2.7444289999999998</v>
      </c>
      <c r="AW10" s="256">
        <v>2.918911</v>
      </c>
      <c r="AX10" s="256">
        <v>3.0248680000000001</v>
      </c>
      <c r="AY10" s="256">
        <v>2.9849749999999999</v>
      </c>
      <c r="AZ10" s="256">
        <v>2.895578</v>
      </c>
      <c r="BA10" s="256">
        <v>3.0847159999999998</v>
      </c>
      <c r="BB10" s="256">
        <v>2.9523062961000002</v>
      </c>
      <c r="BC10" s="256">
        <v>2.8993999388999998</v>
      </c>
      <c r="BD10" s="256">
        <v>2.8459566864000001</v>
      </c>
      <c r="BE10" s="416">
        <v>2.7931660759999999</v>
      </c>
      <c r="BF10" s="416">
        <v>2.9430704017</v>
      </c>
      <c r="BG10" s="416">
        <v>2.9302949607</v>
      </c>
      <c r="BH10" s="416">
        <v>3.1927740052</v>
      </c>
      <c r="BI10" s="416">
        <v>3.1924802104999999</v>
      </c>
      <c r="BJ10" s="416">
        <v>3.2801654466999999</v>
      </c>
      <c r="BK10" s="416">
        <v>3.0406090829000001</v>
      </c>
      <c r="BL10" s="416">
        <v>3.0526414754000002</v>
      </c>
      <c r="BM10" s="416">
        <v>3.1617137192000002</v>
      </c>
      <c r="BN10" s="416">
        <v>3.0348179552999999</v>
      </c>
      <c r="BO10" s="416">
        <v>2.9889845938000001</v>
      </c>
      <c r="BP10" s="416">
        <v>3.0540899710999998</v>
      </c>
      <c r="BQ10" s="416">
        <v>3.0697017033999998</v>
      </c>
      <c r="BR10" s="416">
        <v>3.0702905804</v>
      </c>
      <c r="BS10" s="416">
        <v>2.8737889436000001</v>
      </c>
      <c r="BT10" s="416">
        <v>2.8299873441000001</v>
      </c>
      <c r="BU10" s="416">
        <v>2.9086036337999999</v>
      </c>
      <c r="BV10" s="416">
        <v>2.9613608077000002</v>
      </c>
    </row>
    <row r="11" spans="1:74" ht="11.1" customHeight="1">
      <c r="A11" s="163" t="s">
        <v>348</v>
      </c>
      <c r="B11" s="174" t="s">
        <v>322</v>
      </c>
      <c r="C11" s="256">
        <v>1.5535268986999999</v>
      </c>
      <c r="D11" s="256">
        <v>1.5653798987</v>
      </c>
      <c r="E11" s="256">
        <v>1.5823968987000001</v>
      </c>
      <c r="F11" s="256">
        <v>1.6009278987</v>
      </c>
      <c r="G11" s="256">
        <v>1.5115568987000001</v>
      </c>
      <c r="H11" s="256">
        <v>1.5548468986999999</v>
      </c>
      <c r="I11" s="256">
        <v>1.5675568986999999</v>
      </c>
      <c r="J11" s="256">
        <v>1.5960228987</v>
      </c>
      <c r="K11" s="256">
        <v>1.5701738987</v>
      </c>
      <c r="L11" s="256">
        <v>1.5876948986999999</v>
      </c>
      <c r="M11" s="256">
        <v>1.5986338986999999</v>
      </c>
      <c r="N11" s="256">
        <v>1.5536418987</v>
      </c>
      <c r="O11" s="256">
        <v>1.5284938987000001</v>
      </c>
      <c r="P11" s="256">
        <v>1.5433618987</v>
      </c>
      <c r="Q11" s="256">
        <v>1.5335828987</v>
      </c>
      <c r="R11" s="256">
        <v>1.6398618987</v>
      </c>
      <c r="S11" s="256">
        <v>1.6609755908999999</v>
      </c>
      <c r="T11" s="256">
        <v>1.6868615909</v>
      </c>
      <c r="U11" s="256">
        <v>1.7248615909</v>
      </c>
      <c r="V11" s="256">
        <v>1.6898615909000001</v>
      </c>
      <c r="W11" s="256">
        <v>1.6678615909000001</v>
      </c>
      <c r="X11" s="256">
        <v>1.6408615908999999</v>
      </c>
      <c r="Y11" s="256">
        <v>1.6218615909</v>
      </c>
      <c r="Z11" s="256">
        <v>1.5989819744</v>
      </c>
      <c r="AA11" s="256">
        <v>1.5246177724000001</v>
      </c>
      <c r="AB11" s="256">
        <v>1.5716177724</v>
      </c>
      <c r="AC11" s="256">
        <v>1.5906177723999999</v>
      </c>
      <c r="AD11" s="256">
        <v>1.5916177724</v>
      </c>
      <c r="AE11" s="256">
        <v>1.5546177724000001</v>
      </c>
      <c r="AF11" s="256">
        <v>1.5376177724</v>
      </c>
      <c r="AG11" s="256">
        <v>1.5596177724</v>
      </c>
      <c r="AH11" s="256">
        <v>1.6156177724</v>
      </c>
      <c r="AI11" s="256">
        <v>1.5956177724</v>
      </c>
      <c r="AJ11" s="256">
        <v>1.5846177723999999</v>
      </c>
      <c r="AK11" s="256">
        <v>1.5926177723999999</v>
      </c>
      <c r="AL11" s="256">
        <v>1.6086177723999999</v>
      </c>
      <c r="AM11" s="256">
        <v>1.5495258724000001</v>
      </c>
      <c r="AN11" s="256">
        <v>1.5667788724</v>
      </c>
      <c r="AO11" s="256">
        <v>1.5563988724</v>
      </c>
      <c r="AP11" s="256">
        <v>1.5969218724000001</v>
      </c>
      <c r="AQ11" s="256">
        <v>1.5586368723999999</v>
      </c>
      <c r="AR11" s="256">
        <v>1.5538968724</v>
      </c>
      <c r="AS11" s="256">
        <v>1.5943938724</v>
      </c>
      <c r="AT11" s="256">
        <v>1.5996818723999999</v>
      </c>
      <c r="AU11" s="256">
        <v>1.5782778723999999</v>
      </c>
      <c r="AV11" s="256">
        <v>1.5578218723999999</v>
      </c>
      <c r="AW11" s="256">
        <v>1.5269968724</v>
      </c>
      <c r="AX11" s="256">
        <v>1.5567478723999999</v>
      </c>
      <c r="AY11" s="256">
        <v>1.4467538724</v>
      </c>
      <c r="AZ11" s="256">
        <v>1.4644988724000001</v>
      </c>
      <c r="BA11" s="256">
        <v>1.4532829653999999</v>
      </c>
      <c r="BB11" s="256">
        <v>1.5785551619</v>
      </c>
      <c r="BC11" s="256">
        <v>1.5721223798999999</v>
      </c>
      <c r="BD11" s="256">
        <v>1.5887492069</v>
      </c>
      <c r="BE11" s="416">
        <v>1.6073133980000001</v>
      </c>
      <c r="BF11" s="416">
        <v>1.6114519705999999</v>
      </c>
      <c r="BG11" s="416">
        <v>1.5993971161</v>
      </c>
      <c r="BH11" s="416">
        <v>1.5747071009</v>
      </c>
      <c r="BI11" s="416">
        <v>1.5783510131</v>
      </c>
      <c r="BJ11" s="416">
        <v>1.5833090936000001</v>
      </c>
      <c r="BK11" s="416">
        <v>1.5751355936</v>
      </c>
      <c r="BL11" s="416">
        <v>1.5916664057000001</v>
      </c>
      <c r="BM11" s="416">
        <v>1.5771215679999999</v>
      </c>
      <c r="BN11" s="416">
        <v>1.5847732224</v>
      </c>
      <c r="BO11" s="416">
        <v>1.5750355935</v>
      </c>
      <c r="BP11" s="416">
        <v>1.5918172436</v>
      </c>
      <c r="BQ11" s="416">
        <v>1.6112223132000001</v>
      </c>
      <c r="BR11" s="416">
        <v>1.6125257986999999</v>
      </c>
      <c r="BS11" s="416">
        <v>1.601476831</v>
      </c>
      <c r="BT11" s="416">
        <v>1.5770540668999999</v>
      </c>
      <c r="BU11" s="416">
        <v>1.5763775444999999</v>
      </c>
      <c r="BV11" s="416">
        <v>1.5817561684999999</v>
      </c>
    </row>
    <row r="12" spans="1:74" ht="11.1" customHeight="1">
      <c r="A12" s="163" t="s">
        <v>355</v>
      </c>
      <c r="B12" s="174" t="s">
        <v>323</v>
      </c>
      <c r="C12" s="256">
        <v>62.155091552000002</v>
      </c>
      <c r="D12" s="256">
        <v>62.432033814999997</v>
      </c>
      <c r="E12" s="256">
        <v>62.421065540999997</v>
      </c>
      <c r="F12" s="256">
        <v>62.790587236999997</v>
      </c>
      <c r="G12" s="256">
        <v>62.792335082999998</v>
      </c>
      <c r="H12" s="256">
        <v>63.126887046999997</v>
      </c>
      <c r="I12" s="256">
        <v>63.536347436</v>
      </c>
      <c r="J12" s="256">
        <v>63.701305116999997</v>
      </c>
      <c r="K12" s="256">
        <v>63.954181306999999</v>
      </c>
      <c r="L12" s="256">
        <v>64.082403816999999</v>
      </c>
      <c r="M12" s="256">
        <v>63.965982977000003</v>
      </c>
      <c r="N12" s="256">
        <v>63.973257957000001</v>
      </c>
      <c r="O12" s="256">
        <v>64.005342565999996</v>
      </c>
      <c r="P12" s="256">
        <v>64.219713932000005</v>
      </c>
      <c r="Q12" s="256">
        <v>64.250250457000007</v>
      </c>
      <c r="R12" s="256">
        <v>64.649760728999993</v>
      </c>
      <c r="S12" s="256">
        <v>65.339952471999993</v>
      </c>
      <c r="T12" s="256">
        <v>66.150988073999997</v>
      </c>
      <c r="U12" s="256">
        <v>66.277665464999998</v>
      </c>
      <c r="V12" s="256">
        <v>66.455653655999996</v>
      </c>
      <c r="W12" s="256">
        <v>66.471061062999993</v>
      </c>
      <c r="X12" s="256">
        <v>65.858639142000001</v>
      </c>
      <c r="Y12" s="256">
        <v>66.26685603</v>
      </c>
      <c r="Z12" s="256">
        <v>65.841796153000004</v>
      </c>
      <c r="AA12" s="256">
        <v>66.464208416000005</v>
      </c>
      <c r="AB12" s="256">
        <v>65.975113144999995</v>
      </c>
      <c r="AC12" s="256">
        <v>64.623726464000001</v>
      </c>
      <c r="AD12" s="256">
        <v>64.574821673000002</v>
      </c>
      <c r="AE12" s="256">
        <v>64.977182182999996</v>
      </c>
      <c r="AF12" s="256">
        <v>65.695254554000002</v>
      </c>
      <c r="AG12" s="256">
        <v>65.957877054999997</v>
      </c>
      <c r="AH12" s="256">
        <v>66.250188902000005</v>
      </c>
      <c r="AI12" s="256">
        <v>65.906880971999996</v>
      </c>
      <c r="AJ12" s="256">
        <v>65.566483601000002</v>
      </c>
      <c r="AK12" s="256">
        <v>66.241852343000005</v>
      </c>
      <c r="AL12" s="256">
        <v>66.377683003000001</v>
      </c>
      <c r="AM12" s="256">
        <v>66.514541397000002</v>
      </c>
      <c r="AN12" s="256">
        <v>66.452242362000007</v>
      </c>
      <c r="AO12" s="256">
        <v>66.424875708000002</v>
      </c>
      <c r="AP12" s="256">
        <v>66.683889285000006</v>
      </c>
      <c r="AQ12" s="256">
        <v>66.638073051999996</v>
      </c>
      <c r="AR12" s="256">
        <v>66.696790141999998</v>
      </c>
      <c r="AS12" s="256">
        <v>66.809472287000006</v>
      </c>
      <c r="AT12" s="256">
        <v>67.169163413000007</v>
      </c>
      <c r="AU12" s="256">
        <v>66.848486762999997</v>
      </c>
      <c r="AV12" s="256">
        <v>66.471206344999999</v>
      </c>
      <c r="AW12" s="256">
        <v>66.316832164000004</v>
      </c>
      <c r="AX12" s="256">
        <v>66.015846585999995</v>
      </c>
      <c r="AY12" s="256">
        <v>65.651474293999996</v>
      </c>
      <c r="AZ12" s="256">
        <v>65.512386524999997</v>
      </c>
      <c r="BA12" s="256">
        <v>65.259691568999997</v>
      </c>
      <c r="BB12" s="256">
        <v>66.228957534000003</v>
      </c>
      <c r="BC12" s="256">
        <v>66.878691258000003</v>
      </c>
      <c r="BD12" s="256">
        <v>66.899614306999993</v>
      </c>
      <c r="BE12" s="416">
        <v>66.932427567000005</v>
      </c>
      <c r="BF12" s="416">
        <v>66.993953485000006</v>
      </c>
      <c r="BG12" s="416">
        <v>66.897747566999996</v>
      </c>
      <c r="BH12" s="416">
        <v>66.407286120999999</v>
      </c>
      <c r="BI12" s="416">
        <v>66.314263949999997</v>
      </c>
      <c r="BJ12" s="416">
        <v>66.075722008</v>
      </c>
      <c r="BK12" s="416">
        <v>66.149318287</v>
      </c>
      <c r="BL12" s="416">
        <v>66.216741028000001</v>
      </c>
      <c r="BM12" s="416">
        <v>66.283001108999997</v>
      </c>
      <c r="BN12" s="416">
        <v>66.508566497000004</v>
      </c>
      <c r="BO12" s="416">
        <v>67.088966123000006</v>
      </c>
      <c r="BP12" s="416">
        <v>67.348638768000001</v>
      </c>
      <c r="BQ12" s="416">
        <v>67.165873422000004</v>
      </c>
      <c r="BR12" s="416">
        <v>67.299602066999995</v>
      </c>
      <c r="BS12" s="416">
        <v>67.438701985999998</v>
      </c>
      <c r="BT12" s="416">
        <v>66.578817166999997</v>
      </c>
      <c r="BU12" s="416">
        <v>66.497569439000003</v>
      </c>
      <c r="BV12" s="416">
        <v>66.298668081000002</v>
      </c>
    </row>
    <row r="13" spans="1:74" ht="11.1" customHeight="1">
      <c r="A13" s="163" t="s">
        <v>350</v>
      </c>
      <c r="B13" s="174" t="s">
        <v>1255</v>
      </c>
      <c r="C13" s="256">
        <v>33.382574372000001</v>
      </c>
      <c r="D13" s="256">
        <v>33.380650891999998</v>
      </c>
      <c r="E13" s="256">
        <v>33.331042891999999</v>
      </c>
      <c r="F13" s="256">
        <v>33.479008581999999</v>
      </c>
      <c r="G13" s="256">
        <v>33.566543451999998</v>
      </c>
      <c r="H13" s="256">
        <v>33.739584751999999</v>
      </c>
      <c r="I13" s="256">
        <v>34.151047192</v>
      </c>
      <c r="J13" s="256">
        <v>34.312234812</v>
      </c>
      <c r="K13" s="256">
        <v>34.269604172000001</v>
      </c>
      <c r="L13" s="256">
        <v>34.342588751999997</v>
      </c>
      <c r="M13" s="256">
        <v>34.286495162000001</v>
      </c>
      <c r="N13" s="256">
        <v>34.198793232</v>
      </c>
      <c r="O13" s="256">
        <v>34.458932028</v>
      </c>
      <c r="P13" s="256">
        <v>34.561704599999999</v>
      </c>
      <c r="Q13" s="256">
        <v>34.507136053000004</v>
      </c>
      <c r="R13" s="256">
        <v>34.511794809000001</v>
      </c>
      <c r="S13" s="256">
        <v>34.550227980000003</v>
      </c>
      <c r="T13" s="256">
        <v>35.212306468000001</v>
      </c>
      <c r="U13" s="256">
        <v>35.289499141999997</v>
      </c>
      <c r="V13" s="256">
        <v>35.353109619000001</v>
      </c>
      <c r="W13" s="256">
        <v>35.379378965999997</v>
      </c>
      <c r="X13" s="256">
        <v>34.962908614</v>
      </c>
      <c r="Y13" s="256">
        <v>35.275366908000002</v>
      </c>
      <c r="Z13" s="256">
        <v>35.304763543999997</v>
      </c>
      <c r="AA13" s="256">
        <v>35.865088051000001</v>
      </c>
      <c r="AB13" s="256">
        <v>35.457178268</v>
      </c>
      <c r="AC13" s="256">
        <v>34.163382437000003</v>
      </c>
      <c r="AD13" s="256">
        <v>34.293942717</v>
      </c>
      <c r="AE13" s="256">
        <v>34.330133513</v>
      </c>
      <c r="AF13" s="256">
        <v>34.973863598000001</v>
      </c>
      <c r="AG13" s="256">
        <v>35.216278578999997</v>
      </c>
      <c r="AH13" s="256">
        <v>35.348936823000003</v>
      </c>
      <c r="AI13" s="256">
        <v>35.412928340000001</v>
      </c>
      <c r="AJ13" s="256">
        <v>35.122261379000001</v>
      </c>
      <c r="AK13" s="256">
        <v>35.968852169999998</v>
      </c>
      <c r="AL13" s="256">
        <v>36.031462578999999</v>
      </c>
      <c r="AM13" s="256">
        <v>36.287931436000001</v>
      </c>
      <c r="AN13" s="256">
        <v>36.655178495999998</v>
      </c>
      <c r="AO13" s="256">
        <v>36.676675875000001</v>
      </c>
      <c r="AP13" s="256">
        <v>36.932703826999997</v>
      </c>
      <c r="AQ13" s="256">
        <v>36.540169067000001</v>
      </c>
      <c r="AR13" s="256">
        <v>36.653006251000001</v>
      </c>
      <c r="AS13" s="256">
        <v>36.551292551000003</v>
      </c>
      <c r="AT13" s="256">
        <v>36.772343165999999</v>
      </c>
      <c r="AU13" s="256">
        <v>36.458776933000003</v>
      </c>
      <c r="AV13" s="256">
        <v>35.972195403000001</v>
      </c>
      <c r="AW13" s="256">
        <v>35.774501672</v>
      </c>
      <c r="AX13" s="256">
        <v>35.635695380999998</v>
      </c>
      <c r="AY13" s="256">
        <v>35.587270453999999</v>
      </c>
      <c r="AZ13" s="256">
        <v>35.551814436000001</v>
      </c>
      <c r="BA13" s="256">
        <v>35.501550791</v>
      </c>
      <c r="BB13" s="256">
        <v>36.229820234000002</v>
      </c>
      <c r="BC13" s="256">
        <v>36.360494695</v>
      </c>
      <c r="BD13" s="256">
        <v>36.045197201000001</v>
      </c>
      <c r="BE13" s="416">
        <v>36.234130376000003</v>
      </c>
      <c r="BF13" s="416">
        <v>36.470931735000001</v>
      </c>
      <c r="BG13" s="416">
        <v>36.142801165000002</v>
      </c>
      <c r="BH13" s="416">
        <v>35.699377290000001</v>
      </c>
      <c r="BI13" s="416">
        <v>35.750647833000002</v>
      </c>
      <c r="BJ13" s="416">
        <v>35.802038791000001</v>
      </c>
      <c r="BK13" s="416">
        <v>35.855104840999999</v>
      </c>
      <c r="BL13" s="416">
        <v>35.905795861999998</v>
      </c>
      <c r="BM13" s="416">
        <v>35.955689542000002</v>
      </c>
      <c r="BN13" s="416">
        <v>36.040824194999999</v>
      </c>
      <c r="BO13" s="416">
        <v>36.095866915999999</v>
      </c>
      <c r="BP13" s="416">
        <v>36.192056768</v>
      </c>
      <c r="BQ13" s="416">
        <v>35.947621583</v>
      </c>
      <c r="BR13" s="416">
        <v>35.992976034999998</v>
      </c>
      <c r="BS13" s="416">
        <v>36.037235531999997</v>
      </c>
      <c r="BT13" s="416">
        <v>35.461518832000003</v>
      </c>
      <c r="BU13" s="416">
        <v>35.517083474000003</v>
      </c>
      <c r="BV13" s="416">
        <v>35.572458742000002</v>
      </c>
    </row>
    <row r="14" spans="1:74" ht="11.1" customHeight="1">
      <c r="A14" s="163" t="s">
        <v>351</v>
      </c>
      <c r="B14" s="174" t="s">
        <v>329</v>
      </c>
      <c r="C14" s="256">
        <v>28.97351162</v>
      </c>
      <c r="D14" s="256">
        <v>28.89317514</v>
      </c>
      <c r="E14" s="256">
        <v>28.767230139999999</v>
      </c>
      <c r="F14" s="256">
        <v>28.815386830000001</v>
      </c>
      <c r="G14" s="256">
        <v>28.836245699999999</v>
      </c>
      <c r="H14" s="256">
        <v>28.926485</v>
      </c>
      <c r="I14" s="256">
        <v>29.248182440000001</v>
      </c>
      <c r="J14" s="256">
        <v>29.356641060000001</v>
      </c>
      <c r="K14" s="256">
        <v>29.36521342</v>
      </c>
      <c r="L14" s="256">
        <v>29.404778</v>
      </c>
      <c r="M14" s="256">
        <v>29.336944410000001</v>
      </c>
      <c r="N14" s="256">
        <v>29.20975348</v>
      </c>
      <c r="O14" s="256">
        <v>29.413655276</v>
      </c>
      <c r="P14" s="256">
        <v>29.450088848</v>
      </c>
      <c r="Q14" s="256">
        <v>29.328291301</v>
      </c>
      <c r="R14" s="256">
        <v>29.279782056999998</v>
      </c>
      <c r="S14" s="256">
        <v>29.538409833999999</v>
      </c>
      <c r="T14" s="256">
        <v>30.150663322</v>
      </c>
      <c r="U14" s="256">
        <v>30.141758996</v>
      </c>
      <c r="V14" s="256">
        <v>30.154922472999999</v>
      </c>
      <c r="W14" s="256">
        <v>30.149948819999999</v>
      </c>
      <c r="X14" s="256">
        <v>29.687478467999998</v>
      </c>
      <c r="Y14" s="256">
        <v>29.927936762000002</v>
      </c>
      <c r="Z14" s="256">
        <v>29.949333398</v>
      </c>
      <c r="AA14" s="256">
        <v>30.450757905</v>
      </c>
      <c r="AB14" s="256">
        <v>30.030848121999998</v>
      </c>
      <c r="AC14" s="256">
        <v>28.879052291000001</v>
      </c>
      <c r="AD14" s="256">
        <v>28.971612571000001</v>
      </c>
      <c r="AE14" s="256">
        <v>28.993803367000002</v>
      </c>
      <c r="AF14" s="256">
        <v>29.637533452</v>
      </c>
      <c r="AG14" s="256">
        <v>29.884948433000002</v>
      </c>
      <c r="AH14" s="256">
        <v>30.011606677</v>
      </c>
      <c r="AI14" s="256">
        <v>30.065598194</v>
      </c>
      <c r="AJ14" s="256">
        <v>29.764931232999999</v>
      </c>
      <c r="AK14" s="256">
        <v>30.571522024</v>
      </c>
      <c r="AL14" s="256">
        <v>30.624132433</v>
      </c>
      <c r="AM14" s="256">
        <v>30.820601289999999</v>
      </c>
      <c r="AN14" s="256">
        <v>31.172848349999999</v>
      </c>
      <c r="AO14" s="256">
        <v>31.199345729000001</v>
      </c>
      <c r="AP14" s="256">
        <v>31.430373680999999</v>
      </c>
      <c r="AQ14" s="256">
        <v>31.002838920999999</v>
      </c>
      <c r="AR14" s="256">
        <v>31.111676105000001</v>
      </c>
      <c r="AS14" s="256">
        <v>31.007962405000001</v>
      </c>
      <c r="AT14" s="256">
        <v>31.212013020000001</v>
      </c>
      <c r="AU14" s="256">
        <v>30.926446787</v>
      </c>
      <c r="AV14" s="256">
        <v>30.452865256999999</v>
      </c>
      <c r="AW14" s="256">
        <v>30.264171525999998</v>
      </c>
      <c r="AX14" s="256">
        <v>30.083365234999999</v>
      </c>
      <c r="AY14" s="256">
        <v>30.034940307999999</v>
      </c>
      <c r="AZ14" s="256">
        <v>29.98948429</v>
      </c>
      <c r="BA14" s="256">
        <v>29.934220645</v>
      </c>
      <c r="BB14" s="256">
        <v>30.475000000000001</v>
      </c>
      <c r="BC14" s="256">
        <v>30.58</v>
      </c>
      <c r="BD14" s="256">
        <v>30.24</v>
      </c>
      <c r="BE14" s="416">
        <v>30.405000000000001</v>
      </c>
      <c r="BF14" s="416">
        <v>30.63</v>
      </c>
      <c r="BG14" s="416">
        <v>30.27</v>
      </c>
      <c r="BH14" s="416">
        <v>29.81</v>
      </c>
      <c r="BI14" s="416">
        <v>29.844999999999999</v>
      </c>
      <c r="BJ14" s="416">
        <v>29.88</v>
      </c>
      <c r="BK14" s="416">
        <v>29.97</v>
      </c>
      <c r="BL14" s="416">
        <v>30</v>
      </c>
      <c r="BM14" s="416">
        <v>30.03</v>
      </c>
      <c r="BN14" s="416">
        <v>30.094999999999999</v>
      </c>
      <c r="BO14" s="416">
        <v>30.13</v>
      </c>
      <c r="BP14" s="416">
        <v>30.204999999999998</v>
      </c>
      <c r="BQ14" s="416">
        <v>29.94</v>
      </c>
      <c r="BR14" s="416">
        <v>29.965</v>
      </c>
      <c r="BS14" s="416">
        <v>29.99</v>
      </c>
      <c r="BT14" s="416">
        <v>29.395</v>
      </c>
      <c r="BU14" s="416">
        <v>29.43</v>
      </c>
      <c r="BV14" s="416">
        <v>29.465</v>
      </c>
    </row>
    <row r="15" spans="1:74" ht="11.1" customHeight="1">
      <c r="A15" s="163" t="s">
        <v>568</v>
      </c>
      <c r="B15" s="174" t="s">
        <v>279</v>
      </c>
      <c r="C15" s="256">
        <v>4.4090627519999996</v>
      </c>
      <c r="D15" s="256">
        <v>4.4874757519999999</v>
      </c>
      <c r="E15" s="256">
        <v>4.5638127519999996</v>
      </c>
      <c r="F15" s="256">
        <v>4.6636217520000001</v>
      </c>
      <c r="G15" s="256">
        <v>4.7302977520000002</v>
      </c>
      <c r="H15" s="256">
        <v>4.8130997520000003</v>
      </c>
      <c r="I15" s="256">
        <v>4.9028647520000002</v>
      </c>
      <c r="J15" s="256">
        <v>4.9555937520000004</v>
      </c>
      <c r="K15" s="256">
        <v>4.9043907520000003</v>
      </c>
      <c r="L15" s="256">
        <v>4.9378107519999999</v>
      </c>
      <c r="M15" s="256">
        <v>4.9495507520000004</v>
      </c>
      <c r="N15" s="256">
        <v>4.989039752</v>
      </c>
      <c r="O15" s="256">
        <v>5.0452767520000004</v>
      </c>
      <c r="P15" s="256">
        <v>5.1116157519999996</v>
      </c>
      <c r="Q15" s="256">
        <v>5.1788447519999998</v>
      </c>
      <c r="R15" s="256">
        <v>5.2320127520000002</v>
      </c>
      <c r="S15" s="256">
        <v>5.0118181461000004</v>
      </c>
      <c r="T15" s="256">
        <v>5.0616431460999998</v>
      </c>
      <c r="U15" s="256">
        <v>5.1477401461000003</v>
      </c>
      <c r="V15" s="256">
        <v>5.1981871461000004</v>
      </c>
      <c r="W15" s="256">
        <v>5.2294301461000003</v>
      </c>
      <c r="X15" s="256">
        <v>5.2754301460999997</v>
      </c>
      <c r="Y15" s="256">
        <v>5.3474301460999998</v>
      </c>
      <c r="Z15" s="256">
        <v>5.3554301460999998</v>
      </c>
      <c r="AA15" s="256">
        <v>5.4143301461000002</v>
      </c>
      <c r="AB15" s="256">
        <v>5.4263301460999998</v>
      </c>
      <c r="AC15" s="256">
        <v>5.2843301461000003</v>
      </c>
      <c r="AD15" s="256">
        <v>5.3223301460999997</v>
      </c>
      <c r="AE15" s="256">
        <v>5.3363301460999999</v>
      </c>
      <c r="AF15" s="256">
        <v>5.3363301460999999</v>
      </c>
      <c r="AG15" s="256">
        <v>5.3313301461</v>
      </c>
      <c r="AH15" s="256">
        <v>5.3373301461000002</v>
      </c>
      <c r="AI15" s="256">
        <v>5.3473301461</v>
      </c>
      <c r="AJ15" s="256">
        <v>5.3573301460999998</v>
      </c>
      <c r="AK15" s="256">
        <v>5.3973301460999998</v>
      </c>
      <c r="AL15" s="256">
        <v>5.4073301460999996</v>
      </c>
      <c r="AM15" s="256">
        <v>5.4673301461000001</v>
      </c>
      <c r="AN15" s="256">
        <v>5.4823301460999998</v>
      </c>
      <c r="AO15" s="256">
        <v>5.4773301460999999</v>
      </c>
      <c r="AP15" s="256">
        <v>5.5023301461000003</v>
      </c>
      <c r="AQ15" s="256">
        <v>5.5373301461000004</v>
      </c>
      <c r="AR15" s="256">
        <v>5.5413301461</v>
      </c>
      <c r="AS15" s="256">
        <v>5.5433301460999997</v>
      </c>
      <c r="AT15" s="256">
        <v>5.5603301461000001</v>
      </c>
      <c r="AU15" s="256">
        <v>5.5323301460999996</v>
      </c>
      <c r="AV15" s="256">
        <v>5.5193301460999997</v>
      </c>
      <c r="AW15" s="256">
        <v>5.5103301461000003</v>
      </c>
      <c r="AX15" s="256">
        <v>5.5523301461000001</v>
      </c>
      <c r="AY15" s="256">
        <v>5.5523301461000001</v>
      </c>
      <c r="AZ15" s="256">
        <v>5.5623301460999999</v>
      </c>
      <c r="BA15" s="256">
        <v>5.5673301460999998</v>
      </c>
      <c r="BB15" s="256">
        <v>5.7548202336000003</v>
      </c>
      <c r="BC15" s="256">
        <v>5.7804946949999998</v>
      </c>
      <c r="BD15" s="256">
        <v>5.8051972015000004</v>
      </c>
      <c r="BE15" s="416">
        <v>5.8291303759000002</v>
      </c>
      <c r="BF15" s="416">
        <v>5.8409317351999999</v>
      </c>
      <c r="BG15" s="416">
        <v>5.8728011653000003</v>
      </c>
      <c r="BH15" s="416">
        <v>5.8893772900999997</v>
      </c>
      <c r="BI15" s="416">
        <v>5.9056478333999998</v>
      </c>
      <c r="BJ15" s="416">
        <v>5.9220387909000003</v>
      </c>
      <c r="BK15" s="416">
        <v>5.8851048408000004</v>
      </c>
      <c r="BL15" s="416">
        <v>5.9057958619999997</v>
      </c>
      <c r="BM15" s="416">
        <v>5.9256895421999998</v>
      </c>
      <c r="BN15" s="416">
        <v>5.9458241954000002</v>
      </c>
      <c r="BO15" s="416">
        <v>5.9658669158000004</v>
      </c>
      <c r="BP15" s="416">
        <v>5.9870567683000004</v>
      </c>
      <c r="BQ15" s="416">
        <v>6.0076215830999997</v>
      </c>
      <c r="BR15" s="416">
        <v>6.027976035</v>
      </c>
      <c r="BS15" s="416">
        <v>6.0472355323000002</v>
      </c>
      <c r="BT15" s="416">
        <v>6.0665188321999999</v>
      </c>
      <c r="BU15" s="416">
        <v>6.0870834735999999</v>
      </c>
      <c r="BV15" s="416">
        <v>6.1074587418000004</v>
      </c>
    </row>
    <row r="16" spans="1:74" ht="11.1" customHeight="1">
      <c r="A16" s="163" t="s">
        <v>352</v>
      </c>
      <c r="B16" s="174" t="s">
        <v>324</v>
      </c>
      <c r="C16" s="256">
        <v>12.501846197000001</v>
      </c>
      <c r="D16" s="256">
        <v>12.648456197</v>
      </c>
      <c r="E16" s="256">
        <v>12.646515196999999</v>
      </c>
      <c r="F16" s="256">
        <v>12.879193196999999</v>
      </c>
      <c r="G16" s="256">
        <v>12.802138197</v>
      </c>
      <c r="H16" s="256">
        <v>12.934091197000001</v>
      </c>
      <c r="I16" s="256">
        <v>12.966347196999999</v>
      </c>
      <c r="J16" s="256">
        <v>12.919386197</v>
      </c>
      <c r="K16" s="256">
        <v>13.059347196999999</v>
      </c>
      <c r="L16" s="256">
        <v>13.135938197</v>
      </c>
      <c r="M16" s="256">
        <v>13.152064197</v>
      </c>
      <c r="N16" s="256">
        <v>13.039741197</v>
      </c>
      <c r="O16" s="256">
        <v>13.040605197</v>
      </c>
      <c r="P16" s="256">
        <v>13.107956197</v>
      </c>
      <c r="Q16" s="256">
        <v>13.166576196999999</v>
      </c>
      <c r="R16" s="256">
        <v>13.139932197</v>
      </c>
      <c r="S16" s="256">
        <v>13.213035847</v>
      </c>
      <c r="T16" s="256">
        <v>13.215596557</v>
      </c>
      <c r="U16" s="256">
        <v>13.268588783</v>
      </c>
      <c r="V16" s="256">
        <v>13.213534299000001</v>
      </c>
      <c r="W16" s="256">
        <v>13.24543409</v>
      </c>
      <c r="X16" s="256">
        <v>13.391864396000001</v>
      </c>
      <c r="Y16" s="256">
        <v>13.328675423</v>
      </c>
      <c r="Z16" s="256">
        <v>13.276807557</v>
      </c>
      <c r="AA16" s="256">
        <v>13.362287299</v>
      </c>
      <c r="AB16" s="256">
        <v>13.358838950000001</v>
      </c>
      <c r="AC16" s="256">
        <v>13.340891105000001</v>
      </c>
      <c r="AD16" s="256">
        <v>13.370303623</v>
      </c>
      <c r="AE16" s="256">
        <v>13.380183557000001</v>
      </c>
      <c r="AF16" s="256">
        <v>13.321449957</v>
      </c>
      <c r="AG16" s="256">
        <v>13.391434621</v>
      </c>
      <c r="AH16" s="256">
        <v>13.312870846999999</v>
      </c>
      <c r="AI16" s="256">
        <v>13.051250023</v>
      </c>
      <c r="AJ16" s="256">
        <v>13.38278446</v>
      </c>
      <c r="AK16" s="256">
        <v>13.120787722999999</v>
      </c>
      <c r="AL16" s="256">
        <v>13.398924041000001</v>
      </c>
      <c r="AM16" s="256">
        <v>13.421328557000001</v>
      </c>
      <c r="AN16" s="256">
        <v>13.421943557000001</v>
      </c>
      <c r="AO16" s="256">
        <v>13.425555556999999</v>
      </c>
      <c r="AP16" s="256">
        <v>13.351562556999999</v>
      </c>
      <c r="AQ16" s="256">
        <v>13.358529557000001</v>
      </c>
      <c r="AR16" s="256">
        <v>13.357862557000001</v>
      </c>
      <c r="AS16" s="256">
        <v>13.382755556999999</v>
      </c>
      <c r="AT16" s="256">
        <v>13.351115557</v>
      </c>
      <c r="AU16" s="256">
        <v>13.334011557</v>
      </c>
      <c r="AV16" s="256">
        <v>13.397121557</v>
      </c>
      <c r="AW16" s="256">
        <v>13.536928557</v>
      </c>
      <c r="AX16" s="256">
        <v>13.532846556999999</v>
      </c>
      <c r="AY16" s="256">
        <v>13.521029557</v>
      </c>
      <c r="AZ16" s="256">
        <v>13.532767557</v>
      </c>
      <c r="BA16" s="256">
        <v>13.535796556999999</v>
      </c>
      <c r="BB16" s="256">
        <v>13.534569488000001</v>
      </c>
      <c r="BC16" s="256">
        <v>13.371616543</v>
      </c>
      <c r="BD16" s="256">
        <v>13.373191201999999</v>
      </c>
      <c r="BE16" s="416">
        <v>13.222105482</v>
      </c>
      <c r="BF16" s="416">
        <v>12.971536285999999</v>
      </c>
      <c r="BG16" s="416">
        <v>13.106589746999999</v>
      </c>
      <c r="BH16" s="416">
        <v>13.345402228999999</v>
      </c>
      <c r="BI16" s="416">
        <v>13.339436976</v>
      </c>
      <c r="BJ16" s="416">
        <v>13.366224373</v>
      </c>
      <c r="BK16" s="416">
        <v>13.331550674000001</v>
      </c>
      <c r="BL16" s="416">
        <v>13.325116034000001</v>
      </c>
      <c r="BM16" s="416">
        <v>13.319315179</v>
      </c>
      <c r="BN16" s="416">
        <v>13.323271347</v>
      </c>
      <c r="BO16" s="416">
        <v>13.337387701999999</v>
      </c>
      <c r="BP16" s="416">
        <v>13.332315019999999</v>
      </c>
      <c r="BQ16" s="416">
        <v>13.382316549</v>
      </c>
      <c r="BR16" s="416">
        <v>13.396983784</v>
      </c>
      <c r="BS16" s="416">
        <v>13.384553110000001</v>
      </c>
      <c r="BT16" s="416">
        <v>13.401105539</v>
      </c>
      <c r="BU16" s="416">
        <v>13.404681256</v>
      </c>
      <c r="BV16" s="416">
        <v>13.484640647000001</v>
      </c>
    </row>
    <row r="17" spans="1:74" ht="11.1" customHeight="1">
      <c r="A17" s="163" t="s">
        <v>353</v>
      </c>
      <c r="B17" s="174" t="s">
        <v>325</v>
      </c>
      <c r="C17" s="256">
        <v>3.9478356059999999</v>
      </c>
      <c r="D17" s="256">
        <v>3.925535606</v>
      </c>
      <c r="E17" s="256">
        <v>3.918635606</v>
      </c>
      <c r="F17" s="256">
        <v>3.9870356060000001</v>
      </c>
      <c r="G17" s="256">
        <v>3.9677356060000002</v>
      </c>
      <c r="H17" s="256">
        <v>4.0162356060000004</v>
      </c>
      <c r="I17" s="256">
        <v>3.993935606</v>
      </c>
      <c r="J17" s="256">
        <v>4.0361356060000002</v>
      </c>
      <c r="K17" s="256">
        <v>4.0186356060000001</v>
      </c>
      <c r="L17" s="256">
        <v>4.020235606</v>
      </c>
      <c r="M17" s="256">
        <v>4.0054356059999998</v>
      </c>
      <c r="N17" s="256">
        <v>4.0550686059999999</v>
      </c>
      <c r="O17" s="256">
        <v>4.1977599999999997</v>
      </c>
      <c r="P17" s="256">
        <v>4.16676</v>
      </c>
      <c r="Q17" s="256">
        <v>4.19956</v>
      </c>
      <c r="R17" s="256">
        <v>4.1798599999999997</v>
      </c>
      <c r="S17" s="256">
        <v>4.3182600000000004</v>
      </c>
      <c r="T17" s="256">
        <v>4.3749599999999997</v>
      </c>
      <c r="U17" s="256">
        <v>4.3293600000000003</v>
      </c>
      <c r="V17" s="256">
        <v>4.3736600000000001</v>
      </c>
      <c r="W17" s="256">
        <v>4.45716</v>
      </c>
      <c r="X17" s="256">
        <v>4.4553599999999998</v>
      </c>
      <c r="Y17" s="256">
        <v>4.5503600000000004</v>
      </c>
      <c r="Z17" s="256">
        <v>4.3956600000000003</v>
      </c>
      <c r="AA17" s="256">
        <v>4.51126</v>
      </c>
      <c r="AB17" s="256">
        <v>4.4621599999999999</v>
      </c>
      <c r="AC17" s="256">
        <v>4.4335599999999999</v>
      </c>
      <c r="AD17" s="256">
        <v>4.4010600000000002</v>
      </c>
      <c r="AE17" s="256">
        <v>4.3793600000000001</v>
      </c>
      <c r="AF17" s="256">
        <v>4.2910599999999999</v>
      </c>
      <c r="AG17" s="256">
        <v>4.2294600000000004</v>
      </c>
      <c r="AH17" s="256">
        <v>4.3003600000000004</v>
      </c>
      <c r="AI17" s="256">
        <v>4.2210599999999996</v>
      </c>
      <c r="AJ17" s="256">
        <v>4.1643600000000003</v>
      </c>
      <c r="AK17" s="256">
        <v>4.25176</v>
      </c>
      <c r="AL17" s="256">
        <v>4.2730600000000001</v>
      </c>
      <c r="AM17" s="256">
        <v>4.2948599999999999</v>
      </c>
      <c r="AN17" s="256">
        <v>4.2582599999999999</v>
      </c>
      <c r="AO17" s="256">
        <v>4.2877599999999996</v>
      </c>
      <c r="AP17" s="256">
        <v>4.3832599999999999</v>
      </c>
      <c r="AQ17" s="256">
        <v>4.3775599999999999</v>
      </c>
      <c r="AR17" s="256">
        <v>4.2878600000000002</v>
      </c>
      <c r="AS17" s="256">
        <v>4.28226</v>
      </c>
      <c r="AT17" s="256">
        <v>4.40036</v>
      </c>
      <c r="AU17" s="256">
        <v>4.5150600000000001</v>
      </c>
      <c r="AV17" s="256">
        <v>4.4893599999999996</v>
      </c>
      <c r="AW17" s="256">
        <v>4.5045599999999997</v>
      </c>
      <c r="AX17" s="256">
        <v>4.4963600000000001</v>
      </c>
      <c r="AY17" s="256">
        <v>4.4488599999999998</v>
      </c>
      <c r="AZ17" s="256">
        <v>4.4271599999999998</v>
      </c>
      <c r="BA17" s="256">
        <v>4.4443599999999996</v>
      </c>
      <c r="BB17" s="256">
        <v>4.4772551182000004</v>
      </c>
      <c r="BC17" s="256">
        <v>4.5308958555999999</v>
      </c>
      <c r="BD17" s="256">
        <v>4.5709344840000004</v>
      </c>
      <c r="BE17" s="416">
        <v>4.5510043862999998</v>
      </c>
      <c r="BF17" s="416">
        <v>4.5528835163999997</v>
      </c>
      <c r="BG17" s="416">
        <v>4.5517698443999999</v>
      </c>
      <c r="BH17" s="416">
        <v>4.5570548508000002</v>
      </c>
      <c r="BI17" s="416">
        <v>4.5709777146999997</v>
      </c>
      <c r="BJ17" s="416">
        <v>4.5423520030000004</v>
      </c>
      <c r="BK17" s="416">
        <v>4.5294530512</v>
      </c>
      <c r="BL17" s="416">
        <v>4.5501102405999996</v>
      </c>
      <c r="BM17" s="416">
        <v>4.5456063106000002</v>
      </c>
      <c r="BN17" s="416">
        <v>4.5420304217999998</v>
      </c>
      <c r="BO17" s="416">
        <v>4.5723106827000004</v>
      </c>
      <c r="BP17" s="416">
        <v>4.5935523919000003</v>
      </c>
      <c r="BQ17" s="416">
        <v>4.5763624013999999</v>
      </c>
      <c r="BR17" s="416">
        <v>4.5732823488000003</v>
      </c>
      <c r="BS17" s="416">
        <v>4.5747705374000001</v>
      </c>
      <c r="BT17" s="416">
        <v>4.5813266276000002</v>
      </c>
      <c r="BU17" s="416">
        <v>4.5958644342000001</v>
      </c>
      <c r="BV17" s="416">
        <v>4.5677194627000004</v>
      </c>
    </row>
    <row r="18" spans="1:74" ht="11.1" customHeight="1">
      <c r="A18" s="163" t="s">
        <v>354</v>
      </c>
      <c r="B18" s="174" t="s">
        <v>327</v>
      </c>
      <c r="C18" s="256">
        <v>12.322835376</v>
      </c>
      <c r="D18" s="256">
        <v>12.477391119</v>
      </c>
      <c r="E18" s="256">
        <v>12.524871845</v>
      </c>
      <c r="F18" s="256">
        <v>12.445349851</v>
      </c>
      <c r="G18" s="256">
        <v>12.455917827</v>
      </c>
      <c r="H18" s="256">
        <v>12.436975491</v>
      </c>
      <c r="I18" s="256">
        <v>12.42501744</v>
      </c>
      <c r="J18" s="256">
        <v>12.433548501000001</v>
      </c>
      <c r="K18" s="256">
        <v>12.606594331</v>
      </c>
      <c r="L18" s="256">
        <v>12.583641261</v>
      </c>
      <c r="M18" s="256">
        <v>12.521988010999999</v>
      </c>
      <c r="N18" s="256">
        <v>12.679654920999999</v>
      </c>
      <c r="O18" s="256">
        <v>12.30804534</v>
      </c>
      <c r="P18" s="256">
        <v>12.383293134000001</v>
      </c>
      <c r="Q18" s="256">
        <v>12.376978206</v>
      </c>
      <c r="R18" s="256">
        <v>12.818173721999999</v>
      </c>
      <c r="S18" s="256">
        <v>13.258428645</v>
      </c>
      <c r="T18" s="256">
        <v>13.348125049</v>
      </c>
      <c r="U18" s="256">
        <v>13.390217541</v>
      </c>
      <c r="V18" s="256">
        <v>13.515349737999999</v>
      </c>
      <c r="W18" s="256">
        <v>13.389088007</v>
      </c>
      <c r="X18" s="256">
        <v>13.048506133</v>
      </c>
      <c r="Y18" s="256">
        <v>13.112453699</v>
      </c>
      <c r="Z18" s="256">
        <v>12.864565053</v>
      </c>
      <c r="AA18" s="256">
        <v>12.725573066999999</v>
      </c>
      <c r="AB18" s="256">
        <v>12.696935928</v>
      </c>
      <c r="AC18" s="256">
        <v>12.685892922000001</v>
      </c>
      <c r="AD18" s="256">
        <v>12.509515333</v>
      </c>
      <c r="AE18" s="256">
        <v>12.887505114</v>
      </c>
      <c r="AF18" s="256">
        <v>13.108881</v>
      </c>
      <c r="AG18" s="256">
        <v>13.120703855</v>
      </c>
      <c r="AH18" s="256">
        <v>13.288021232</v>
      </c>
      <c r="AI18" s="256">
        <v>13.221642609</v>
      </c>
      <c r="AJ18" s="256">
        <v>12.897077762</v>
      </c>
      <c r="AK18" s="256">
        <v>12.90045245</v>
      </c>
      <c r="AL18" s="256">
        <v>12.674236384</v>
      </c>
      <c r="AM18" s="256">
        <v>12.510421405000001</v>
      </c>
      <c r="AN18" s="256">
        <v>12.11686031</v>
      </c>
      <c r="AO18" s="256">
        <v>12.034884277</v>
      </c>
      <c r="AP18" s="256">
        <v>12.016362901999999</v>
      </c>
      <c r="AQ18" s="256">
        <v>12.361814429000001</v>
      </c>
      <c r="AR18" s="256">
        <v>12.398061335</v>
      </c>
      <c r="AS18" s="256">
        <v>12.59316418</v>
      </c>
      <c r="AT18" s="256">
        <v>12.645344691</v>
      </c>
      <c r="AU18" s="256">
        <v>12.540638274000001</v>
      </c>
      <c r="AV18" s="256">
        <v>12.612529386</v>
      </c>
      <c r="AW18" s="256">
        <v>12.500841936</v>
      </c>
      <c r="AX18" s="256">
        <v>12.350944649000001</v>
      </c>
      <c r="AY18" s="256">
        <v>12.094314283999999</v>
      </c>
      <c r="AZ18" s="256">
        <v>12.000644532999999</v>
      </c>
      <c r="BA18" s="256">
        <v>11.777984222000001</v>
      </c>
      <c r="BB18" s="256">
        <v>11.987312694</v>
      </c>
      <c r="BC18" s="256">
        <v>12.615684163999999</v>
      </c>
      <c r="BD18" s="256">
        <v>12.910291419</v>
      </c>
      <c r="BE18" s="416">
        <v>12.925187322999999</v>
      </c>
      <c r="BF18" s="416">
        <v>12.998601946999999</v>
      </c>
      <c r="BG18" s="416">
        <v>13.09658681</v>
      </c>
      <c r="BH18" s="416">
        <v>12.805451751</v>
      </c>
      <c r="BI18" s="416">
        <v>12.653201426000001</v>
      </c>
      <c r="BJ18" s="416">
        <v>12.365106840999999</v>
      </c>
      <c r="BK18" s="416">
        <v>12.433209722000001</v>
      </c>
      <c r="BL18" s="416">
        <v>12.435718892000001</v>
      </c>
      <c r="BM18" s="416">
        <v>12.462390078</v>
      </c>
      <c r="BN18" s="416">
        <v>12.602440531999999</v>
      </c>
      <c r="BO18" s="416">
        <v>13.083400823</v>
      </c>
      <c r="BP18" s="416">
        <v>13.230714588</v>
      </c>
      <c r="BQ18" s="416">
        <v>13.259572888999999</v>
      </c>
      <c r="BR18" s="416">
        <v>13.3363599</v>
      </c>
      <c r="BS18" s="416">
        <v>13.442142807</v>
      </c>
      <c r="BT18" s="416">
        <v>13.134866168</v>
      </c>
      <c r="BU18" s="416">
        <v>12.979940275000001</v>
      </c>
      <c r="BV18" s="416">
        <v>12.673849229</v>
      </c>
    </row>
    <row r="19" spans="1:74" ht="11.1" customHeight="1">
      <c r="A19" s="163" t="s">
        <v>356</v>
      </c>
      <c r="B19" s="174" t="s">
        <v>699</v>
      </c>
      <c r="C19" s="256">
        <v>83.135519951999996</v>
      </c>
      <c r="D19" s="256">
        <v>83.795406080999996</v>
      </c>
      <c r="E19" s="256">
        <v>83.712040360000003</v>
      </c>
      <c r="F19" s="256">
        <v>83.791742884000001</v>
      </c>
      <c r="G19" s="256">
        <v>83.491021966999995</v>
      </c>
      <c r="H19" s="256">
        <v>83.796755360999995</v>
      </c>
      <c r="I19" s="256">
        <v>84.855134254999996</v>
      </c>
      <c r="J19" s="256">
        <v>84.405973322999998</v>
      </c>
      <c r="K19" s="256">
        <v>84.937589954000003</v>
      </c>
      <c r="L19" s="256">
        <v>85.399208506999997</v>
      </c>
      <c r="M19" s="256">
        <v>85.467646956999999</v>
      </c>
      <c r="N19" s="256">
        <v>85.310160099000001</v>
      </c>
      <c r="O19" s="256">
        <v>85.264239739999994</v>
      </c>
      <c r="P19" s="256">
        <v>85.793467626999998</v>
      </c>
      <c r="Q19" s="256">
        <v>85.939598662999998</v>
      </c>
      <c r="R19" s="256">
        <v>86.214137710000003</v>
      </c>
      <c r="S19" s="256">
        <v>86.954029591999998</v>
      </c>
      <c r="T19" s="256">
        <v>87.103669194000005</v>
      </c>
      <c r="U19" s="256">
        <v>87.476329101000005</v>
      </c>
      <c r="V19" s="256">
        <v>87.515232549999993</v>
      </c>
      <c r="W19" s="256">
        <v>87.656243183000001</v>
      </c>
      <c r="X19" s="256">
        <v>87.486221099999995</v>
      </c>
      <c r="Y19" s="256">
        <v>88.152906815999998</v>
      </c>
      <c r="Z19" s="256">
        <v>87.932526269999997</v>
      </c>
      <c r="AA19" s="256">
        <v>88.233433409</v>
      </c>
      <c r="AB19" s="256">
        <v>87.040878230000004</v>
      </c>
      <c r="AC19" s="256">
        <v>86.207385350999999</v>
      </c>
      <c r="AD19" s="256">
        <v>86.139135386999996</v>
      </c>
      <c r="AE19" s="256">
        <v>86.018667410999996</v>
      </c>
      <c r="AF19" s="256">
        <v>86.800277371999996</v>
      </c>
      <c r="AG19" s="256">
        <v>87.189249075999996</v>
      </c>
      <c r="AH19" s="256">
        <v>87.817725568</v>
      </c>
      <c r="AI19" s="256">
        <v>87.193681455999993</v>
      </c>
      <c r="AJ19" s="256">
        <v>87.648390621999994</v>
      </c>
      <c r="AK19" s="256">
        <v>88.656140827000002</v>
      </c>
      <c r="AL19" s="256">
        <v>88.956227315000007</v>
      </c>
      <c r="AM19" s="256">
        <v>89.002831551</v>
      </c>
      <c r="AN19" s="256">
        <v>89.321076199000004</v>
      </c>
      <c r="AO19" s="256">
        <v>88.916022669</v>
      </c>
      <c r="AP19" s="256">
        <v>89.342124202999997</v>
      </c>
      <c r="AQ19" s="256">
        <v>89.131617431999999</v>
      </c>
      <c r="AR19" s="256">
        <v>88.913040726000006</v>
      </c>
      <c r="AS19" s="256">
        <v>89.097055859999998</v>
      </c>
      <c r="AT19" s="256">
        <v>89.311500921999993</v>
      </c>
      <c r="AU19" s="256">
        <v>88.657690346999999</v>
      </c>
      <c r="AV19" s="256">
        <v>89.063459757000004</v>
      </c>
      <c r="AW19" s="256">
        <v>89.514122748000005</v>
      </c>
      <c r="AX19" s="256">
        <v>89.461989611000007</v>
      </c>
      <c r="AY19" s="256">
        <v>88.700651706000002</v>
      </c>
      <c r="AZ19" s="256">
        <v>88.460055420000003</v>
      </c>
      <c r="BA19" s="256">
        <v>88.508844865</v>
      </c>
      <c r="BB19" s="256">
        <v>89.691554280999995</v>
      </c>
      <c r="BC19" s="256">
        <v>90.129872872000007</v>
      </c>
      <c r="BD19" s="256">
        <v>90.031827785000004</v>
      </c>
      <c r="BE19" s="416">
        <v>90.333102857</v>
      </c>
      <c r="BF19" s="416">
        <v>90.552241789000007</v>
      </c>
      <c r="BG19" s="416">
        <v>90.480610386999999</v>
      </c>
      <c r="BH19" s="416">
        <v>90.478805278999999</v>
      </c>
      <c r="BI19" s="416">
        <v>90.601928873999995</v>
      </c>
      <c r="BJ19" s="416">
        <v>90.599574477999994</v>
      </c>
      <c r="BK19" s="416">
        <v>90.391281558000003</v>
      </c>
      <c r="BL19" s="416">
        <v>90.573140682000002</v>
      </c>
      <c r="BM19" s="416">
        <v>90.829335455999995</v>
      </c>
      <c r="BN19" s="416">
        <v>91.043039964000002</v>
      </c>
      <c r="BO19" s="416">
        <v>91.596270343</v>
      </c>
      <c r="BP19" s="416">
        <v>91.844075634000006</v>
      </c>
      <c r="BQ19" s="416">
        <v>91.791685439000005</v>
      </c>
      <c r="BR19" s="416">
        <v>92.016639064000003</v>
      </c>
      <c r="BS19" s="416">
        <v>92.158285698</v>
      </c>
      <c r="BT19" s="416">
        <v>91.409365937999993</v>
      </c>
      <c r="BU19" s="416">
        <v>91.586463871000007</v>
      </c>
      <c r="BV19" s="416">
        <v>91.622039126000004</v>
      </c>
    </row>
    <row r="20" spans="1:74" ht="11.1" customHeight="1">
      <c r="B20" s="174"/>
      <c r="C20" s="256"/>
      <c r="D20" s="256"/>
      <c r="E20" s="256"/>
      <c r="F20" s="256"/>
      <c r="G20" s="256"/>
      <c r="H20" s="256"/>
      <c r="I20" s="256"/>
      <c r="J20" s="256"/>
      <c r="K20" s="256"/>
      <c r="L20" s="256"/>
      <c r="M20" s="256"/>
      <c r="N20" s="256"/>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6"/>
      <c r="BD20" s="256"/>
      <c r="BE20" s="416"/>
      <c r="BF20" s="416"/>
      <c r="BG20" s="416"/>
      <c r="BH20" s="416"/>
      <c r="BI20" s="416"/>
      <c r="BJ20" s="416"/>
      <c r="BK20" s="416"/>
      <c r="BL20" s="416"/>
      <c r="BM20" s="416"/>
      <c r="BN20" s="416"/>
      <c r="BO20" s="416"/>
      <c r="BP20" s="416"/>
      <c r="BQ20" s="416"/>
      <c r="BR20" s="416"/>
      <c r="BS20" s="416"/>
      <c r="BT20" s="416"/>
      <c r="BU20" s="416"/>
      <c r="BV20" s="416"/>
    </row>
    <row r="21" spans="1:74" ht="11.1" customHeight="1">
      <c r="A21" s="163" t="s">
        <v>569</v>
      </c>
      <c r="B21" s="174" t="s">
        <v>700</v>
      </c>
      <c r="C21" s="256">
        <v>49.752945580000002</v>
      </c>
      <c r="D21" s="256">
        <v>50.414755188999997</v>
      </c>
      <c r="E21" s="256">
        <v>50.380997467999997</v>
      </c>
      <c r="F21" s="256">
        <v>50.312734302000003</v>
      </c>
      <c r="G21" s="256">
        <v>49.924478514999997</v>
      </c>
      <c r="H21" s="256">
        <v>50.057170609000003</v>
      </c>
      <c r="I21" s="256">
        <v>50.704087063000003</v>
      </c>
      <c r="J21" s="256">
        <v>50.093738510999998</v>
      </c>
      <c r="K21" s="256">
        <v>50.667985782000002</v>
      </c>
      <c r="L21" s="256">
        <v>51.056619755</v>
      </c>
      <c r="M21" s="256">
        <v>51.181151794999998</v>
      </c>
      <c r="N21" s="256">
        <v>51.111366867000001</v>
      </c>
      <c r="O21" s="256">
        <v>50.805307712000001</v>
      </c>
      <c r="P21" s="256">
        <v>51.231763027</v>
      </c>
      <c r="Q21" s="256">
        <v>51.432462610000002</v>
      </c>
      <c r="R21" s="256">
        <v>51.702342901000002</v>
      </c>
      <c r="S21" s="256">
        <v>52.403801612000002</v>
      </c>
      <c r="T21" s="256">
        <v>51.891362725999997</v>
      </c>
      <c r="U21" s="256">
        <v>52.186829959000001</v>
      </c>
      <c r="V21" s="256">
        <v>52.162122930999999</v>
      </c>
      <c r="W21" s="256">
        <v>52.276864217000004</v>
      </c>
      <c r="X21" s="256">
        <v>52.523312486000002</v>
      </c>
      <c r="Y21" s="256">
        <v>52.877539908000003</v>
      </c>
      <c r="Z21" s="256">
        <v>52.627762724999997</v>
      </c>
      <c r="AA21" s="256">
        <v>52.368345357999999</v>
      </c>
      <c r="AB21" s="256">
        <v>51.583699961000001</v>
      </c>
      <c r="AC21" s="256">
        <v>52.044002913</v>
      </c>
      <c r="AD21" s="256">
        <v>51.845192668999999</v>
      </c>
      <c r="AE21" s="256">
        <v>51.688533898000003</v>
      </c>
      <c r="AF21" s="256">
        <v>51.826413772999999</v>
      </c>
      <c r="AG21" s="256">
        <v>51.972970496999999</v>
      </c>
      <c r="AH21" s="256">
        <v>52.468788744999998</v>
      </c>
      <c r="AI21" s="256">
        <v>51.780753116</v>
      </c>
      <c r="AJ21" s="256">
        <v>52.526129243</v>
      </c>
      <c r="AK21" s="256">
        <v>52.687288657000003</v>
      </c>
      <c r="AL21" s="256">
        <v>52.924764736</v>
      </c>
      <c r="AM21" s="256">
        <v>52.714900114999999</v>
      </c>
      <c r="AN21" s="256">
        <v>52.665897702999999</v>
      </c>
      <c r="AO21" s="256">
        <v>52.239346793000003</v>
      </c>
      <c r="AP21" s="256">
        <v>52.409420375000003</v>
      </c>
      <c r="AQ21" s="256">
        <v>52.591448364999998</v>
      </c>
      <c r="AR21" s="256">
        <v>52.260034474999998</v>
      </c>
      <c r="AS21" s="256">
        <v>52.545763309000002</v>
      </c>
      <c r="AT21" s="256">
        <v>52.539157756000002</v>
      </c>
      <c r="AU21" s="256">
        <v>52.198913414000003</v>
      </c>
      <c r="AV21" s="256">
        <v>53.091264354000003</v>
      </c>
      <c r="AW21" s="256">
        <v>53.739621075999999</v>
      </c>
      <c r="AX21" s="256">
        <v>53.826294230000002</v>
      </c>
      <c r="AY21" s="256">
        <v>53.113381252000003</v>
      </c>
      <c r="AZ21" s="256">
        <v>52.908240984000003</v>
      </c>
      <c r="BA21" s="256">
        <v>53.007294072999997</v>
      </c>
      <c r="BB21" s="256">
        <v>53.461734047</v>
      </c>
      <c r="BC21" s="256">
        <v>53.769378177</v>
      </c>
      <c r="BD21" s="256">
        <v>53.986630583999997</v>
      </c>
      <c r="BE21" s="416">
        <v>54.098972480999997</v>
      </c>
      <c r="BF21" s="416">
        <v>54.081310053999999</v>
      </c>
      <c r="BG21" s="416">
        <v>54.337809221999997</v>
      </c>
      <c r="BH21" s="416">
        <v>54.779427988999998</v>
      </c>
      <c r="BI21" s="416">
        <v>54.851281041</v>
      </c>
      <c r="BJ21" s="416">
        <v>54.797535687</v>
      </c>
      <c r="BK21" s="416">
        <v>54.536176716999996</v>
      </c>
      <c r="BL21" s="416">
        <v>54.667344819999997</v>
      </c>
      <c r="BM21" s="416">
        <v>54.873645914000001</v>
      </c>
      <c r="BN21" s="416">
        <v>55.002215767999999</v>
      </c>
      <c r="BO21" s="416">
        <v>55.500403427000002</v>
      </c>
      <c r="BP21" s="416">
        <v>55.652018865000002</v>
      </c>
      <c r="BQ21" s="416">
        <v>55.844063855999998</v>
      </c>
      <c r="BR21" s="416">
        <v>56.023663028999998</v>
      </c>
      <c r="BS21" s="416">
        <v>56.121050165</v>
      </c>
      <c r="BT21" s="416">
        <v>55.947847105000001</v>
      </c>
      <c r="BU21" s="416">
        <v>56.069380398</v>
      </c>
      <c r="BV21" s="416">
        <v>56.049580384000002</v>
      </c>
    </row>
    <row r="22" spans="1:74" ht="11.1" customHeight="1">
      <c r="C22" s="226"/>
      <c r="D22" s="22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644"/>
      <c r="AZ22" s="644"/>
      <c r="BA22" s="644"/>
      <c r="BB22" s="644"/>
      <c r="BC22" s="644"/>
      <c r="BD22" s="644"/>
      <c r="BE22" s="502"/>
      <c r="BF22" s="502"/>
      <c r="BG22" s="502"/>
      <c r="BH22" s="502"/>
      <c r="BI22" s="502"/>
      <c r="BJ22" s="502"/>
      <c r="BK22" s="417"/>
      <c r="BL22" s="417"/>
      <c r="BM22" s="417"/>
      <c r="BN22" s="417"/>
      <c r="BO22" s="417"/>
      <c r="BP22" s="417"/>
      <c r="BQ22" s="417"/>
      <c r="BR22" s="417"/>
      <c r="BS22" s="417"/>
      <c r="BT22" s="417"/>
      <c r="BU22" s="417"/>
      <c r="BV22" s="417"/>
    </row>
    <row r="23" spans="1:74" ht="11.1" customHeight="1">
      <c r="B23" s="258" t="s">
        <v>1256</v>
      </c>
      <c r="C23" s="256"/>
      <c r="D23" s="256"/>
      <c r="E23" s="256"/>
      <c r="F23" s="256"/>
      <c r="G23" s="256"/>
      <c r="H23" s="256"/>
      <c r="I23" s="256"/>
      <c r="J23" s="256"/>
      <c r="K23" s="256"/>
      <c r="L23" s="256"/>
      <c r="M23" s="256"/>
      <c r="N23" s="256"/>
      <c r="O23" s="256"/>
      <c r="P23" s="256"/>
      <c r="Q23" s="25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6"/>
      <c r="BD23" s="256"/>
      <c r="BE23" s="416"/>
      <c r="BF23" s="416"/>
      <c r="BG23" s="416"/>
      <c r="BH23" s="416"/>
      <c r="BI23" s="416"/>
      <c r="BJ23" s="416"/>
      <c r="BK23" s="416"/>
      <c r="BL23" s="416"/>
      <c r="BM23" s="416"/>
      <c r="BN23" s="416"/>
      <c r="BO23" s="416"/>
      <c r="BP23" s="416"/>
      <c r="BQ23" s="416"/>
      <c r="BR23" s="416"/>
      <c r="BS23" s="416"/>
      <c r="BT23" s="416"/>
      <c r="BU23" s="416"/>
      <c r="BV23" s="416"/>
    </row>
    <row r="24" spans="1:74" ht="11.1" customHeight="1">
      <c r="A24" s="163" t="s">
        <v>336</v>
      </c>
      <c r="B24" s="174" t="s">
        <v>292</v>
      </c>
      <c r="C24" s="256">
        <v>47.321625150000003</v>
      </c>
      <c r="D24" s="256">
        <v>47.59356185</v>
      </c>
      <c r="E24" s="256">
        <v>46.999582949999997</v>
      </c>
      <c r="F24" s="256">
        <v>45.962344010000002</v>
      </c>
      <c r="G24" s="256">
        <v>44.308022010000002</v>
      </c>
      <c r="H24" s="256">
        <v>45.971395510000001</v>
      </c>
      <c r="I24" s="256">
        <v>45.850844610000003</v>
      </c>
      <c r="J24" s="256">
        <v>45.39690581</v>
      </c>
      <c r="K24" s="256">
        <v>46.215911810000001</v>
      </c>
      <c r="L24" s="256">
        <v>46.46151141</v>
      </c>
      <c r="M24" s="256">
        <v>46.043697510000001</v>
      </c>
      <c r="N24" s="256">
        <v>47.713326309999999</v>
      </c>
      <c r="O24" s="256">
        <v>45.512930619999999</v>
      </c>
      <c r="P24" s="256">
        <v>47.53459522</v>
      </c>
      <c r="Q24" s="256">
        <v>47.318425920000003</v>
      </c>
      <c r="R24" s="256">
        <v>46.249371019999998</v>
      </c>
      <c r="S24" s="256">
        <v>45.102272419999998</v>
      </c>
      <c r="T24" s="256">
        <v>46.993121619999997</v>
      </c>
      <c r="U24" s="256">
        <v>46.896447019999997</v>
      </c>
      <c r="V24" s="256">
        <v>47.389036419999996</v>
      </c>
      <c r="W24" s="256">
        <v>47.888361119999999</v>
      </c>
      <c r="X24" s="256">
        <v>46.530302020000001</v>
      </c>
      <c r="Y24" s="256">
        <v>47.443739819999998</v>
      </c>
      <c r="Z24" s="256">
        <v>48.398321019999997</v>
      </c>
      <c r="AA24" s="256">
        <v>46.151854763999999</v>
      </c>
      <c r="AB24" s="256">
        <v>47.791341963999997</v>
      </c>
      <c r="AC24" s="256">
        <v>47.168610563999998</v>
      </c>
      <c r="AD24" s="256">
        <v>45.074225763999998</v>
      </c>
      <c r="AE24" s="256">
        <v>44.783377964000003</v>
      </c>
      <c r="AF24" s="256">
        <v>46.407701864000003</v>
      </c>
      <c r="AG24" s="256">
        <v>46.230093463999999</v>
      </c>
      <c r="AH24" s="256">
        <v>47.674132063999998</v>
      </c>
      <c r="AI24" s="256">
        <v>46.964613864</v>
      </c>
      <c r="AJ24" s="256">
        <v>46.185092963999999</v>
      </c>
      <c r="AK24" s="256">
        <v>46.735145664000001</v>
      </c>
      <c r="AL24" s="256">
        <v>47.202346863999999</v>
      </c>
      <c r="AM24" s="256">
        <v>45.109474650999999</v>
      </c>
      <c r="AN24" s="256">
        <v>47.781833051</v>
      </c>
      <c r="AO24" s="256">
        <v>45.874097151000001</v>
      </c>
      <c r="AP24" s="256">
        <v>44.885031050999999</v>
      </c>
      <c r="AQ24" s="256">
        <v>45.624262051000002</v>
      </c>
      <c r="AR24" s="256">
        <v>46.105866751000001</v>
      </c>
      <c r="AS24" s="256">
        <v>45.900007350999999</v>
      </c>
      <c r="AT24" s="256">
        <v>46.688442950999999</v>
      </c>
      <c r="AU24" s="256">
        <v>45.163000150999999</v>
      </c>
      <c r="AV24" s="256">
        <v>46.314046251000001</v>
      </c>
      <c r="AW24" s="256">
        <v>46.390846650999997</v>
      </c>
      <c r="AX24" s="256">
        <v>45.890465051</v>
      </c>
      <c r="AY24" s="256">
        <v>45.658313612000001</v>
      </c>
      <c r="AZ24" s="256">
        <v>46.462733612000001</v>
      </c>
      <c r="BA24" s="256">
        <v>44.956717011999999</v>
      </c>
      <c r="BB24" s="256">
        <v>45.005479489999999</v>
      </c>
      <c r="BC24" s="256">
        <v>44.787580437999999</v>
      </c>
      <c r="BD24" s="256">
        <v>45.523838032</v>
      </c>
      <c r="BE24" s="416">
        <v>45.242390145999998</v>
      </c>
      <c r="BF24" s="416">
        <v>45.544224853999999</v>
      </c>
      <c r="BG24" s="416">
        <v>45.581382054000002</v>
      </c>
      <c r="BH24" s="416">
        <v>45.666679551999998</v>
      </c>
      <c r="BI24" s="416">
        <v>45.831371906000001</v>
      </c>
      <c r="BJ24" s="416">
        <v>46.165904603000001</v>
      </c>
      <c r="BK24" s="416">
        <v>45.355428222</v>
      </c>
      <c r="BL24" s="416">
        <v>46.371282712999999</v>
      </c>
      <c r="BM24" s="416">
        <v>45.767073150999998</v>
      </c>
      <c r="BN24" s="416">
        <v>44.633903486000001</v>
      </c>
      <c r="BO24" s="416">
        <v>44.107029377000003</v>
      </c>
      <c r="BP24" s="416">
        <v>45.196971273000003</v>
      </c>
      <c r="BQ24" s="416">
        <v>45.0257383</v>
      </c>
      <c r="BR24" s="416">
        <v>45.341771346000002</v>
      </c>
      <c r="BS24" s="416">
        <v>45.367281470000002</v>
      </c>
      <c r="BT24" s="416">
        <v>45.479319400999998</v>
      </c>
      <c r="BU24" s="416">
        <v>45.654704510000002</v>
      </c>
      <c r="BV24" s="416">
        <v>46.022612488</v>
      </c>
    </row>
    <row r="25" spans="1:74" ht="11.1" customHeight="1">
      <c r="A25" s="163" t="s">
        <v>330</v>
      </c>
      <c r="B25" s="174" t="s">
        <v>293</v>
      </c>
      <c r="C25" s="256">
        <v>19.039808000000001</v>
      </c>
      <c r="D25" s="256">
        <v>18.8218</v>
      </c>
      <c r="E25" s="256">
        <v>18.718892</v>
      </c>
      <c r="F25" s="256">
        <v>18.672381000000001</v>
      </c>
      <c r="G25" s="256">
        <v>18.211016000000001</v>
      </c>
      <c r="H25" s="256">
        <v>18.827615999999999</v>
      </c>
      <c r="I25" s="256">
        <v>18.626197000000001</v>
      </c>
      <c r="J25" s="256">
        <v>18.949417</v>
      </c>
      <c r="K25" s="256">
        <v>18.594415000000001</v>
      </c>
      <c r="L25" s="256">
        <v>18.80284</v>
      </c>
      <c r="M25" s="256">
        <v>18.752980000000001</v>
      </c>
      <c r="N25" s="256">
        <v>19.236525</v>
      </c>
      <c r="O25" s="256">
        <v>18.651681</v>
      </c>
      <c r="P25" s="256">
        <v>18.849602999999998</v>
      </c>
      <c r="Q25" s="256">
        <v>19.099453</v>
      </c>
      <c r="R25" s="256">
        <v>19.043568</v>
      </c>
      <c r="S25" s="256">
        <v>18.865917</v>
      </c>
      <c r="T25" s="256">
        <v>19.536541</v>
      </c>
      <c r="U25" s="256">
        <v>19.318601000000001</v>
      </c>
      <c r="V25" s="256">
        <v>19.661814</v>
      </c>
      <c r="W25" s="256">
        <v>19.438476000000001</v>
      </c>
      <c r="X25" s="256">
        <v>18.973896</v>
      </c>
      <c r="Y25" s="256">
        <v>18.977066000000001</v>
      </c>
      <c r="Z25" s="256">
        <v>19.721678000000001</v>
      </c>
      <c r="AA25" s="256">
        <v>18.993451</v>
      </c>
      <c r="AB25" s="256">
        <v>18.8733</v>
      </c>
      <c r="AC25" s="256">
        <v>19.328886000000001</v>
      </c>
      <c r="AD25" s="256">
        <v>18.649999000000001</v>
      </c>
      <c r="AE25" s="256">
        <v>18.479108</v>
      </c>
      <c r="AF25" s="256">
        <v>19.252661</v>
      </c>
      <c r="AG25" s="256">
        <v>18.777868000000002</v>
      </c>
      <c r="AH25" s="256">
        <v>19.414726000000002</v>
      </c>
      <c r="AI25" s="256">
        <v>18.891604000000001</v>
      </c>
      <c r="AJ25" s="256">
        <v>18.843935999999999</v>
      </c>
      <c r="AK25" s="256">
        <v>19.080010999999999</v>
      </c>
      <c r="AL25" s="256">
        <v>18.802942000000002</v>
      </c>
      <c r="AM25" s="256">
        <v>18.279951000000001</v>
      </c>
      <c r="AN25" s="256">
        <v>18.759544000000002</v>
      </c>
      <c r="AO25" s="256">
        <v>18.212717999999999</v>
      </c>
      <c r="AP25" s="256">
        <v>18.330009</v>
      </c>
      <c r="AQ25" s="256">
        <v>18.707467000000001</v>
      </c>
      <c r="AR25" s="256">
        <v>18.915367</v>
      </c>
      <c r="AS25" s="256">
        <v>18.601049</v>
      </c>
      <c r="AT25" s="256">
        <v>19.226423</v>
      </c>
      <c r="AU25" s="256">
        <v>18.172843</v>
      </c>
      <c r="AV25" s="256">
        <v>18.722221999999999</v>
      </c>
      <c r="AW25" s="256">
        <v>18.603594999999999</v>
      </c>
      <c r="AX25" s="256">
        <v>18.130434000000001</v>
      </c>
      <c r="AY25" s="256">
        <v>18.645878</v>
      </c>
      <c r="AZ25" s="256">
        <v>18.658504000000001</v>
      </c>
      <c r="BA25" s="256">
        <v>18.476265999999999</v>
      </c>
      <c r="BB25" s="256">
        <v>18.553039999999999</v>
      </c>
      <c r="BC25" s="256">
        <v>18.629411751999999</v>
      </c>
      <c r="BD25" s="256">
        <v>19.071501489999999</v>
      </c>
      <c r="BE25" s="416">
        <v>18.640180000000001</v>
      </c>
      <c r="BF25" s="416">
        <v>19.082429999999999</v>
      </c>
      <c r="BG25" s="416">
        <v>18.46041</v>
      </c>
      <c r="BH25" s="416">
        <v>18.59395</v>
      </c>
      <c r="BI25" s="416">
        <v>18.55396</v>
      </c>
      <c r="BJ25" s="416">
        <v>18.545459999999999</v>
      </c>
      <c r="BK25" s="416">
        <v>18.51521</v>
      </c>
      <c r="BL25" s="416">
        <v>18.615279999999998</v>
      </c>
      <c r="BM25" s="416">
        <v>18.598839999999999</v>
      </c>
      <c r="BN25" s="416">
        <v>18.524090000000001</v>
      </c>
      <c r="BO25" s="416">
        <v>18.591370000000001</v>
      </c>
      <c r="BP25" s="416">
        <v>19.00244</v>
      </c>
      <c r="BQ25" s="416">
        <v>18.705259999999999</v>
      </c>
      <c r="BR25" s="416">
        <v>19.14255</v>
      </c>
      <c r="BS25" s="416">
        <v>18.51981</v>
      </c>
      <c r="BT25" s="416">
        <v>18.683800000000002</v>
      </c>
      <c r="BU25" s="416">
        <v>18.66442</v>
      </c>
      <c r="BV25" s="416">
        <v>18.710100000000001</v>
      </c>
    </row>
    <row r="26" spans="1:74" ht="11.1" customHeight="1">
      <c r="A26" s="163" t="s">
        <v>331</v>
      </c>
      <c r="B26" s="174" t="s">
        <v>318</v>
      </c>
      <c r="C26" s="256">
        <v>0.27150045024000002</v>
      </c>
      <c r="D26" s="256">
        <v>0.27150045024000002</v>
      </c>
      <c r="E26" s="256">
        <v>0.27150045024000002</v>
      </c>
      <c r="F26" s="256">
        <v>0.27441980991999998</v>
      </c>
      <c r="G26" s="256">
        <v>0.27441980991999998</v>
      </c>
      <c r="H26" s="256">
        <v>0.27441980991999998</v>
      </c>
      <c r="I26" s="256">
        <v>0.27441980991999998</v>
      </c>
      <c r="J26" s="256">
        <v>0.27441980991999998</v>
      </c>
      <c r="K26" s="256">
        <v>0.27441980991999998</v>
      </c>
      <c r="L26" s="256">
        <v>0.27441980991999998</v>
      </c>
      <c r="M26" s="256">
        <v>0.27441980991999998</v>
      </c>
      <c r="N26" s="256">
        <v>0.27441980991999998</v>
      </c>
      <c r="O26" s="256">
        <v>0.29609062000000003</v>
      </c>
      <c r="P26" s="256">
        <v>0.29609062000000003</v>
      </c>
      <c r="Q26" s="256">
        <v>0.29609062000000003</v>
      </c>
      <c r="R26" s="256">
        <v>0.29609062000000003</v>
      </c>
      <c r="S26" s="256">
        <v>0.29609062000000003</v>
      </c>
      <c r="T26" s="256">
        <v>0.29609062000000003</v>
      </c>
      <c r="U26" s="256">
        <v>0.29609062000000003</v>
      </c>
      <c r="V26" s="256">
        <v>0.29609062000000003</v>
      </c>
      <c r="W26" s="256">
        <v>0.29609062000000003</v>
      </c>
      <c r="X26" s="256">
        <v>0.29609062000000003</v>
      </c>
      <c r="Y26" s="256">
        <v>0.29609062000000003</v>
      </c>
      <c r="Z26" s="256">
        <v>0.29609062000000003</v>
      </c>
      <c r="AA26" s="256">
        <v>0.330572064</v>
      </c>
      <c r="AB26" s="256">
        <v>0.330572064</v>
      </c>
      <c r="AC26" s="256">
        <v>0.330572064</v>
      </c>
      <c r="AD26" s="256">
        <v>0.330572064</v>
      </c>
      <c r="AE26" s="256">
        <v>0.330572064</v>
      </c>
      <c r="AF26" s="256">
        <v>0.330572064</v>
      </c>
      <c r="AG26" s="256">
        <v>0.330572064</v>
      </c>
      <c r="AH26" s="256">
        <v>0.330572064</v>
      </c>
      <c r="AI26" s="256">
        <v>0.330572064</v>
      </c>
      <c r="AJ26" s="256">
        <v>0.330572064</v>
      </c>
      <c r="AK26" s="256">
        <v>0.330572064</v>
      </c>
      <c r="AL26" s="256">
        <v>0.330572064</v>
      </c>
      <c r="AM26" s="256">
        <v>0.344583951</v>
      </c>
      <c r="AN26" s="256">
        <v>0.344583951</v>
      </c>
      <c r="AO26" s="256">
        <v>0.344583951</v>
      </c>
      <c r="AP26" s="256">
        <v>0.344583951</v>
      </c>
      <c r="AQ26" s="256">
        <v>0.344583951</v>
      </c>
      <c r="AR26" s="256">
        <v>0.344583951</v>
      </c>
      <c r="AS26" s="256">
        <v>0.344583951</v>
      </c>
      <c r="AT26" s="256">
        <v>0.344583951</v>
      </c>
      <c r="AU26" s="256">
        <v>0.344583951</v>
      </c>
      <c r="AV26" s="256">
        <v>0.344583951</v>
      </c>
      <c r="AW26" s="256">
        <v>0.344583951</v>
      </c>
      <c r="AX26" s="256">
        <v>0.344583951</v>
      </c>
      <c r="AY26" s="256">
        <v>0.361060612</v>
      </c>
      <c r="AZ26" s="256">
        <v>0.361060612</v>
      </c>
      <c r="BA26" s="256">
        <v>0.361060612</v>
      </c>
      <c r="BB26" s="256">
        <v>0.361060612</v>
      </c>
      <c r="BC26" s="256">
        <v>0.361060612</v>
      </c>
      <c r="BD26" s="256">
        <v>0.361060612</v>
      </c>
      <c r="BE26" s="416">
        <v>0.361060612</v>
      </c>
      <c r="BF26" s="416">
        <v>0.361060612</v>
      </c>
      <c r="BG26" s="416">
        <v>0.361060612</v>
      </c>
      <c r="BH26" s="416">
        <v>0.361060612</v>
      </c>
      <c r="BI26" s="416">
        <v>0.361060612</v>
      </c>
      <c r="BJ26" s="416">
        <v>0.361060612</v>
      </c>
      <c r="BK26" s="416">
        <v>0.38039160999999999</v>
      </c>
      <c r="BL26" s="416">
        <v>0.38039160999999999</v>
      </c>
      <c r="BM26" s="416">
        <v>0.38039160999999999</v>
      </c>
      <c r="BN26" s="416">
        <v>0.38039160999999999</v>
      </c>
      <c r="BO26" s="416">
        <v>0.38039160999999999</v>
      </c>
      <c r="BP26" s="416">
        <v>0.38039160999999999</v>
      </c>
      <c r="BQ26" s="416">
        <v>0.38039160999999999</v>
      </c>
      <c r="BR26" s="416">
        <v>0.38039160999999999</v>
      </c>
      <c r="BS26" s="416">
        <v>0.38039160999999999</v>
      </c>
      <c r="BT26" s="416">
        <v>0.38039160999999999</v>
      </c>
      <c r="BU26" s="416">
        <v>0.38039160999999999</v>
      </c>
      <c r="BV26" s="416">
        <v>0.38039160999999999</v>
      </c>
    </row>
    <row r="27" spans="1:74" ht="11.1" customHeight="1">
      <c r="A27" s="163" t="s">
        <v>332</v>
      </c>
      <c r="B27" s="174" t="s">
        <v>319</v>
      </c>
      <c r="C27" s="256">
        <v>2.2349355000000002</v>
      </c>
      <c r="D27" s="256">
        <v>2.2253213999999999</v>
      </c>
      <c r="E27" s="256">
        <v>2.1552581000000002</v>
      </c>
      <c r="F27" s="256">
        <v>2.0548666999999998</v>
      </c>
      <c r="G27" s="256">
        <v>2.0603547999999998</v>
      </c>
      <c r="H27" s="256">
        <v>2.1507333000000002</v>
      </c>
      <c r="I27" s="256">
        <v>2.1760323000000001</v>
      </c>
      <c r="J27" s="256">
        <v>2.1633871</v>
      </c>
      <c r="K27" s="256">
        <v>2.1433667000000001</v>
      </c>
      <c r="L27" s="256">
        <v>2.1100968</v>
      </c>
      <c r="M27" s="256">
        <v>2.1563333</v>
      </c>
      <c r="N27" s="256">
        <v>2.2055805999999998</v>
      </c>
      <c r="O27" s="256">
        <v>2.1282903000000002</v>
      </c>
      <c r="P27" s="256">
        <v>2.2560714000000002</v>
      </c>
      <c r="Q27" s="256">
        <v>2.1487742000000001</v>
      </c>
      <c r="R27" s="256">
        <v>2.1795</v>
      </c>
      <c r="S27" s="256">
        <v>2.2022903</v>
      </c>
      <c r="T27" s="256">
        <v>2.3462999999999998</v>
      </c>
      <c r="U27" s="256">
        <v>2.2045161000000002</v>
      </c>
      <c r="V27" s="256">
        <v>2.3775805999999999</v>
      </c>
      <c r="W27" s="256">
        <v>2.3246000000000002</v>
      </c>
      <c r="X27" s="256">
        <v>2.2493226000000002</v>
      </c>
      <c r="Y27" s="256">
        <v>2.3170332999999999</v>
      </c>
      <c r="Z27" s="256">
        <v>2.3600968</v>
      </c>
      <c r="AA27" s="256">
        <v>2.2546452000000001</v>
      </c>
      <c r="AB27" s="256">
        <v>2.3151071000000001</v>
      </c>
      <c r="AC27" s="256">
        <v>2.3901935000000001</v>
      </c>
      <c r="AD27" s="256">
        <v>2.1443333</v>
      </c>
      <c r="AE27" s="256">
        <v>2.1839677000000002</v>
      </c>
      <c r="AF27" s="256">
        <v>2.3403999999999998</v>
      </c>
      <c r="AG27" s="256">
        <v>2.3208386999999999</v>
      </c>
      <c r="AH27" s="256">
        <v>2.4557419</v>
      </c>
      <c r="AI27" s="256">
        <v>2.3016667000000002</v>
      </c>
      <c r="AJ27" s="256">
        <v>2.1900968000000001</v>
      </c>
      <c r="AK27" s="256">
        <v>2.2758332999999999</v>
      </c>
      <c r="AL27" s="256">
        <v>2.2983547999999998</v>
      </c>
      <c r="AM27" s="256">
        <v>2.1206128999999998</v>
      </c>
      <c r="AN27" s="256">
        <v>2.2040413999999999</v>
      </c>
      <c r="AO27" s="256">
        <v>2.2716919</v>
      </c>
      <c r="AP27" s="256">
        <v>2.1753667000000001</v>
      </c>
      <c r="AQ27" s="256">
        <v>2.3226773999999999</v>
      </c>
      <c r="AR27" s="256">
        <v>2.2161523000000001</v>
      </c>
      <c r="AS27" s="256">
        <v>2.3222396999999999</v>
      </c>
      <c r="AT27" s="256">
        <v>2.4378017999999999</v>
      </c>
      <c r="AU27" s="256">
        <v>2.3056456999999999</v>
      </c>
      <c r="AV27" s="256">
        <v>2.2972967999999998</v>
      </c>
      <c r="AW27" s="256">
        <v>2.4160151999999999</v>
      </c>
      <c r="AX27" s="256">
        <v>2.3967239</v>
      </c>
      <c r="AY27" s="256">
        <v>2.3228387000000001</v>
      </c>
      <c r="AZ27" s="256">
        <v>2.23075</v>
      </c>
      <c r="BA27" s="256">
        <v>2.1550509999999998</v>
      </c>
      <c r="BB27" s="256">
        <v>2.153421748</v>
      </c>
      <c r="BC27" s="256">
        <v>2.1839859939999999</v>
      </c>
      <c r="BD27" s="256">
        <v>2.2658417649999998</v>
      </c>
      <c r="BE27" s="416">
        <v>2.3800052119999999</v>
      </c>
      <c r="BF27" s="416">
        <v>2.4191533299999999</v>
      </c>
      <c r="BG27" s="416">
        <v>2.3811780050000002</v>
      </c>
      <c r="BH27" s="416">
        <v>2.3585682270000001</v>
      </c>
      <c r="BI27" s="416">
        <v>2.3974007460000002</v>
      </c>
      <c r="BJ27" s="416">
        <v>2.368202089</v>
      </c>
      <c r="BK27" s="416">
        <v>2.2735474510000002</v>
      </c>
      <c r="BL27" s="416">
        <v>2.375996453</v>
      </c>
      <c r="BM27" s="416">
        <v>2.2982641589999999</v>
      </c>
      <c r="BN27" s="416">
        <v>2.17330896</v>
      </c>
      <c r="BO27" s="416">
        <v>2.2498826869999999</v>
      </c>
      <c r="BP27" s="416">
        <v>2.337603745</v>
      </c>
      <c r="BQ27" s="416">
        <v>2.3496118610000001</v>
      </c>
      <c r="BR27" s="416">
        <v>2.3882600470000002</v>
      </c>
      <c r="BS27" s="416">
        <v>2.3507696779999998</v>
      </c>
      <c r="BT27" s="416">
        <v>2.3284486329999998</v>
      </c>
      <c r="BU27" s="416">
        <v>2.3667852489999999</v>
      </c>
      <c r="BV27" s="416">
        <v>2.3379594680000002</v>
      </c>
    </row>
    <row r="28" spans="1:74" ht="11.1" customHeight="1">
      <c r="A28" s="163" t="s">
        <v>333</v>
      </c>
      <c r="B28" s="174" t="s">
        <v>320</v>
      </c>
      <c r="C28" s="256">
        <v>14.9160469</v>
      </c>
      <c r="D28" s="256">
        <v>15.263343000000001</v>
      </c>
      <c r="E28" s="256">
        <v>15.209156200000001</v>
      </c>
      <c r="F28" s="256">
        <v>14.7005912</v>
      </c>
      <c r="G28" s="256">
        <v>13.993694700000001</v>
      </c>
      <c r="H28" s="256">
        <v>14.7016264</v>
      </c>
      <c r="I28" s="256">
        <v>14.830001899999999</v>
      </c>
      <c r="J28" s="256">
        <v>13.9132303</v>
      </c>
      <c r="K28" s="256">
        <v>15.1339436</v>
      </c>
      <c r="L28" s="256">
        <v>14.926735300000001</v>
      </c>
      <c r="M28" s="256">
        <v>14.311064399999999</v>
      </c>
      <c r="N28" s="256">
        <v>14.441735700000001</v>
      </c>
      <c r="O28" s="256">
        <v>13.5627551</v>
      </c>
      <c r="P28" s="256">
        <v>14.7865129</v>
      </c>
      <c r="Q28" s="256">
        <v>14.858938800000001</v>
      </c>
      <c r="R28" s="256">
        <v>14.309469</v>
      </c>
      <c r="S28" s="256">
        <v>13.9406292</v>
      </c>
      <c r="T28" s="256">
        <v>14.7496233</v>
      </c>
      <c r="U28" s="256">
        <v>14.955465200000001</v>
      </c>
      <c r="V28" s="256">
        <v>14.5914223</v>
      </c>
      <c r="W28" s="256">
        <v>15.413394500000001</v>
      </c>
      <c r="X28" s="256">
        <v>14.9808638</v>
      </c>
      <c r="Y28" s="256">
        <v>15.0576831</v>
      </c>
      <c r="Z28" s="256">
        <v>14.6439395</v>
      </c>
      <c r="AA28" s="256">
        <v>13.641983</v>
      </c>
      <c r="AB28" s="256">
        <v>14.789641899999999</v>
      </c>
      <c r="AC28" s="256">
        <v>14.281761299999999</v>
      </c>
      <c r="AD28" s="256">
        <v>13.9666888</v>
      </c>
      <c r="AE28" s="256">
        <v>14.063817999999999</v>
      </c>
      <c r="AF28" s="256">
        <v>14.4079172</v>
      </c>
      <c r="AG28" s="256">
        <v>14.4082855</v>
      </c>
      <c r="AH28" s="256">
        <v>14.7503911</v>
      </c>
      <c r="AI28" s="256">
        <v>14.986119</v>
      </c>
      <c r="AJ28" s="256">
        <v>14.3893001</v>
      </c>
      <c r="AK28" s="256">
        <v>14.1823342</v>
      </c>
      <c r="AL28" s="256">
        <v>13.744503099999999</v>
      </c>
      <c r="AM28" s="256">
        <v>12.964940500000001</v>
      </c>
      <c r="AN28" s="256">
        <v>14.4616451</v>
      </c>
      <c r="AO28" s="256">
        <v>13.653857199999999</v>
      </c>
      <c r="AP28" s="256">
        <v>13.597909100000001</v>
      </c>
      <c r="AQ28" s="256">
        <v>13.613490199999999</v>
      </c>
      <c r="AR28" s="256">
        <v>14.122343000000001</v>
      </c>
      <c r="AS28" s="256">
        <v>13.994849</v>
      </c>
      <c r="AT28" s="256">
        <v>13.662295</v>
      </c>
      <c r="AU28" s="256">
        <v>13.7330974</v>
      </c>
      <c r="AV28" s="256">
        <v>14.1377582</v>
      </c>
      <c r="AW28" s="256">
        <v>13.8221913</v>
      </c>
      <c r="AX28" s="256">
        <v>12.9878976</v>
      </c>
      <c r="AY28" s="256">
        <v>12.792630600000001</v>
      </c>
      <c r="AZ28" s="256">
        <v>13.436424499999999</v>
      </c>
      <c r="BA28" s="256">
        <v>13.208718599999999</v>
      </c>
      <c r="BB28" s="256">
        <v>13.455490934</v>
      </c>
      <c r="BC28" s="256">
        <v>13.049988555000001</v>
      </c>
      <c r="BD28" s="256">
        <v>13.495413462</v>
      </c>
      <c r="BE28" s="416">
        <v>13.41946643</v>
      </c>
      <c r="BF28" s="416">
        <v>13.158437428999999</v>
      </c>
      <c r="BG28" s="416">
        <v>13.913329196999999</v>
      </c>
      <c r="BH28" s="416">
        <v>13.830301589999999</v>
      </c>
      <c r="BI28" s="416">
        <v>13.462246184</v>
      </c>
      <c r="BJ28" s="416">
        <v>13.102024604</v>
      </c>
      <c r="BK28" s="416">
        <v>12.881610821000001</v>
      </c>
      <c r="BL28" s="416">
        <v>13.313846778</v>
      </c>
      <c r="BM28" s="416">
        <v>13.268176989000001</v>
      </c>
      <c r="BN28" s="416">
        <v>12.871139117</v>
      </c>
      <c r="BO28" s="416">
        <v>12.645984617</v>
      </c>
      <c r="BP28" s="416">
        <v>13.103147632000001</v>
      </c>
      <c r="BQ28" s="416">
        <v>13.214485893000001</v>
      </c>
      <c r="BR28" s="416">
        <v>12.975088862</v>
      </c>
      <c r="BS28" s="416">
        <v>13.7204494</v>
      </c>
      <c r="BT28" s="416">
        <v>13.633142013000001</v>
      </c>
      <c r="BU28" s="416">
        <v>13.264811026</v>
      </c>
      <c r="BV28" s="416">
        <v>12.895983958</v>
      </c>
    </row>
    <row r="29" spans="1:74" ht="11.1" customHeight="1">
      <c r="A29" s="163" t="s">
        <v>334</v>
      </c>
      <c r="B29" s="174" t="s">
        <v>321</v>
      </c>
      <c r="C29" s="256">
        <v>4.8256129000000003</v>
      </c>
      <c r="D29" s="256">
        <v>4.7255357</v>
      </c>
      <c r="E29" s="256">
        <v>4.6039355000000004</v>
      </c>
      <c r="F29" s="256">
        <v>4.2931666999999996</v>
      </c>
      <c r="G29" s="256">
        <v>3.8791612999999998</v>
      </c>
      <c r="H29" s="256">
        <v>4.1416000000000004</v>
      </c>
      <c r="I29" s="256">
        <v>4.0631934999999997</v>
      </c>
      <c r="J29" s="256">
        <v>4.2326452000000003</v>
      </c>
      <c r="K29" s="256">
        <v>4.2253667000000004</v>
      </c>
      <c r="L29" s="256">
        <v>4.3600323000000003</v>
      </c>
      <c r="M29" s="256">
        <v>4.4815332999999997</v>
      </c>
      <c r="N29" s="256">
        <v>5.1584516000000002</v>
      </c>
      <c r="O29" s="256">
        <v>4.8924516000000002</v>
      </c>
      <c r="P29" s="256">
        <v>5.0604642999999996</v>
      </c>
      <c r="Q29" s="256">
        <v>4.7992581000000003</v>
      </c>
      <c r="R29" s="256">
        <v>4.3745666999999999</v>
      </c>
      <c r="S29" s="256">
        <v>3.8597418999999999</v>
      </c>
      <c r="T29" s="256">
        <v>3.9912999999999998</v>
      </c>
      <c r="U29" s="256">
        <v>4.1821289999999998</v>
      </c>
      <c r="V29" s="256">
        <v>4.3989032000000003</v>
      </c>
      <c r="W29" s="256">
        <v>4.4484332999999996</v>
      </c>
      <c r="X29" s="256">
        <v>4.0436452000000003</v>
      </c>
      <c r="Y29" s="256">
        <v>4.5717667000000004</v>
      </c>
      <c r="Z29" s="256">
        <v>4.9965484</v>
      </c>
      <c r="AA29" s="256">
        <v>4.8530968000000003</v>
      </c>
      <c r="AB29" s="256">
        <v>5.0600714</v>
      </c>
      <c r="AC29" s="256">
        <v>4.5530322999999999</v>
      </c>
      <c r="AD29" s="256">
        <v>4.1100332999999996</v>
      </c>
      <c r="AE29" s="256">
        <v>3.7895484000000002</v>
      </c>
      <c r="AF29" s="256">
        <v>3.9557666999999999</v>
      </c>
      <c r="AG29" s="256">
        <v>4.2397096999999997</v>
      </c>
      <c r="AH29" s="256">
        <v>4.4660000000000002</v>
      </c>
      <c r="AI29" s="256">
        <v>4.3058332999999998</v>
      </c>
      <c r="AJ29" s="256">
        <v>4.4148386999999998</v>
      </c>
      <c r="AK29" s="256">
        <v>4.6041999999999996</v>
      </c>
      <c r="AL29" s="256">
        <v>5.4394194000000002</v>
      </c>
      <c r="AM29" s="256">
        <v>5.1610645000000002</v>
      </c>
      <c r="AN29" s="256">
        <v>5.5499309999999999</v>
      </c>
      <c r="AO29" s="256">
        <v>5.1564838999999996</v>
      </c>
      <c r="AP29" s="256">
        <v>4.3897667</v>
      </c>
      <c r="AQ29" s="256">
        <v>4.3674194000000002</v>
      </c>
      <c r="AR29" s="256">
        <v>4.1285333</v>
      </c>
      <c r="AS29" s="256">
        <v>4.3722257999999998</v>
      </c>
      <c r="AT29" s="256">
        <v>4.6294839000000003</v>
      </c>
      <c r="AU29" s="256">
        <v>4.4427667</v>
      </c>
      <c r="AV29" s="256">
        <v>4.4224515999999996</v>
      </c>
      <c r="AW29" s="256">
        <v>4.6411332999999999</v>
      </c>
      <c r="AX29" s="256">
        <v>5.4918709999999997</v>
      </c>
      <c r="AY29" s="256">
        <v>5.1941613000000002</v>
      </c>
      <c r="AZ29" s="256">
        <v>5.3150357000000001</v>
      </c>
      <c r="BA29" s="256">
        <v>4.7649999999999997</v>
      </c>
      <c r="BB29" s="256">
        <v>4.2460191089999997</v>
      </c>
      <c r="BC29" s="256">
        <v>4.3171376060000002</v>
      </c>
      <c r="BD29" s="256">
        <v>4.0045485230000004</v>
      </c>
      <c r="BE29" s="416">
        <v>4.3166774710000002</v>
      </c>
      <c r="BF29" s="416">
        <v>4.3324786499999997</v>
      </c>
      <c r="BG29" s="416">
        <v>4.3574259360000003</v>
      </c>
      <c r="BH29" s="416">
        <v>4.3460191239999997</v>
      </c>
      <c r="BI29" s="416">
        <v>4.6901209250000004</v>
      </c>
      <c r="BJ29" s="416">
        <v>5.213523167</v>
      </c>
      <c r="BK29" s="416">
        <v>4.9624672189999997</v>
      </c>
      <c r="BL29" s="416">
        <v>5.1779136990000003</v>
      </c>
      <c r="BM29" s="416">
        <v>4.8583577419999999</v>
      </c>
      <c r="BN29" s="416">
        <v>4.476071696</v>
      </c>
      <c r="BO29" s="416">
        <v>3.9987419769999999</v>
      </c>
      <c r="BP29" s="416">
        <v>4.1439430980000003</v>
      </c>
      <c r="BQ29" s="416">
        <v>4.2233174089999999</v>
      </c>
      <c r="BR29" s="416">
        <v>4.2387768430000001</v>
      </c>
      <c r="BS29" s="416">
        <v>4.2631845750000004</v>
      </c>
      <c r="BT29" s="416">
        <v>4.252024467</v>
      </c>
      <c r="BU29" s="416">
        <v>4.5886841169999997</v>
      </c>
      <c r="BV29" s="416">
        <v>5.100766342</v>
      </c>
    </row>
    <row r="30" spans="1:74" ht="11.1" customHeight="1">
      <c r="A30" s="163" t="s">
        <v>335</v>
      </c>
      <c r="B30" s="174" t="s">
        <v>322</v>
      </c>
      <c r="C30" s="256">
        <v>6.0337214000000001</v>
      </c>
      <c r="D30" s="256">
        <v>6.2860613000000001</v>
      </c>
      <c r="E30" s="256">
        <v>6.0408407000000004</v>
      </c>
      <c r="F30" s="256">
        <v>5.9669185999999996</v>
      </c>
      <c r="G30" s="256">
        <v>5.8893753999999996</v>
      </c>
      <c r="H30" s="256">
        <v>5.8754</v>
      </c>
      <c r="I30" s="256">
        <v>5.8810000999999996</v>
      </c>
      <c r="J30" s="256">
        <v>5.8638063999999996</v>
      </c>
      <c r="K30" s="256">
        <v>5.8444000000000003</v>
      </c>
      <c r="L30" s="256">
        <v>5.9873871999999997</v>
      </c>
      <c r="M30" s="256">
        <v>6.0673667</v>
      </c>
      <c r="N30" s="256">
        <v>6.3966136000000002</v>
      </c>
      <c r="O30" s="256">
        <v>5.981662</v>
      </c>
      <c r="P30" s="256">
        <v>6.2858530000000004</v>
      </c>
      <c r="Q30" s="256">
        <v>6.1159112000000002</v>
      </c>
      <c r="R30" s="256">
        <v>6.0461767000000002</v>
      </c>
      <c r="S30" s="256">
        <v>5.9376034000000004</v>
      </c>
      <c r="T30" s="256">
        <v>6.0732666999999996</v>
      </c>
      <c r="U30" s="256">
        <v>5.9396450999999999</v>
      </c>
      <c r="V30" s="256">
        <v>6.0632257000000003</v>
      </c>
      <c r="W30" s="256">
        <v>5.9673667000000004</v>
      </c>
      <c r="X30" s="256">
        <v>5.9864838000000002</v>
      </c>
      <c r="Y30" s="256">
        <v>6.2241001000000002</v>
      </c>
      <c r="Z30" s="256">
        <v>6.3799676999999999</v>
      </c>
      <c r="AA30" s="256">
        <v>6.0781067000000002</v>
      </c>
      <c r="AB30" s="256">
        <v>6.4226495000000003</v>
      </c>
      <c r="AC30" s="256">
        <v>6.2841654</v>
      </c>
      <c r="AD30" s="256">
        <v>5.8725993000000001</v>
      </c>
      <c r="AE30" s="256">
        <v>5.9363637999999996</v>
      </c>
      <c r="AF30" s="256">
        <v>6.1203849000000003</v>
      </c>
      <c r="AG30" s="256">
        <v>6.1528194999999997</v>
      </c>
      <c r="AH30" s="256">
        <v>6.2567009999999996</v>
      </c>
      <c r="AI30" s="256">
        <v>6.1488187999999999</v>
      </c>
      <c r="AJ30" s="256">
        <v>6.0163492999999999</v>
      </c>
      <c r="AK30" s="256">
        <v>6.2621950999999996</v>
      </c>
      <c r="AL30" s="256">
        <v>6.5865555000000002</v>
      </c>
      <c r="AM30" s="256">
        <v>6.2383217999999996</v>
      </c>
      <c r="AN30" s="256">
        <v>6.4620876000000003</v>
      </c>
      <c r="AO30" s="256">
        <v>6.2347621999999996</v>
      </c>
      <c r="AP30" s="256">
        <v>6.0473955999999998</v>
      </c>
      <c r="AQ30" s="256">
        <v>6.2686241000000003</v>
      </c>
      <c r="AR30" s="256">
        <v>6.3788872000000003</v>
      </c>
      <c r="AS30" s="256">
        <v>6.2650598999999998</v>
      </c>
      <c r="AT30" s="256">
        <v>6.3878553</v>
      </c>
      <c r="AU30" s="256">
        <v>6.1640633999999999</v>
      </c>
      <c r="AV30" s="256">
        <v>6.3897336999999998</v>
      </c>
      <c r="AW30" s="256">
        <v>6.5633279</v>
      </c>
      <c r="AX30" s="256">
        <v>6.5389546000000003</v>
      </c>
      <c r="AY30" s="256">
        <v>6.3417443999999996</v>
      </c>
      <c r="AZ30" s="256">
        <v>6.4609588000000002</v>
      </c>
      <c r="BA30" s="256">
        <v>5.9906208000000003</v>
      </c>
      <c r="BB30" s="256">
        <v>6.2364470870000002</v>
      </c>
      <c r="BC30" s="256">
        <v>6.2459959190000003</v>
      </c>
      <c r="BD30" s="256">
        <v>6.3254721800000002</v>
      </c>
      <c r="BE30" s="416">
        <v>6.1250004210000002</v>
      </c>
      <c r="BF30" s="416">
        <v>6.1906648329999996</v>
      </c>
      <c r="BG30" s="416">
        <v>6.1079783040000004</v>
      </c>
      <c r="BH30" s="416">
        <v>6.1767799989999999</v>
      </c>
      <c r="BI30" s="416">
        <v>6.3665834390000002</v>
      </c>
      <c r="BJ30" s="416">
        <v>6.5756341310000002</v>
      </c>
      <c r="BK30" s="416">
        <v>6.3422011210000004</v>
      </c>
      <c r="BL30" s="416">
        <v>6.5078541730000001</v>
      </c>
      <c r="BM30" s="416">
        <v>6.3630426509999998</v>
      </c>
      <c r="BN30" s="416">
        <v>6.2089021029999998</v>
      </c>
      <c r="BO30" s="416">
        <v>6.2406584860000001</v>
      </c>
      <c r="BP30" s="416">
        <v>6.2294451879999997</v>
      </c>
      <c r="BQ30" s="416">
        <v>6.1526715269999999</v>
      </c>
      <c r="BR30" s="416">
        <v>6.2167039839999996</v>
      </c>
      <c r="BS30" s="416">
        <v>6.1326762070000003</v>
      </c>
      <c r="BT30" s="416">
        <v>6.2015126780000003</v>
      </c>
      <c r="BU30" s="416">
        <v>6.3896125079999999</v>
      </c>
      <c r="BV30" s="416">
        <v>6.5974111100000004</v>
      </c>
    </row>
    <row r="31" spans="1:74" ht="11.1" customHeight="1">
      <c r="A31" s="163" t="s">
        <v>342</v>
      </c>
      <c r="B31" s="174" t="s">
        <v>323</v>
      </c>
      <c r="C31" s="256">
        <v>36.315188251999999</v>
      </c>
      <c r="D31" s="256">
        <v>36.315188251999999</v>
      </c>
      <c r="E31" s="256">
        <v>36.315188251999999</v>
      </c>
      <c r="F31" s="256">
        <v>38.774449427</v>
      </c>
      <c r="G31" s="256">
        <v>38.774449427</v>
      </c>
      <c r="H31" s="256">
        <v>38.774449427</v>
      </c>
      <c r="I31" s="256">
        <v>39.508089560999998</v>
      </c>
      <c r="J31" s="256">
        <v>39.508089560999998</v>
      </c>
      <c r="K31" s="256">
        <v>39.508089560999998</v>
      </c>
      <c r="L31" s="256">
        <v>39.170309048</v>
      </c>
      <c r="M31" s="256">
        <v>39.170309048</v>
      </c>
      <c r="N31" s="256">
        <v>39.170309048</v>
      </c>
      <c r="O31" s="256">
        <v>39.165229027999999</v>
      </c>
      <c r="P31" s="256">
        <v>39.165229027999999</v>
      </c>
      <c r="Q31" s="256">
        <v>39.165229027999999</v>
      </c>
      <c r="R31" s="256">
        <v>40.665085173000001</v>
      </c>
      <c r="S31" s="256">
        <v>40.665085173000001</v>
      </c>
      <c r="T31" s="256">
        <v>40.665085173000001</v>
      </c>
      <c r="U31" s="256">
        <v>41.077269483000002</v>
      </c>
      <c r="V31" s="256">
        <v>41.077269483000002</v>
      </c>
      <c r="W31" s="256">
        <v>41.077269483000002</v>
      </c>
      <c r="X31" s="256">
        <v>40.778775285000002</v>
      </c>
      <c r="Y31" s="256">
        <v>40.778775285000002</v>
      </c>
      <c r="Z31" s="256">
        <v>40.778775285000002</v>
      </c>
      <c r="AA31" s="256">
        <v>40.950459186000003</v>
      </c>
      <c r="AB31" s="256">
        <v>40.846274065999999</v>
      </c>
      <c r="AC31" s="256">
        <v>40.948472340000002</v>
      </c>
      <c r="AD31" s="256">
        <v>41.490193816000001</v>
      </c>
      <c r="AE31" s="256">
        <v>41.585271704999997</v>
      </c>
      <c r="AF31" s="256">
        <v>41.758266407000001</v>
      </c>
      <c r="AG31" s="256">
        <v>42.322351716</v>
      </c>
      <c r="AH31" s="256">
        <v>42.327005872999997</v>
      </c>
      <c r="AI31" s="256">
        <v>42.335407953000001</v>
      </c>
      <c r="AJ31" s="256">
        <v>42.562147746999997</v>
      </c>
      <c r="AK31" s="256">
        <v>42.583724801000002</v>
      </c>
      <c r="AL31" s="256">
        <v>42.543286377000001</v>
      </c>
      <c r="AM31" s="256">
        <v>42.473727953999997</v>
      </c>
      <c r="AN31" s="256">
        <v>42.558872045000001</v>
      </c>
      <c r="AO31" s="256">
        <v>42.600407703999998</v>
      </c>
      <c r="AP31" s="256">
        <v>43.085828878999997</v>
      </c>
      <c r="AQ31" s="256">
        <v>43.190940619000003</v>
      </c>
      <c r="AR31" s="256">
        <v>43.409345938000001</v>
      </c>
      <c r="AS31" s="256">
        <v>43.234337265000001</v>
      </c>
      <c r="AT31" s="256">
        <v>43.120141570000001</v>
      </c>
      <c r="AU31" s="256">
        <v>43.463143809999998</v>
      </c>
      <c r="AV31" s="256">
        <v>43.843703073999997</v>
      </c>
      <c r="AW31" s="256">
        <v>43.967665674999999</v>
      </c>
      <c r="AX31" s="256">
        <v>43.462936089999999</v>
      </c>
      <c r="AY31" s="256">
        <v>43.722017946000001</v>
      </c>
      <c r="AZ31" s="256">
        <v>43.640646255</v>
      </c>
      <c r="BA31" s="256">
        <v>43.728119274000001</v>
      </c>
      <c r="BB31" s="256">
        <v>44.292111615000003</v>
      </c>
      <c r="BC31" s="256">
        <v>44.500022311999999</v>
      </c>
      <c r="BD31" s="256">
        <v>44.855750524999998</v>
      </c>
      <c r="BE31" s="416">
        <v>45.050503560999999</v>
      </c>
      <c r="BF31" s="416">
        <v>44.911061423</v>
      </c>
      <c r="BG31" s="416">
        <v>45.256423052000002</v>
      </c>
      <c r="BH31" s="416">
        <v>44.917934741000003</v>
      </c>
      <c r="BI31" s="416">
        <v>44.973752709999999</v>
      </c>
      <c r="BJ31" s="416">
        <v>44.389469693000002</v>
      </c>
      <c r="BK31" s="416">
        <v>44.698216000000002</v>
      </c>
      <c r="BL31" s="416">
        <v>44.761541723999997</v>
      </c>
      <c r="BM31" s="416">
        <v>44.885434107999998</v>
      </c>
      <c r="BN31" s="416">
        <v>46.201685218999998</v>
      </c>
      <c r="BO31" s="416">
        <v>46.271262878999998</v>
      </c>
      <c r="BP31" s="416">
        <v>46.508501271</v>
      </c>
      <c r="BQ31" s="416">
        <v>46.718939656000003</v>
      </c>
      <c r="BR31" s="416">
        <v>46.573984660999997</v>
      </c>
      <c r="BS31" s="416">
        <v>46.929481256000003</v>
      </c>
      <c r="BT31" s="416">
        <v>46.055860248000002</v>
      </c>
      <c r="BU31" s="416">
        <v>46.115933069999997</v>
      </c>
      <c r="BV31" s="416">
        <v>45.509233203999997</v>
      </c>
    </row>
    <row r="32" spans="1:74" ht="11.1" customHeight="1">
      <c r="A32" s="163" t="s">
        <v>337</v>
      </c>
      <c r="B32" s="174" t="s">
        <v>324</v>
      </c>
      <c r="C32" s="256">
        <v>3.9277012512999998</v>
      </c>
      <c r="D32" s="256">
        <v>3.9277012512999998</v>
      </c>
      <c r="E32" s="256">
        <v>3.9277012512999998</v>
      </c>
      <c r="F32" s="256">
        <v>4.0149660810999999</v>
      </c>
      <c r="G32" s="256">
        <v>4.0149660810999999</v>
      </c>
      <c r="H32" s="256">
        <v>4.0149660810999999</v>
      </c>
      <c r="I32" s="256">
        <v>4.2790143219000001</v>
      </c>
      <c r="J32" s="256">
        <v>4.2790143219000001</v>
      </c>
      <c r="K32" s="256">
        <v>4.2790143219000001</v>
      </c>
      <c r="L32" s="256">
        <v>4.2083967691000002</v>
      </c>
      <c r="M32" s="256">
        <v>4.2083967691000002</v>
      </c>
      <c r="N32" s="256">
        <v>4.2083967691000002</v>
      </c>
      <c r="O32" s="256">
        <v>4.0578179095999998</v>
      </c>
      <c r="P32" s="256">
        <v>4.0578179095999998</v>
      </c>
      <c r="Q32" s="256">
        <v>4.0578179095999998</v>
      </c>
      <c r="R32" s="256">
        <v>3.99905226</v>
      </c>
      <c r="S32" s="256">
        <v>3.99905226</v>
      </c>
      <c r="T32" s="256">
        <v>3.99905226</v>
      </c>
      <c r="U32" s="256">
        <v>4.2380989704000003</v>
      </c>
      <c r="V32" s="256">
        <v>4.2380989704000003</v>
      </c>
      <c r="W32" s="256">
        <v>4.2380989704000003</v>
      </c>
      <c r="X32" s="256">
        <v>4.2410870543000003</v>
      </c>
      <c r="Y32" s="256">
        <v>4.2410870543000003</v>
      </c>
      <c r="Z32" s="256">
        <v>4.2410870543000003</v>
      </c>
      <c r="AA32" s="256">
        <v>4.3281178540000003</v>
      </c>
      <c r="AB32" s="256">
        <v>4.3281178540000003</v>
      </c>
      <c r="AC32" s="256">
        <v>4.3281178540000003</v>
      </c>
      <c r="AD32" s="256">
        <v>4.4760876940000003</v>
      </c>
      <c r="AE32" s="256">
        <v>4.4760876940000003</v>
      </c>
      <c r="AF32" s="256">
        <v>4.4760876940000003</v>
      </c>
      <c r="AG32" s="256">
        <v>4.7011251620000003</v>
      </c>
      <c r="AH32" s="256">
        <v>4.7011251620000003</v>
      </c>
      <c r="AI32" s="256">
        <v>4.7011251620000003</v>
      </c>
      <c r="AJ32" s="256">
        <v>4.6959873209999996</v>
      </c>
      <c r="AK32" s="256">
        <v>4.6959873209999996</v>
      </c>
      <c r="AL32" s="256">
        <v>4.6959873209999996</v>
      </c>
      <c r="AM32" s="256">
        <v>4.6582627509999996</v>
      </c>
      <c r="AN32" s="256">
        <v>4.5376308390000002</v>
      </c>
      <c r="AO32" s="256">
        <v>4.5626423090000001</v>
      </c>
      <c r="AP32" s="256">
        <v>4.6573960190000001</v>
      </c>
      <c r="AQ32" s="256">
        <v>4.6097600449999998</v>
      </c>
      <c r="AR32" s="256">
        <v>4.6041161820000003</v>
      </c>
      <c r="AS32" s="256">
        <v>4.8398582829999999</v>
      </c>
      <c r="AT32" s="256">
        <v>4.7376149679999999</v>
      </c>
      <c r="AU32" s="256">
        <v>4.7931936239999997</v>
      </c>
      <c r="AV32" s="256">
        <v>4.7683561279999997</v>
      </c>
      <c r="AW32" s="256">
        <v>4.7623971950000001</v>
      </c>
      <c r="AX32" s="256">
        <v>4.7834125119999999</v>
      </c>
      <c r="AY32" s="256">
        <v>4.8405979229999998</v>
      </c>
      <c r="AZ32" s="256">
        <v>4.7164224260000003</v>
      </c>
      <c r="BA32" s="256">
        <v>4.7406486489999997</v>
      </c>
      <c r="BB32" s="256">
        <v>4.7353390839999996</v>
      </c>
      <c r="BC32" s="256">
        <v>4.6857465510000003</v>
      </c>
      <c r="BD32" s="256">
        <v>4.6797826320000002</v>
      </c>
      <c r="BE32" s="416">
        <v>5.028580754</v>
      </c>
      <c r="BF32" s="416">
        <v>4.922494897</v>
      </c>
      <c r="BG32" s="416">
        <v>4.9802338429999997</v>
      </c>
      <c r="BH32" s="416">
        <v>4.9548175590000003</v>
      </c>
      <c r="BI32" s="416">
        <v>4.9487053860000003</v>
      </c>
      <c r="BJ32" s="416">
        <v>4.9708149080000004</v>
      </c>
      <c r="BK32" s="416">
        <v>5.0028594450000003</v>
      </c>
      <c r="BL32" s="416">
        <v>4.8760615029999999</v>
      </c>
      <c r="BM32" s="416">
        <v>4.8988458499999998</v>
      </c>
      <c r="BN32" s="416">
        <v>4.8935994330000003</v>
      </c>
      <c r="BO32" s="416">
        <v>4.8422669579999997</v>
      </c>
      <c r="BP32" s="416">
        <v>4.8360194480000001</v>
      </c>
      <c r="BQ32" s="416">
        <v>5.1963117829999996</v>
      </c>
      <c r="BR32" s="416">
        <v>5.0869699490000002</v>
      </c>
      <c r="BS32" s="416">
        <v>5.1465899889999998</v>
      </c>
      <c r="BT32" s="416">
        <v>5.1207284150000003</v>
      </c>
      <c r="BU32" s="416">
        <v>5.1145288500000001</v>
      </c>
      <c r="BV32" s="416">
        <v>5.1377208599999999</v>
      </c>
    </row>
    <row r="33" spans="1:74" ht="11.1" customHeight="1">
      <c r="A33" s="163" t="s">
        <v>338</v>
      </c>
      <c r="B33" s="174" t="s">
        <v>320</v>
      </c>
      <c r="C33" s="256">
        <v>0.68650522245000001</v>
      </c>
      <c r="D33" s="256">
        <v>0.68650522245000001</v>
      </c>
      <c r="E33" s="256">
        <v>0.68650522245000001</v>
      </c>
      <c r="F33" s="256">
        <v>0.70205354295</v>
      </c>
      <c r="G33" s="256">
        <v>0.70205354295</v>
      </c>
      <c r="H33" s="256">
        <v>0.70205354295</v>
      </c>
      <c r="I33" s="256">
        <v>0.68325414291999997</v>
      </c>
      <c r="J33" s="256">
        <v>0.68325414291999997</v>
      </c>
      <c r="K33" s="256">
        <v>0.68325414291999997</v>
      </c>
      <c r="L33" s="256">
        <v>0.66301671954999997</v>
      </c>
      <c r="M33" s="256">
        <v>0.66301671954999997</v>
      </c>
      <c r="N33" s="256">
        <v>0.66301671954999997</v>
      </c>
      <c r="O33" s="256">
        <v>0.65669209181999999</v>
      </c>
      <c r="P33" s="256">
        <v>0.65669209181999999</v>
      </c>
      <c r="Q33" s="256">
        <v>0.65669209181999999</v>
      </c>
      <c r="R33" s="256">
        <v>0.66904198514000002</v>
      </c>
      <c r="S33" s="256">
        <v>0.66904198514000002</v>
      </c>
      <c r="T33" s="256">
        <v>0.66904198514000002</v>
      </c>
      <c r="U33" s="256">
        <v>0.67783467399999997</v>
      </c>
      <c r="V33" s="256">
        <v>0.67783467399999997</v>
      </c>
      <c r="W33" s="256">
        <v>0.67783467399999997</v>
      </c>
      <c r="X33" s="256">
        <v>0.69501397532999998</v>
      </c>
      <c r="Y33" s="256">
        <v>0.69501397532999998</v>
      </c>
      <c r="Z33" s="256">
        <v>0.69501397532999998</v>
      </c>
      <c r="AA33" s="256">
        <v>0.64832502151000004</v>
      </c>
      <c r="AB33" s="256">
        <v>0.64603677843999996</v>
      </c>
      <c r="AC33" s="256">
        <v>0.64568515562999995</v>
      </c>
      <c r="AD33" s="256">
        <v>0.68167562206999999</v>
      </c>
      <c r="AE33" s="256">
        <v>0.68165153435000003</v>
      </c>
      <c r="AF33" s="256">
        <v>0.68164099153000002</v>
      </c>
      <c r="AG33" s="256">
        <v>0.72465835546000001</v>
      </c>
      <c r="AH33" s="256">
        <v>0.72465574670999999</v>
      </c>
      <c r="AI33" s="256">
        <v>0.72465441682999998</v>
      </c>
      <c r="AJ33" s="256">
        <v>0.73371486876000003</v>
      </c>
      <c r="AK33" s="256">
        <v>0.73371452148000005</v>
      </c>
      <c r="AL33" s="256">
        <v>0.73371434394000001</v>
      </c>
      <c r="AM33" s="256">
        <v>0.68050475464000004</v>
      </c>
      <c r="AN33" s="256">
        <v>0.68407862357000004</v>
      </c>
      <c r="AO33" s="256">
        <v>0.68635826675</v>
      </c>
      <c r="AP33" s="256">
        <v>0.68602983919000005</v>
      </c>
      <c r="AQ33" s="256">
        <v>0.68453775146999996</v>
      </c>
      <c r="AR33" s="256">
        <v>0.70196262965</v>
      </c>
      <c r="AS33" s="256">
        <v>0.70723597158999996</v>
      </c>
      <c r="AT33" s="256">
        <v>0.71175777584</v>
      </c>
      <c r="AU33" s="256">
        <v>0.71809940796000005</v>
      </c>
      <c r="AV33" s="256">
        <v>0.71886971688000001</v>
      </c>
      <c r="AW33" s="256">
        <v>0.70657297760000004</v>
      </c>
      <c r="AX33" s="256">
        <v>0.70567432907000005</v>
      </c>
      <c r="AY33" s="256">
        <v>0.68530434776000004</v>
      </c>
      <c r="AZ33" s="256">
        <v>0.68898171369000005</v>
      </c>
      <c r="BA33" s="256">
        <v>0.69126834587999997</v>
      </c>
      <c r="BB33" s="256">
        <v>0.69104161632000005</v>
      </c>
      <c r="BC33" s="256">
        <v>0.6893132636</v>
      </c>
      <c r="BD33" s="256">
        <v>0.70691008278</v>
      </c>
      <c r="BE33" s="416">
        <v>0.71220834770999997</v>
      </c>
      <c r="BF33" s="416">
        <v>0.71651189695999995</v>
      </c>
      <c r="BG33" s="416">
        <v>0.72282428807999999</v>
      </c>
      <c r="BH33" s="416">
        <v>0.72375452501000004</v>
      </c>
      <c r="BI33" s="416">
        <v>0.71137742172999996</v>
      </c>
      <c r="BJ33" s="416">
        <v>0.71085370119000002</v>
      </c>
      <c r="BK33" s="416">
        <v>0.69291094388999996</v>
      </c>
      <c r="BL33" s="416">
        <v>0.69671515681999996</v>
      </c>
      <c r="BM33" s="416">
        <v>0.69901738000000002</v>
      </c>
      <c r="BN33" s="416">
        <v>0.69887383944000003</v>
      </c>
      <c r="BO33" s="416">
        <v>0.69689996072000004</v>
      </c>
      <c r="BP33" s="416">
        <v>0.71473336489999995</v>
      </c>
      <c r="BQ33" s="416">
        <v>0.72005726684000004</v>
      </c>
      <c r="BR33" s="416">
        <v>0.72415330809</v>
      </c>
      <c r="BS33" s="416">
        <v>0.73045760020999995</v>
      </c>
      <c r="BT33" s="416">
        <v>0.73157373712999996</v>
      </c>
      <c r="BU33" s="416">
        <v>0.71907166085999996</v>
      </c>
      <c r="BV33" s="416">
        <v>0.71892766131999997</v>
      </c>
    </row>
    <row r="34" spans="1:74" ht="11.1" customHeight="1">
      <c r="A34" s="163" t="s">
        <v>339</v>
      </c>
      <c r="B34" s="174" t="s">
        <v>325</v>
      </c>
      <c r="C34" s="256">
        <v>7.7367731523999996</v>
      </c>
      <c r="D34" s="256">
        <v>7.7367731523999996</v>
      </c>
      <c r="E34" s="256">
        <v>7.7367731523999996</v>
      </c>
      <c r="F34" s="256">
        <v>8.7112720161000006</v>
      </c>
      <c r="G34" s="256">
        <v>8.7112720161000006</v>
      </c>
      <c r="H34" s="256">
        <v>8.7112720161000006</v>
      </c>
      <c r="I34" s="256">
        <v>8.8605240221999999</v>
      </c>
      <c r="J34" s="256">
        <v>8.8605240221999999</v>
      </c>
      <c r="K34" s="256">
        <v>8.8605240221999999</v>
      </c>
      <c r="L34" s="256">
        <v>8.8437068947000004</v>
      </c>
      <c r="M34" s="256">
        <v>8.8437068947000004</v>
      </c>
      <c r="N34" s="256">
        <v>8.8437068947000004</v>
      </c>
      <c r="O34" s="256">
        <v>8.8916659994000007</v>
      </c>
      <c r="P34" s="256">
        <v>8.8916659994000007</v>
      </c>
      <c r="Q34" s="256">
        <v>8.8916659994000007</v>
      </c>
      <c r="R34" s="256">
        <v>9.4616840203999999</v>
      </c>
      <c r="S34" s="256">
        <v>9.4616840203999999</v>
      </c>
      <c r="T34" s="256">
        <v>9.4616840203999999</v>
      </c>
      <c r="U34" s="256">
        <v>9.5713817330000008</v>
      </c>
      <c r="V34" s="256">
        <v>9.5713817330000008</v>
      </c>
      <c r="W34" s="256">
        <v>9.5713817330000008</v>
      </c>
      <c r="X34" s="256">
        <v>9.3878687370999998</v>
      </c>
      <c r="Y34" s="256">
        <v>9.3878687370999998</v>
      </c>
      <c r="Z34" s="256">
        <v>9.3878687370999998</v>
      </c>
      <c r="AA34" s="256">
        <v>9.9571033440000001</v>
      </c>
      <c r="AB34" s="256">
        <v>9.9571033440000001</v>
      </c>
      <c r="AC34" s="256">
        <v>9.9571033440000001</v>
      </c>
      <c r="AD34" s="256">
        <v>9.5419623999999992</v>
      </c>
      <c r="AE34" s="256">
        <v>9.5419623999999992</v>
      </c>
      <c r="AF34" s="256">
        <v>9.5419623999999992</v>
      </c>
      <c r="AG34" s="256">
        <v>9.6638388450000008</v>
      </c>
      <c r="AH34" s="256">
        <v>9.6638388450000008</v>
      </c>
      <c r="AI34" s="256">
        <v>9.6638388450000008</v>
      </c>
      <c r="AJ34" s="256">
        <v>10.008512783</v>
      </c>
      <c r="AK34" s="256">
        <v>10.008512783</v>
      </c>
      <c r="AL34" s="256">
        <v>10.008512783</v>
      </c>
      <c r="AM34" s="256">
        <v>10.364541075</v>
      </c>
      <c r="AN34" s="256">
        <v>10.186811797000001</v>
      </c>
      <c r="AO34" s="256">
        <v>10.218884855000001</v>
      </c>
      <c r="AP34" s="256">
        <v>9.9859751439999993</v>
      </c>
      <c r="AQ34" s="256">
        <v>9.980106825</v>
      </c>
      <c r="AR34" s="256">
        <v>10.112237838</v>
      </c>
      <c r="AS34" s="256">
        <v>9.8171891159999998</v>
      </c>
      <c r="AT34" s="256">
        <v>9.7580989819999999</v>
      </c>
      <c r="AU34" s="256">
        <v>10.015435692000001</v>
      </c>
      <c r="AV34" s="256">
        <v>10.488955591</v>
      </c>
      <c r="AW34" s="256">
        <v>10.698588763</v>
      </c>
      <c r="AX34" s="256">
        <v>10.402308502</v>
      </c>
      <c r="AY34" s="256">
        <v>10.632533179999999</v>
      </c>
      <c r="AZ34" s="256">
        <v>10.446183186000001</v>
      </c>
      <c r="BA34" s="256">
        <v>10.479811939999999</v>
      </c>
      <c r="BB34" s="256">
        <v>10.537319091000001</v>
      </c>
      <c r="BC34" s="256">
        <v>10.373890417</v>
      </c>
      <c r="BD34" s="256">
        <v>10.512430413000001</v>
      </c>
      <c r="BE34" s="416">
        <v>10.512771376</v>
      </c>
      <c r="BF34" s="416">
        <v>10.450815089000001</v>
      </c>
      <c r="BG34" s="416">
        <v>10.720633853000001</v>
      </c>
      <c r="BH34" s="416">
        <v>10.731527249000001</v>
      </c>
      <c r="BI34" s="416">
        <v>10.951328627000001</v>
      </c>
      <c r="BJ34" s="416">
        <v>10.640677364</v>
      </c>
      <c r="BK34" s="416">
        <v>10.77636659</v>
      </c>
      <c r="BL34" s="416">
        <v>10.582011941999999</v>
      </c>
      <c r="BM34" s="416">
        <v>10.617085217</v>
      </c>
      <c r="BN34" s="416">
        <v>11.302835551999999</v>
      </c>
      <c r="BO34" s="416">
        <v>11.132386809</v>
      </c>
      <c r="BP34" s="416">
        <v>11.276877782</v>
      </c>
      <c r="BQ34" s="416">
        <v>11.172937897000001</v>
      </c>
      <c r="BR34" s="416">
        <v>11.108320280999999</v>
      </c>
      <c r="BS34" s="416">
        <v>11.389729096</v>
      </c>
      <c r="BT34" s="416">
        <v>10.879612944</v>
      </c>
      <c r="BU34" s="416">
        <v>11.108855878</v>
      </c>
      <c r="BV34" s="416">
        <v>10.784860607000001</v>
      </c>
    </row>
    <row r="35" spans="1:74" ht="11.1" customHeight="1">
      <c r="A35" s="163" t="s">
        <v>340</v>
      </c>
      <c r="B35" s="174" t="s">
        <v>326</v>
      </c>
      <c r="C35" s="256">
        <v>9.4149091642999991</v>
      </c>
      <c r="D35" s="256">
        <v>9.4149091642999991</v>
      </c>
      <c r="E35" s="256">
        <v>9.4149091642999991</v>
      </c>
      <c r="F35" s="256">
        <v>9.9459585484000002</v>
      </c>
      <c r="G35" s="256">
        <v>9.9459585484000002</v>
      </c>
      <c r="H35" s="256">
        <v>9.9459585484000002</v>
      </c>
      <c r="I35" s="256">
        <v>9.8370048662999992</v>
      </c>
      <c r="J35" s="256">
        <v>9.8370048662999992</v>
      </c>
      <c r="K35" s="256">
        <v>9.8370048662999992</v>
      </c>
      <c r="L35" s="256">
        <v>10.218532099999999</v>
      </c>
      <c r="M35" s="256">
        <v>10.218532099999999</v>
      </c>
      <c r="N35" s="256">
        <v>10.218532099999999</v>
      </c>
      <c r="O35" s="256">
        <v>10.347832152000001</v>
      </c>
      <c r="P35" s="256">
        <v>10.347832152000001</v>
      </c>
      <c r="Q35" s="256">
        <v>10.347832152000001</v>
      </c>
      <c r="R35" s="256">
        <v>10.590826287000001</v>
      </c>
      <c r="S35" s="256">
        <v>10.590826287000001</v>
      </c>
      <c r="T35" s="256">
        <v>10.590826287000001</v>
      </c>
      <c r="U35" s="256">
        <v>10.235806194</v>
      </c>
      <c r="V35" s="256">
        <v>10.235806194</v>
      </c>
      <c r="W35" s="256">
        <v>10.235806194</v>
      </c>
      <c r="X35" s="256">
        <v>10.612105475</v>
      </c>
      <c r="Y35" s="256">
        <v>10.612105475</v>
      </c>
      <c r="Z35" s="256">
        <v>10.612105475</v>
      </c>
      <c r="AA35" s="256">
        <v>10.428798793</v>
      </c>
      <c r="AB35" s="256">
        <v>10.426649927</v>
      </c>
      <c r="AC35" s="256">
        <v>10.428704689</v>
      </c>
      <c r="AD35" s="256">
        <v>10.402094223000001</v>
      </c>
      <c r="AE35" s="256">
        <v>10.401877318</v>
      </c>
      <c r="AF35" s="256">
        <v>10.404713148000001</v>
      </c>
      <c r="AG35" s="256">
        <v>10.097639869</v>
      </c>
      <c r="AH35" s="256">
        <v>10.099757350000001</v>
      </c>
      <c r="AI35" s="256">
        <v>10.098788560999999</v>
      </c>
      <c r="AJ35" s="256">
        <v>10.530613637</v>
      </c>
      <c r="AK35" s="256">
        <v>10.533989735</v>
      </c>
      <c r="AL35" s="256">
        <v>10.528830437</v>
      </c>
      <c r="AM35" s="256">
        <v>10.440670347999999</v>
      </c>
      <c r="AN35" s="256">
        <v>10.616279114999999</v>
      </c>
      <c r="AO35" s="256">
        <v>10.572579975</v>
      </c>
      <c r="AP35" s="256">
        <v>10.830391722</v>
      </c>
      <c r="AQ35" s="256">
        <v>10.822882006</v>
      </c>
      <c r="AR35" s="256">
        <v>10.722996194</v>
      </c>
      <c r="AS35" s="256">
        <v>10.360230184000001</v>
      </c>
      <c r="AT35" s="256">
        <v>10.329264925</v>
      </c>
      <c r="AU35" s="256">
        <v>10.353711849</v>
      </c>
      <c r="AV35" s="256">
        <v>10.522974102999999</v>
      </c>
      <c r="AW35" s="256">
        <v>10.661841432999999</v>
      </c>
      <c r="AX35" s="256">
        <v>10.663959892999999</v>
      </c>
      <c r="AY35" s="256">
        <v>10.623337868</v>
      </c>
      <c r="AZ35" s="256">
        <v>10.803887678000001</v>
      </c>
      <c r="BA35" s="256">
        <v>10.758533122999999</v>
      </c>
      <c r="BB35" s="256">
        <v>10.954269526999999</v>
      </c>
      <c r="BC35" s="256">
        <v>10.948186132</v>
      </c>
      <c r="BD35" s="256">
        <v>10.844279590999999</v>
      </c>
      <c r="BE35" s="416">
        <v>10.511454096</v>
      </c>
      <c r="BF35" s="416">
        <v>10.475471912</v>
      </c>
      <c r="BG35" s="416">
        <v>10.500887128</v>
      </c>
      <c r="BH35" s="416">
        <v>10.696242914000001</v>
      </c>
      <c r="BI35" s="416">
        <v>10.841969039</v>
      </c>
      <c r="BJ35" s="416">
        <v>10.844569977000001</v>
      </c>
      <c r="BK35" s="416">
        <v>10.836969466999999</v>
      </c>
      <c r="BL35" s="416">
        <v>11.022599737</v>
      </c>
      <c r="BM35" s="416">
        <v>10.975519602</v>
      </c>
      <c r="BN35" s="416">
        <v>11.170153664000001</v>
      </c>
      <c r="BO35" s="416">
        <v>11.165245365000001</v>
      </c>
      <c r="BP35" s="416">
        <v>11.057400787000001</v>
      </c>
      <c r="BQ35" s="416">
        <v>10.713792244</v>
      </c>
      <c r="BR35" s="416">
        <v>10.672880859999999</v>
      </c>
      <c r="BS35" s="416">
        <v>10.699041037000001</v>
      </c>
      <c r="BT35" s="416">
        <v>10.901006324000001</v>
      </c>
      <c r="BU35" s="416">
        <v>11.053583372</v>
      </c>
      <c r="BV35" s="416">
        <v>11.056510841</v>
      </c>
    </row>
    <row r="36" spans="1:74" ht="11.1" customHeight="1">
      <c r="A36" s="163" t="s">
        <v>341</v>
      </c>
      <c r="B36" s="174" t="s">
        <v>327</v>
      </c>
      <c r="C36" s="256">
        <v>14.549299462</v>
      </c>
      <c r="D36" s="256">
        <v>14.549299462</v>
      </c>
      <c r="E36" s="256">
        <v>14.549299462</v>
      </c>
      <c r="F36" s="256">
        <v>15.400199239000001</v>
      </c>
      <c r="G36" s="256">
        <v>15.400199239000001</v>
      </c>
      <c r="H36" s="256">
        <v>15.400199239000001</v>
      </c>
      <c r="I36" s="256">
        <v>15.848292207</v>
      </c>
      <c r="J36" s="256">
        <v>15.848292207</v>
      </c>
      <c r="K36" s="256">
        <v>15.848292207</v>
      </c>
      <c r="L36" s="256">
        <v>15.236656564</v>
      </c>
      <c r="M36" s="256">
        <v>15.236656564</v>
      </c>
      <c r="N36" s="256">
        <v>15.236656564</v>
      </c>
      <c r="O36" s="256">
        <v>15.211220875</v>
      </c>
      <c r="P36" s="256">
        <v>15.211220875</v>
      </c>
      <c r="Q36" s="256">
        <v>15.211220875</v>
      </c>
      <c r="R36" s="256">
        <v>15.94448062</v>
      </c>
      <c r="S36" s="256">
        <v>15.94448062</v>
      </c>
      <c r="T36" s="256">
        <v>15.94448062</v>
      </c>
      <c r="U36" s="256">
        <v>16.354147911999998</v>
      </c>
      <c r="V36" s="256">
        <v>16.354147911999998</v>
      </c>
      <c r="W36" s="256">
        <v>16.354147911999998</v>
      </c>
      <c r="X36" s="256">
        <v>15.842700044000001</v>
      </c>
      <c r="Y36" s="256">
        <v>15.842700044000001</v>
      </c>
      <c r="Z36" s="256">
        <v>15.842700044000001</v>
      </c>
      <c r="AA36" s="256">
        <v>15.588114172999999</v>
      </c>
      <c r="AB36" s="256">
        <v>15.488366163</v>
      </c>
      <c r="AC36" s="256">
        <v>15.588861297999999</v>
      </c>
      <c r="AD36" s="256">
        <v>16.388373876999999</v>
      </c>
      <c r="AE36" s="256">
        <v>16.483692759</v>
      </c>
      <c r="AF36" s="256">
        <v>16.653862174</v>
      </c>
      <c r="AG36" s="256">
        <v>17.135089485000002</v>
      </c>
      <c r="AH36" s="256">
        <v>17.137628769999999</v>
      </c>
      <c r="AI36" s="256">
        <v>17.147000968</v>
      </c>
      <c r="AJ36" s="256">
        <v>16.593319137000002</v>
      </c>
      <c r="AK36" s="256">
        <v>16.611520441</v>
      </c>
      <c r="AL36" s="256">
        <v>16.576241493000001</v>
      </c>
      <c r="AM36" s="256">
        <v>16.329749025000002</v>
      </c>
      <c r="AN36" s="256">
        <v>16.534071669999999</v>
      </c>
      <c r="AO36" s="256">
        <v>16.559942297999999</v>
      </c>
      <c r="AP36" s="256">
        <v>16.926036153999998</v>
      </c>
      <c r="AQ36" s="256">
        <v>17.093653991</v>
      </c>
      <c r="AR36" s="256">
        <v>17.268033094</v>
      </c>
      <c r="AS36" s="256">
        <v>17.509823709999999</v>
      </c>
      <c r="AT36" s="256">
        <v>17.583404918999999</v>
      </c>
      <c r="AU36" s="256">
        <v>17.582703237</v>
      </c>
      <c r="AV36" s="256">
        <v>17.344547535</v>
      </c>
      <c r="AW36" s="256">
        <v>17.138265306000001</v>
      </c>
      <c r="AX36" s="256">
        <v>16.907580853999999</v>
      </c>
      <c r="AY36" s="256">
        <v>16.940244627999999</v>
      </c>
      <c r="AZ36" s="256">
        <v>16.985171251000001</v>
      </c>
      <c r="BA36" s="256">
        <v>17.057857215999999</v>
      </c>
      <c r="BB36" s="256">
        <v>17.374142296999999</v>
      </c>
      <c r="BC36" s="256">
        <v>17.802885948</v>
      </c>
      <c r="BD36" s="256">
        <v>18.112347806999999</v>
      </c>
      <c r="BE36" s="416">
        <v>18.285488988000001</v>
      </c>
      <c r="BF36" s="416">
        <v>18.345767628000001</v>
      </c>
      <c r="BG36" s="416">
        <v>18.331843939999999</v>
      </c>
      <c r="BH36" s="416">
        <v>17.811592494999999</v>
      </c>
      <c r="BI36" s="416">
        <v>17.520372237</v>
      </c>
      <c r="BJ36" s="416">
        <v>17.222553742999999</v>
      </c>
      <c r="BK36" s="416">
        <v>17.389109555000001</v>
      </c>
      <c r="BL36" s="416">
        <v>17.584153385</v>
      </c>
      <c r="BM36" s="416">
        <v>17.694966059999999</v>
      </c>
      <c r="BN36" s="416">
        <v>18.136222731</v>
      </c>
      <c r="BO36" s="416">
        <v>18.434463786999999</v>
      </c>
      <c r="BP36" s="416">
        <v>18.623469888999999</v>
      </c>
      <c r="BQ36" s="416">
        <v>18.915840465999999</v>
      </c>
      <c r="BR36" s="416">
        <v>18.981660262999998</v>
      </c>
      <c r="BS36" s="416">
        <v>18.963663533999998</v>
      </c>
      <c r="BT36" s="416">
        <v>18.422938827999999</v>
      </c>
      <c r="BU36" s="416">
        <v>18.119893308000002</v>
      </c>
      <c r="BV36" s="416">
        <v>17.811213234</v>
      </c>
    </row>
    <row r="37" spans="1:74" ht="11.1" customHeight="1">
      <c r="A37" s="163" t="s">
        <v>343</v>
      </c>
      <c r="B37" s="174" t="s">
        <v>252</v>
      </c>
      <c r="C37" s="256">
        <v>83.636813402000001</v>
      </c>
      <c r="D37" s="256">
        <v>83.908750101999999</v>
      </c>
      <c r="E37" s="256">
        <v>83.314771202000003</v>
      </c>
      <c r="F37" s="256">
        <v>84.736793437000003</v>
      </c>
      <c r="G37" s="256">
        <v>83.082471436999995</v>
      </c>
      <c r="H37" s="256">
        <v>84.745844937000001</v>
      </c>
      <c r="I37" s="256">
        <v>85.358934171000001</v>
      </c>
      <c r="J37" s="256">
        <v>84.904995370999998</v>
      </c>
      <c r="K37" s="256">
        <v>85.724001371</v>
      </c>
      <c r="L37" s="256">
        <v>85.631820458000007</v>
      </c>
      <c r="M37" s="256">
        <v>85.214006557999994</v>
      </c>
      <c r="N37" s="256">
        <v>86.883635358000006</v>
      </c>
      <c r="O37" s="256">
        <v>84.678159648000005</v>
      </c>
      <c r="P37" s="256">
        <v>86.699824247999999</v>
      </c>
      <c r="Q37" s="256">
        <v>86.483654947999995</v>
      </c>
      <c r="R37" s="256">
        <v>86.914456193000007</v>
      </c>
      <c r="S37" s="256">
        <v>85.767357593</v>
      </c>
      <c r="T37" s="256">
        <v>87.658206793000005</v>
      </c>
      <c r="U37" s="256">
        <v>87.973716503000006</v>
      </c>
      <c r="V37" s="256">
        <v>88.466305903000006</v>
      </c>
      <c r="W37" s="256">
        <v>88.965630602999994</v>
      </c>
      <c r="X37" s="256">
        <v>87.309077305000002</v>
      </c>
      <c r="Y37" s="256">
        <v>88.222515104999999</v>
      </c>
      <c r="Z37" s="256">
        <v>89.177096305000006</v>
      </c>
      <c r="AA37" s="256">
        <v>87.102313949999996</v>
      </c>
      <c r="AB37" s="256">
        <v>88.637616030000004</v>
      </c>
      <c r="AC37" s="256">
        <v>88.117082904</v>
      </c>
      <c r="AD37" s="256">
        <v>86.564419580000006</v>
      </c>
      <c r="AE37" s="256">
        <v>86.368649669000007</v>
      </c>
      <c r="AF37" s="256">
        <v>88.165968270999997</v>
      </c>
      <c r="AG37" s="256">
        <v>88.552445180000007</v>
      </c>
      <c r="AH37" s="256">
        <v>90.001137936999996</v>
      </c>
      <c r="AI37" s="256">
        <v>89.300021817000001</v>
      </c>
      <c r="AJ37" s="256">
        <v>88.747240711000003</v>
      </c>
      <c r="AK37" s="256">
        <v>89.318870465000003</v>
      </c>
      <c r="AL37" s="256">
        <v>89.745633240999993</v>
      </c>
      <c r="AM37" s="256">
        <v>87.583202604999997</v>
      </c>
      <c r="AN37" s="256">
        <v>90.340705095999994</v>
      </c>
      <c r="AO37" s="256">
        <v>88.474504855000006</v>
      </c>
      <c r="AP37" s="256">
        <v>87.970859930000003</v>
      </c>
      <c r="AQ37" s="256">
        <v>88.815202670000005</v>
      </c>
      <c r="AR37" s="256">
        <v>89.515212688999995</v>
      </c>
      <c r="AS37" s="256">
        <v>89.134344616000007</v>
      </c>
      <c r="AT37" s="256">
        <v>89.808584521</v>
      </c>
      <c r="AU37" s="256">
        <v>88.626143960999997</v>
      </c>
      <c r="AV37" s="256">
        <v>90.157749324999997</v>
      </c>
      <c r="AW37" s="256">
        <v>90.358512325999996</v>
      </c>
      <c r="AX37" s="256">
        <v>89.353401141000006</v>
      </c>
      <c r="AY37" s="256">
        <v>89.380331557999995</v>
      </c>
      <c r="AZ37" s="256">
        <v>90.103379867000001</v>
      </c>
      <c r="BA37" s="256">
        <v>88.684836286000007</v>
      </c>
      <c r="BB37" s="256">
        <v>89.297591104999995</v>
      </c>
      <c r="BC37" s="256">
        <v>89.287602749000001</v>
      </c>
      <c r="BD37" s="256">
        <v>90.379588557000005</v>
      </c>
      <c r="BE37" s="416">
        <v>90.292893707000005</v>
      </c>
      <c r="BF37" s="416">
        <v>90.455286276999999</v>
      </c>
      <c r="BG37" s="416">
        <v>90.837805106000005</v>
      </c>
      <c r="BH37" s="416">
        <v>90.584614293000001</v>
      </c>
      <c r="BI37" s="416">
        <v>90.805124616000001</v>
      </c>
      <c r="BJ37" s="416">
        <v>90.555374295999997</v>
      </c>
      <c r="BK37" s="416">
        <v>90.053644222000003</v>
      </c>
      <c r="BL37" s="416">
        <v>91.132824436999996</v>
      </c>
      <c r="BM37" s="416">
        <v>90.652507259000004</v>
      </c>
      <c r="BN37" s="416">
        <v>90.835588705000006</v>
      </c>
      <c r="BO37" s="416">
        <v>90.378292255999995</v>
      </c>
      <c r="BP37" s="416">
        <v>91.705472544000003</v>
      </c>
      <c r="BQ37" s="416">
        <v>91.744677956000004</v>
      </c>
      <c r="BR37" s="416">
        <v>91.915756006999999</v>
      </c>
      <c r="BS37" s="416">
        <v>92.296762725999997</v>
      </c>
      <c r="BT37" s="416">
        <v>91.535179649</v>
      </c>
      <c r="BU37" s="416">
        <v>91.770637579999999</v>
      </c>
      <c r="BV37" s="416">
        <v>91.531845692000005</v>
      </c>
    </row>
    <row r="38" spans="1:74" ht="11.1" customHeight="1">
      <c r="B38" s="174"/>
      <c r="C38" s="256"/>
      <c r="D38" s="256"/>
      <c r="E38" s="256"/>
      <c r="F38" s="256"/>
      <c r="G38" s="256"/>
      <c r="H38" s="256"/>
      <c r="I38" s="256"/>
      <c r="J38" s="256"/>
      <c r="K38" s="256"/>
      <c r="L38" s="256"/>
      <c r="M38" s="256"/>
      <c r="N38" s="256"/>
      <c r="O38" s="256"/>
      <c r="P38" s="256"/>
      <c r="Q38" s="256"/>
      <c r="R38" s="256"/>
      <c r="S38" s="256"/>
      <c r="T38" s="256"/>
      <c r="U38" s="256"/>
      <c r="V38" s="256"/>
      <c r="W38" s="256"/>
      <c r="X38" s="256"/>
      <c r="Y38" s="256"/>
      <c r="Z38" s="256"/>
      <c r="AA38" s="256"/>
      <c r="AB38" s="256"/>
      <c r="AC38" s="256"/>
      <c r="AD38" s="256"/>
      <c r="AE38" s="256"/>
      <c r="AF38" s="256"/>
      <c r="AG38" s="256"/>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6"/>
      <c r="BD38" s="256"/>
      <c r="BE38" s="416"/>
      <c r="BF38" s="416"/>
      <c r="BG38" s="416"/>
      <c r="BH38" s="416"/>
      <c r="BI38" s="416"/>
      <c r="BJ38" s="416"/>
      <c r="BK38" s="416"/>
      <c r="BL38" s="416"/>
      <c r="BM38" s="416"/>
      <c r="BN38" s="416"/>
      <c r="BO38" s="416"/>
      <c r="BP38" s="416"/>
      <c r="BQ38" s="416"/>
      <c r="BR38" s="416"/>
      <c r="BS38" s="416"/>
      <c r="BT38" s="416"/>
      <c r="BU38" s="416"/>
      <c r="BV38" s="416"/>
    </row>
    <row r="39" spans="1:74" ht="11.1" customHeight="1">
      <c r="B39" s="258" t="s">
        <v>799</v>
      </c>
      <c r="C39" s="256"/>
      <c r="D39" s="256"/>
      <c r="E39" s="256"/>
      <c r="F39" s="256"/>
      <c r="G39" s="256"/>
      <c r="H39" s="256"/>
      <c r="I39" s="256"/>
      <c r="J39" s="256"/>
      <c r="K39" s="256"/>
      <c r="L39" s="256"/>
      <c r="M39" s="256"/>
      <c r="N39" s="256"/>
      <c r="O39" s="256"/>
      <c r="P39" s="256"/>
      <c r="Q39" s="256"/>
      <c r="R39" s="256"/>
      <c r="S39" s="256"/>
      <c r="T39" s="256"/>
      <c r="U39" s="256"/>
      <c r="V39" s="256"/>
      <c r="W39" s="256"/>
      <c r="X39" s="256"/>
      <c r="Y39" s="256"/>
      <c r="Z39" s="256"/>
      <c r="AA39" s="256"/>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6"/>
      <c r="BD39" s="256"/>
      <c r="BE39" s="416"/>
      <c r="BF39" s="416"/>
      <c r="BG39" s="416"/>
      <c r="BH39" s="416"/>
      <c r="BI39" s="416"/>
      <c r="BJ39" s="416"/>
      <c r="BK39" s="416"/>
      <c r="BL39" s="416"/>
      <c r="BM39" s="416"/>
      <c r="BN39" s="416"/>
      <c r="BO39" s="416"/>
      <c r="BP39" s="416"/>
      <c r="BQ39" s="416"/>
      <c r="BR39" s="416"/>
      <c r="BS39" s="416"/>
      <c r="BT39" s="416"/>
      <c r="BU39" s="416"/>
      <c r="BV39" s="416"/>
    </row>
    <row r="40" spans="1:74" ht="11.1" customHeight="1">
      <c r="A40" s="163" t="s">
        <v>362</v>
      </c>
      <c r="B40" s="174" t="s">
        <v>795</v>
      </c>
      <c r="C40" s="256">
        <v>-0.93296774193999998</v>
      </c>
      <c r="D40" s="256">
        <v>-0.39407142856999999</v>
      </c>
      <c r="E40" s="256">
        <v>-0.83922580645</v>
      </c>
      <c r="F40" s="256">
        <v>-0.44453333333</v>
      </c>
      <c r="G40" s="256">
        <v>-0.4884516129</v>
      </c>
      <c r="H40" s="256">
        <v>-0.44090000000000001</v>
      </c>
      <c r="I40" s="256">
        <v>-0.17967741935000001</v>
      </c>
      <c r="J40" s="256">
        <v>0.52477419354999999</v>
      </c>
      <c r="K40" s="256">
        <v>-0.48756666666999998</v>
      </c>
      <c r="L40" s="256">
        <v>0.74751612902999998</v>
      </c>
      <c r="M40" s="256">
        <v>0.37353333332999999</v>
      </c>
      <c r="N40" s="256">
        <v>1.2126129031999999</v>
      </c>
      <c r="O40" s="256">
        <v>-0.30877419355000002</v>
      </c>
      <c r="P40" s="256">
        <v>4.5571428571000001E-2</v>
      </c>
      <c r="Q40" s="256">
        <v>-7.6774193547999997E-2</v>
      </c>
      <c r="R40" s="256">
        <v>-0.76166666667000005</v>
      </c>
      <c r="S40" s="256">
        <v>-0.66122580644999995</v>
      </c>
      <c r="T40" s="256">
        <v>-0.37323333332999997</v>
      </c>
      <c r="U40" s="256">
        <v>-0.44038709676999999</v>
      </c>
      <c r="V40" s="256">
        <v>-0.21383870967999999</v>
      </c>
      <c r="W40" s="256">
        <v>2.3366666667000002E-2</v>
      </c>
      <c r="X40" s="256">
        <v>0.45119354838999998</v>
      </c>
      <c r="Y40" s="256">
        <v>0.66656666666999997</v>
      </c>
      <c r="Z40" s="256">
        <v>1.0675161289999999</v>
      </c>
      <c r="AA40" s="256">
        <v>-0.49386325805999998</v>
      </c>
      <c r="AB40" s="256">
        <v>1.0330092856999999</v>
      </c>
      <c r="AC40" s="256">
        <v>0.13918961290000001</v>
      </c>
      <c r="AD40" s="256">
        <v>-0.10537926667</v>
      </c>
      <c r="AE40" s="256">
        <v>-0.88375154839000003</v>
      </c>
      <c r="AF40" s="256">
        <v>-5.9142733332999999E-2</v>
      </c>
      <c r="AG40" s="256">
        <v>-0.23067754838999999</v>
      </c>
      <c r="AH40" s="256">
        <v>0.64406416128999999</v>
      </c>
      <c r="AI40" s="256">
        <v>0.49177219999999999</v>
      </c>
      <c r="AJ40" s="256">
        <v>0.37069883870999998</v>
      </c>
      <c r="AK40" s="256">
        <v>-2.2796133332999999E-2</v>
      </c>
      <c r="AL40" s="256">
        <v>0.64642029032000003</v>
      </c>
      <c r="AM40" s="256">
        <v>-0.69994238710000001</v>
      </c>
      <c r="AN40" s="256">
        <v>0.22767375862</v>
      </c>
      <c r="AO40" s="256">
        <v>-0.40854858064999999</v>
      </c>
      <c r="AP40" s="256">
        <v>1.8213766667E-2</v>
      </c>
      <c r="AQ40" s="256">
        <v>-0.52402929032000001</v>
      </c>
      <c r="AR40" s="256">
        <v>-0.49347406666999999</v>
      </c>
      <c r="AS40" s="256">
        <v>-3.2644870967999999E-2</v>
      </c>
      <c r="AT40" s="256">
        <v>0.27239525805999998</v>
      </c>
      <c r="AU40" s="256">
        <v>-0.58164143332999996</v>
      </c>
      <c r="AV40" s="256">
        <v>0.27825925806000001</v>
      </c>
      <c r="AW40" s="256">
        <v>4.0419999999999998E-2</v>
      </c>
      <c r="AX40" s="256">
        <v>5.7213387097000003E-2</v>
      </c>
      <c r="AY40" s="256">
        <v>-0.18514625806000001</v>
      </c>
      <c r="AZ40" s="256">
        <v>0.77723421428999995</v>
      </c>
      <c r="BA40" s="256">
        <v>-7.8782903225999998E-2</v>
      </c>
      <c r="BB40" s="256">
        <v>-0.44424920000000001</v>
      </c>
      <c r="BC40" s="256">
        <v>-0.23373346774000001</v>
      </c>
      <c r="BD40" s="256">
        <v>-0.33218816822000002</v>
      </c>
      <c r="BE40" s="416">
        <v>-0.18545636946999999</v>
      </c>
      <c r="BF40" s="416">
        <v>0.12787096774000001</v>
      </c>
      <c r="BG40" s="416">
        <v>-0.13723333333000001</v>
      </c>
      <c r="BH40" s="416">
        <v>0.19058064516000001</v>
      </c>
      <c r="BI40" s="416">
        <v>0.12583333332999999</v>
      </c>
      <c r="BJ40" s="416">
        <v>0.80309677419000003</v>
      </c>
      <c r="BK40" s="416">
        <v>-0.48435483871000001</v>
      </c>
      <c r="BL40" s="416">
        <v>0.29939285714000002</v>
      </c>
      <c r="BM40" s="416">
        <v>5.9451612903000002E-2</v>
      </c>
      <c r="BN40" s="416">
        <v>-0.28906666667000003</v>
      </c>
      <c r="BO40" s="416">
        <v>-0.53654838709999997</v>
      </c>
      <c r="BP40" s="416">
        <v>-0.36823333333000002</v>
      </c>
      <c r="BQ40" s="416">
        <v>-0.23987096774</v>
      </c>
      <c r="BR40" s="416">
        <v>0.11009677419</v>
      </c>
      <c r="BS40" s="416">
        <v>-0.22026666667</v>
      </c>
      <c r="BT40" s="416">
        <v>0.24758064516</v>
      </c>
      <c r="BU40" s="416">
        <v>0.15720000000000001</v>
      </c>
      <c r="BV40" s="416">
        <v>0.80480645160999997</v>
      </c>
    </row>
    <row r="41" spans="1:74" ht="11.1" customHeight="1">
      <c r="A41" s="163" t="s">
        <v>364</v>
      </c>
      <c r="B41" s="174" t="s">
        <v>796</v>
      </c>
      <c r="C41" s="256">
        <v>-0.37674193548000001</v>
      </c>
      <c r="D41" s="256">
        <v>-5.9142857143000001E-2</v>
      </c>
      <c r="E41" s="256">
        <v>0.23029032258000001</v>
      </c>
      <c r="F41" s="256">
        <v>0.28046666666999998</v>
      </c>
      <c r="G41" s="256">
        <v>0.13574193547999999</v>
      </c>
      <c r="H41" s="256">
        <v>-9.1333333332999991E-3</v>
      </c>
      <c r="I41" s="256">
        <v>-2.9258064516E-2</v>
      </c>
      <c r="J41" s="256">
        <v>-0.86309677418999997</v>
      </c>
      <c r="K41" s="256">
        <v>0.30493333333</v>
      </c>
      <c r="L41" s="256">
        <v>0.88570967741999995</v>
      </c>
      <c r="M41" s="256">
        <v>-0.72060000000000002</v>
      </c>
      <c r="N41" s="256">
        <v>1.4421290323</v>
      </c>
      <c r="O41" s="256">
        <v>-1.5506774193999999</v>
      </c>
      <c r="P41" s="256">
        <v>0.54160714286</v>
      </c>
      <c r="Q41" s="256">
        <v>0.62522580645000003</v>
      </c>
      <c r="R41" s="256">
        <v>-0.62849999999999995</v>
      </c>
      <c r="S41" s="256">
        <v>-0.31519354839000002</v>
      </c>
      <c r="T41" s="256">
        <v>0.21229999999999999</v>
      </c>
      <c r="U41" s="256">
        <v>0.34690322580999999</v>
      </c>
      <c r="V41" s="256">
        <v>-0.75332258065000002</v>
      </c>
      <c r="W41" s="256">
        <v>1.8863000000000001</v>
      </c>
      <c r="X41" s="256">
        <v>-0.96396774194000001</v>
      </c>
      <c r="Y41" s="256">
        <v>8.0066666667000005E-2</v>
      </c>
      <c r="Z41" s="256">
        <v>0.70338709677</v>
      </c>
      <c r="AA41" s="256">
        <v>-1.3969354839000001</v>
      </c>
      <c r="AB41" s="256">
        <v>1.4989642857000001</v>
      </c>
      <c r="AC41" s="256">
        <v>0.54496774193999997</v>
      </c>
      <c r="AD41" s="256">
        <v>-0.85029999999999994</v>
      </c>
      <c r="AE41" s="256">
        <v>0.24232258065000001</v>
      </c>
      <c r="AF41" s="256">
        <v>0.29313333333000002</v>
      </c>
      <c r="AG41" s="256">
        <v>0.15570967742</v>
      </c>
      <c r="AH41" s="256">
        <v>3.6774193548000001E-3</v>
      </c>
      <c r="AI41" s="256">
        <v>0.62870000000000004</v>
      </c>
      <c r="AJ41" s="256">
        <v>0.35390322581</v>
      </c>
      <c r="AK41" s="256">
        <v>-0.46879999999999999</v>
      </c>
      <c r="AL41" s="256">
        <v>0.94458064515999995</v>
      </c>
      <c r="AM41" s="256">
        <v>-1.1870967742</v>
      </c>
      <c r="AN41" s="256">
        <v>0.40489655172</v>
      </c>
      <c r="AO41" s="256">
        <v>0.33761290322999998</v>
      </c>
      <c r="AP41" s="256">
        <v>-0.49990000000000001</v>
      </c>
      <c r="AQ41" s="256">
        <v>0.20729032257999999</v>
      </c>
      <c r="AR41" s="256">
        <v>0.24306666666999999</v>
      </c>
      <c r="AS41" s="256">
        <v>-0.86096774194000003</v>
      </c>
      <c r="AT41" s="256">
        <v>-0.34638709677000001</v>
      </c>
      <c r="AU41" s="256">
        <v>0.30506666666999999</v>
      </c>
      <c r="AV41" s="256">
        <v>0.77187096773999997</v>
      </c>
      <c r="AW41" s="256">
        <v>0.10440000000000001</v>
      </c>
      <c r="AX41" s="256">
        <v>0.81848387096999997</v>
      </c>
      <c r="AY41" s="256">
        <v>-0.26312903226000001</v>
      </c>
      <c r="AZ41" s="256">
        <v>0.48017857142999998</v>
      </c>
      <c r="BA41" s="256">
        <v>-0.69032258064999996</v>
      </c>
      <c r="BB41" s="256">
        <v>1.8802691975999999E-2</v>
      </c>
      <c r="BC41" s="256">
        <v>-0.2252846308</v>
      </c>
      <c r="BD41" s="256">
        <v>0.25223279625</v>
      </c>
      <c r="BE41" s="416">
        <v>5.3925341568000003E-2</v>
      </c>
      <c r="BF41" s="416">
        <v>-8.3355388958000001E-2</v>
      </c>
      <c r="BG41" s="416">
        <v>0.18527012992</v>
      </c>
      <c r="BH41" s="416">
        <v>-3.1879125824000001E-2</v>
      </c>
      <c r="BI41" s="416">
        <v>2.9207090375000001E-2</v>
      </c>
      <c r="BJ41" s="416">
        <v>-0.32499300771</v>
      </c>
      <c r="BK41" s="416">
        <v>5.5046351748000003E-2</v>
      </c>
      <c r="BL41" s="416">
        <v>9.9626027276000007E-2</v>
      </c>
      <c r="BM41" s="416">
        <v>-8.9090607027000002E-2</v>
      </c>
      <c r="BN41" s="416">
        <v>2.9469214810000002E-2</v>
      </c>
      <c r="BO41" s="416">
        <v>-0.24220467407999999</v>
      </c>
      <c r="BP41" s="416">
        <v>8.2734603773000001E-2</v>
      </c>
      <c r="BQ41" s="416">
        <v>6.9500268552000005E-2</v>
      </c>
      <c r="BR41" s="416">
        <v>-7.5955253343999996E-2</v>
      </c>
      <c r="BS41" s="416">
        <v>0.13054701722000001</v>
      </c>
      <c r="BT41" s="416">
        <v>-4.4787185221000003E-2</v>
      </c>
      <c r="BU41" s="416">
        <v>9.9584972987000007E-3</v>
      </c>
      <c r="BV41" s="416">
        <v>-0.33567851644000002</v>
      </c>
    </row>
    <row r="42" spans="1:74" ht="11.1" customHeight="1">
      <c r="A42" s="163" t="s">
        <v>365</v>
      </c>
      <c r="B42" s="174" t="s">
        <v>797</v>
      </c>
      <c r="C42" s="256">
        <v>1.8110031282000001</v>
      </c>
      <c r="D42" s="256">
        <v>0.56655830711999999</v>
      </c>
      <c r="E42" s="256">
        <v>0.21166632628000001</v>
      </c>
      <c r="F42" s="256">
        <v>1.1091172198000001</v>
      </c>
      <c r="G42" s="256">
        <v>-5.5840851963000003E-2</v>
      </c>
      <c r="H42" s="256">
        <v>1.3991229098</v>
      </c>
      <c r="I42" s="256">
        <v>0.71273539960999999</v>
      </c>
      <c r="J42" s="256">
        <v>0.83734462828</v>
      </c>
      <c r="K42" s="256">
        <v>0.96904475011000002</v>
      </c>
      <c r="L42" s="256">
        <v>-1.4006138553</v>
      </c>
      <c r="M42" s="256">
        <v>9.3426267531000001E-2</v>
      </c>
      <c r="N42" s="256">
        <v>-1.0812666759</v>
      </c>
      <c r="O42" s="256">
        <v>1.2733715212000001</v>
      </c>
      <c r="P42" s="256">
        <v>0.31917804985999998</v>
      </c>
      <c r="Q42" s="256">
        <v>-4.3953281385000001E-3</v>
      </c>
      <c r="R42" s="256">
        <v>2.0904851502000001</v>
      </c>
      <c r="S42" s="256">
        <v>-0.21025264375</v>
      </c>
      <c r="T42" s="256">
        <v>0.71547093235000003</v>
      </c>
      <c r="U42" s="256">
        <v>0.59087127321999999</v>
      </c>
      <c r="V42" s="256">
        <v>1.9182346438</v>
      </c>
      <c r="W42" s="256">
        <v>-0.60027924607000005</v>
      </c>
      <c r="X42" s="256">
        <v>0.33563039853999999</v>
      </c>
      <c r="Y42" s="256">
        <v>-0.67702504425999999</v>
      </c>
      <c r="Z42" s="256">
        <v>-0.52633318985999999</v>
      </c>
      <c r="AA42" s="256">
        <v>0.75967928260999995</v>
      </c>
      <c r="AB42" s="256">
        <v>-0.93523577103</v>
      </c>
      <c r="AC42" s="256">
        <v>1.2255401987000001</v>
      </c>
      <c r="AD42" s="256">
        <v>1.3809634601</v>
      </c>
      <c r="AE42" s="256">
        <v>0.99141122647000002</v>
      </c>
      <c r="AF42" s="256">
        <v>1.1317003000000001</v>
      </c>
      <c r="AG42" s="256">
        <v>1.4381639745000001</v>
      </c>
      <c r="AH42" s="256">
        <v>1.535670788</v>
      </c>
      <c r="AI42" s="256">
        <v>0.98586816098999996</v>
      </c>
      <c r="AJ42" s="256">
        <v>0.37424802394000001</v>
      </c>
      <c r="AK42" s="256">
        <v>1.1543257711999999</v>
      </c>
      <c r="AL42" s="256">
        <v>-0.80159500936999994</v>
      </c>
      <c r="AM42" s="256">
        <v>0.46741021505000002</v>
      </c>
      <c r="AN42" s="256">
        <v>0.38705858627</v>
      </c>
      <c r="AO42" s="256">
        <v>-0.37058213565999998</v>
      </c>
      <c r="AP42" s="256">
        <v>-0.88957803915</v>
      </c>
      <c r="AQ42" s="256">
        <v>3.2420596941000002E-4</v>
      </c>
      <c r="AR42" s="256">
        <v>0.85257936276000001</v>
      </c>
      <c r="AS42" s="256">
        <v>0.93090136854000005</v>
      </c>
      <c r="AT42" s="256">
        <v>0.57107543757000001</v>
      </c>
      <c r="AU42" s="256">
        <v>0.24502838093000001</v>
      </c>
      <c r="AV42" s="256">
        <v>4.4159341880000001E-2</v>
      </c>
      <c r="AW42" s="256">
        <v>0.69956957756000004</v>
      </c>
      <c r="AX42" s="256">
        <v>-0.98428572817000004</v>
      </c>
      <c r="AY42" s="256">
        <v>1.1279551426000001</v>
      </c>
      <c r="AZ42" s="256">
        <v>0.38591166099000002</v>
      </c>
      <c r="BA42" s="256">
        <v>0.94509690489999998</v>
      </c>
      <c r="BB42" s="256">
        <v>3.1483331885999999E-2</v>
      </c>
      <c r="BC42" s="256">
        <v>-0.38325202415999998</v>
      </c>
      <c r="BD42" s="256">
        <v>0.42771614390000001</v>
      </c>
      <c r="BE42" s="416">
        <v>9.1321878108999999E-2</v>
      </c>
      <c r="BF42" s="416">
        <v>-0.14147109121000001</v>
      </c>
      <c r="BG42" s="416">
        <v>0.30915792258000002</v>
      </c>
      <c r="BH42" s="416">
        <v>-5.2892505375000003E-2</v>
      </c>
      <c r="BI42" s="416">
        <v>4.8155318563000003E-2</v>
      </c>
      <c r="BJ42" s="416">
        <v>-0.52230394817000003</v>
      </c>
      <c r="BK42" s="416">
        <v>9.1671151854999994E-2</v>
      </c>
      <c r="BL42" s="416">
        <v>0.16066487032999999</v>
      </c>
      <c r="BM42" s="416">
        <v>-0.14718920252000001</v>
      </c>
      <c r="BN42" s="416">
        <v>5.2146193501999998E-2</v>
      </c>
      <c r="BO42" s="416">
        <v>-0.43922502566999999</v>
      </c>
      <c r="BP42" s="416">
        <v>0.14689563956999999</v>
      </c>
      <c r="BQ42" s="416">
        <v>0.12336321611000001</v>
      </c>
      <c r="BR42" s="416">
        <v>-0.13502457792</v>
      </c>
      <c r="BS42" s="416">
        <v>0.22819667784</v>
      </c>
      <c r="BT42" s="416">
        <v>-7.6979748464000006E-2</v>
      </c>
      <c r="BU42" s="416">
        <v>1.7015211334E-2</v>
      </c>
      <c r="BV42" s="416">
        <v>-0.55932136937999999</v>
      </c>
    </row>
    <row r="43" spans="1:74" ht="11.1" customHeight="1">
      <c r="A43" s="163" t="s">
        <v>366</v>
      </c>
      <c r="B43" s="174" t="s">
        <v>798</v>
      </c>
      <c r="C43" s="256">
        <v>0.50129345076999998</v>
      </c>
      <c r="D43" s="256">
        <v>0.11334402141</v>
      </c>
      <c r="E43" s="256">
        <v>-0.39726915758999998</v>
      </c>
      <c r="F43" s="256">
        <v>0.94505055317999997</v>
      </c>
      <c r="G43" s="256">
        <v>-0.40855052938000003</v>
      </c>
      <c r="H43" s="256">
        <v>0.94908957651000003</v>
      </c>
      <c r="I43" s="256">
        <v>0.50379991574000005</v>
      </c>
      <c r="J43" s="256">
        <v>0.49902204764000002</v>
      </c>
      <c r="K43" s="256">
        <v>0.78641141678000004</v>
      </c>
      <c r="L43" s="256">
        <v>0.23261195119</v>
      </c>
      <c r="M43" s="256">
        <v>-0.25364039913999997</v>
      </c>
      <c r="N43" s="256">
        <v>1.5734752595999999</v>
      </c>
      <c r="O43" s="256">
        <v>-0.58608009171999997</v>
      </c>
      <c r="P43" s="256">
        <v>0.90635662129000005</v>
      </c>
      <c r="Q43" s="256">
        <v>0.54405628476000001</v>
      </c>
      <c r="R43" s="256">
        <v>0.70031848350000003</v>
      </c>
      <c r="S43" s="256">
        <v>-1.1866719986000001</v>
      </c>
      <c r="T43" s="256">
        <v>0.55453759901999999</v>
      </c>
      <c r="U43" s="256">
        <v>0.49738740225</v>
      </c>
      <c r="V43" s="256">
        <v>0.95107335346999999</v>
      </c>
      <c r="W43" s="256">
        <v>1.3093874206</v>
      </c>
      <c r="X43" s="256">
        <v>-0.17714379500999999</v>
      </c>
      <c r="Y43" s="256">
        <v>6.9608289076999993E-2</v>
      </c>
      <c r="Z43" s="256">
        <v>1.2445700359</v>
      </c>
      <c r="AA43" s="256">
        <v>-1.1311194593</v>
      </c>
      <c r="AB43" s="256">
        <v>1.5967378003999999</v>
      </c>
      <c r="AC43" s="256">
        <v>1.9096975535</v>
      </c>
      <c r="AD43" s="256">
        <v>0.42528419345000001</v>
      </c>
      <c r="AE43" s="256">
        <v>0.34998225873</v>
      </c>
      <c r="AF43" s="256">
        <v>1.3656908999999999</v>
      </c>
      <c r="AG43" s="256">
        <v>1.3631961036</v>
      </c>
      <c r="AH43" s="256">
        <v>2.1834123686</v>
      </c>
      <c r="AI43" s="256">
        <v>2.106340361</v>
      </c>
      <c r="AJ43" s="256">
        <v>1.0988500885000001</v>
      </c>
      <c r="AK43" s="256">
        <v>0.66272963783000005</v>
      </c>
      <c r="AL43" s="256">
        <v>0.78940592611000004</v>
      </c>
      <c r="AM43" s="256">
        <v>-1.4196289462</v>
      </c>
      <c r="AN43" s="256">
        <v>1.0196288966</v>
      </c>
      <c r="AO43" s="256">
        <v>-0.44151781307999999</v>
      </c>
      <c r="AP43" s="256">
        <v>-1.3712642724999999</v>
      </c>
      <c r="AQ43" s="256">
        <v>-0.31641476177</v>
      </c>
      <c r="AR43" s="256">
        <v>0.60217196275999996</v>
      </c>
      <c r="AS43" s="256">
        <v>3.7288755633999998E-2</v>
      </c>
      <c r="AT43" s="256">
        <v>0.49708359885999998</v>
      </c>
      <c r="AU43" s="256">
        <v>-3.1546385741000001E-2</v>
      </c>
      <c r="AV43" s="256">
        <v>1.0942895677</v>
      </c>
      <c r="AW43" s="256">
        <v>0.84438957755999999</v>
      </c>
      <c r="AX43" s="256">
        <v>-0.10858847011</v>
      </c>
      <c r="AY43" s="256">
        <v>0.67967985226000005</v>
      </c>
      <c r="AZ43" s="256">
        <v>1.6433244467000001</v>
      </c>
      <c r="BA43" s="256">
        <v>0.17599142103000001</v>
      </c>
      <c r="BB43" s="256">
        <v>-0.39396317613999998</v>
      </c>
      <c r="BC43" s="256">
        <v>-0.84227012271000001</v>
      </c>
      <c r="BD43" s="256">
        <v>0.34776077193999999</v>
      </c>
      <c r="BE43" s="416">
        <v>-4.0209149791000001E-2</v>
      </c>
      <c r="BF43" s="416">
        <v>-9.6955512426000007E-2</v>
      </c>
      <c r="BG43" s="416">
        <v>0.35719471916000001</v>
      </c>
      <c r="BH43" s="416">
        <v>0.10580901396</v>
      </c>
      <c r="BI43" s="416">
        <v>0.20319574227000001</v>
      </c>
      <c r="BJ43" s="416">
        <v>-4.4200181693000003E-2</v>
      </c>
      <c r="BK43" s="416">
        <v>-0.33763733510999999</v>
      </c>
      <c r="BL43" s="416">
        <v>0.55968375474999998</v>
      </c>
      <c r="BM43" s="416">
        <v>-0.17682819663999999</v>
      </c>
      <c r="BN43" s="416">
        <v>-0.20745125835</v>
      </c>
      <c r="BO43" s="416">
        <v>-1.2179780868000001</v>
      </c>
      <c r="BP43" s="416">
        <v>-0.13860308999000001</v>
      </c>
      <c r="BQ43" s="416">
        <v>-4.7007483082E-2</v>
      </c>
      <c r="BR43" s="416">
        <v>-0.10088305707</v>
      </c>
      <c r="BS43" s="416">
        <v>0.13847702839000001</v>
      </c>
      <c r="BT43" s="416">
        <v>0.12581371148000001</v>
      </c>
      <c r="BU43" s="416">
        <v>0.18417370862999999</v>
      </c>
      <c r="BV43" s="416">
        <v>-9.0193434209000001E-2</v>
      </c>
    </row>
    <row r="44" spans="1:74" ht="11.1" customHeight="1">
      <c r="B44" s="174"/>
      <c r="C44" s="256"/>
      <c r="D44" s="256"/>
      <c r="E44" s="256"/>
      <c r="F44" s="256"/>
      <c r="G44" s="256"/>
      <c r="H44" s="256"/>
      <c r="I44" s="256"/>
      <c r="J44" s="256"/>
      <c r="K44" s="256"/>
      <c r="L44" s="256"/>
      <c r="M44" s="256"/>
      <c r="N44" s="256"/>
      <c r="O44" s="256"/>
      <c r="P44" s="256"/>
      <c r="Q44" s="256"/>
      <c r="R44" s="256"/>
      <c r="S44" s="256"/>
      <c r="T44" s="256"/>
      <c r="U44" s="256"/>
      <c r="V44" s="256"/>
      <c r="W44" s="256"/>
      <c r="X44" s="256"/>
      <c r="Y44" s="256"/>
      <c r="Z44" s="256"/>
      <c r="AA44" s="256"/>
      <c r="AB44" s="256"/>
      <c r="AC44" s="256"/>
      <c r="AD44" s="256"/>
      <c r="AE44" s="256"/>
      <c r="AF44" s="256"/>
      <c r="AG44" s="256"/>
      <c r="AH44" s="256"/>
      <c r="AI44" s="256"/>
      <c r="AJ44" s="256"/>
      <c r="AK44" s="256"/>
      <c r="AL44" s="256"/>
      <c r="AM44" s="256"/>
      <c r="AN44" s="256"/>
      <c r="AO44" s="256"/>
      <c r="AP44" s="256"/>
      <c r="AQ44" s="256"/>
      <c r="AR44" s="256"/>
      <c r="AS44" s="256"/>
      <c r="AT44" s="256"/>
      <c r="AU44" s="256"/>
      <c r="AV44" s="256"/>
      <c r="AW44" s="256"/>
      <c r="AX44" s="256"/>
      <c r="AY44" s="256"/>
      <c r="AZ44" s="256"/>
      <c r="BA44" s="256"/>
      <c r="BB44" s="256"/>
      <c r="BC44" s="256"/>
      <c r="BD44" s="256"/>
      <c r="BE44" s="416"/>
      <c r="BF44" s="416"/>
      <c r="BG44" s="416"/>
      <c r="BH44" s="416"/>
      <c r="BI44" s="416"/>
      <c r="BJ44" s="416"/>
      <c r="BK44" s="416"/>
      <c r="BL44" s="416"/>
      <c r="BM44" s="416"/>
      <c r="BN44" s="416"/>
      <c r="BO44" s="416"/>
      <c r="BP44" s="416"/>
      <c r="BQ44" s="416"/>
      <c r="BR44" s="416"/>
      <c r="BS44" s="416"/>
      <c r="BT44" s="416"/>
      <c r="BU44" s="416"/>
      <c r="BV44" s="416"/>
    </row>
    <row r="45" spans="1:74" ht="11.1" customHeight="1">
      <c r="B45" s="65" t="s">
        <v>1058</v>
      </c>
      <c r="C45" s="256"/>
      <c r="D45" s="256"/>
      <c r="E45" s="256"/>
      <c r="F45" s="256"/>
      <c r="G45" s="256"/>
      <c r="H45" s="256"/>
      <c r="I45" s="256"/>
      <c r="J45" s="256"/>
      <c r="K45" s="256"/>
      <c r="L45" s="256"/>
      <c r="M45" s="256"/>
      <c r="N45" s="256"/>
      <c r="O45" s="256"/>
      <c r="P45" s="256"/>
      <c r="Q45" s="256"/>
      <c r="R45" s="256"/>
      <c r="S45" s="256"/>
      <c r="T45" s="256"/>
      <c r="U45" s="256"/>
      <c r="V45" s="256"/>
      <c r="W45" s="256"/>
      <c r="X45" s="256"/>
      <c r="Y45" s="256"/>
      <c r="Z45" s="256"/>
      <c r="AA45" s="256"/>
      <c r="AB45" s="256"/>
      <c r="AC45" s="256"/>
      <c r="AD45" s="256"/>
      <c r="AE45" s="256"/>
      <c r="AF45" s="256"/>
      <c r="AG45" s="256"/>
      <c r="AH45" s="256"/>
      <c r="AI45" s="256"/>
      <c r="AJ45" s="256"/>
      <c r="AK45" s="256"/>
      <c r="AL45" s="256"/>
      <c r="AM45" s="256"/>
      <c r="AN45" s="256"/>
      <c r="AO45" s="256"/>
      <c r="AP45" s="256"/>
      <c r="AQ45" s="256"/>
      <c r="AR45" s="256"/>
      <c r="AS45" s="256"/>
      <c r="AT45" s="256"/>
      <c r="AU45" s="256"/>
      <c r="AV45" s="256"/>
      <c r="AW45" s="256"/>
      <c r="AX45" s="256"/>
      <c r="AY45" s="256"/>
      <c r="AZ45" s="256"/>
      <c r="BA45" s="256"/>
      <c r="BB45" s="256"/>
      <c r="BC45" s="256"/>
      <c r="BD45" s="256"/>
      <c r="BE45" s="416"/>
      <c r="BF45" s="416"/>
      <c r="BG45" s="416"/>
      <c r="BH45" s="416"/>
      <c r="BI45" s="416"/>
      <c r="BJ45" s="416"/>
      <c r="BK45" s="416"/>
      <c r="BL45" s="416"/>
      <c r="BM45" s="416"/>
      <c r="BN45" s="416"/>
      <c r="BO45" s="416"/>
      <c r="BP45" s="416"/>
      <c r="BQ45" s="416"/>
      <c r="BR45" s="416"/>
      <c r="BS45" s="416"/>
      <c r="BT45" s="416"/>
      <c r="BU45" s="416"/>
      <c r="BV45" s="416"/>
    </row>
    <row r="46" spans="1:74" ht="11.1" customHeight="1">
      <c r="A46" s="163" t="s">
        <v>794</v>
      </c>
      <c r="B46" s="174" t="s">
        <v>357</v>
      </c>
      <c r="C46" s="261">
        <v>1061.875</v>
      </c>
      <c r="D46" s="261">
        <v>1071.154</v>
      </c>
      <c r="E46" s="261">
        <v>1089.9110000000001</v>
      </c>
      <c r="F46" s="261">
        <v>1097.261</v>
      </c>
      <c r="G46" s="261">
        <v>1109.491</v>
      </c>
      <c r="H46" s="261">
        <v>1120.318</v>
      </c>
      <c r="I46" s="261">
        <v>1125.8920000000001</v>
      </c>
      <c r="J46" s="261">
        <v>1109.626</v>
      </c>
      <c r="K46" s="261">
        <v>1123.259</v>
      </c>
      <c r="L46" s="261">
        <v>1100.0909999999999</v>
      </c>
      <c r="M46" s="261">
        <v>1087.837</v>
      </c>
      <c r="N46" s="261">
        <v>1049.759</v>
      </c>
      <c r="O46" s="261">
        <v>1059.335</v>
      </c>
      <c r="P46" s="261">
        <v>1058.0630000000001</v>
      </c>
      <c r="Q46" s="261">
        <v>1060.4469999999999</v>
      </c>
      <c r="R46" s="261">
        <v>1083.3019999999999</v>
      </c>
      <c r="S46" s="261">
        <v>1103.8050000000001</v>
      </c>
      <c r="T46" s="261">
        <v>1115.0050000000001</v>
      </c>
      <c r="U46" s="261">
        <v>1128.662</v>
      </c>
      <c r="V46" s="261">
        <v>1135.296</v>
      </c>
      <c r="W46" s="261">
        <v>1134.663</v>
      </c>
      <c r="X46" s="261">
        <v>1120.6389999999999</v>
      </c>
      <c r="Y46" s="261">
        <v>1100.645</v>
      </c>
      <c r="Z46" s="261">
        <v>1067.5540000000001</v>
      </c>
      <c r="AA46" s="261">
        <v>1082.865761</v>
      </c>
      <c r="AB46" s="261">
        <v>1053.942501</v>
      </c>
      <c r="AC46" s="261">
        <v>1049.6276230000001</v>
      </c>
      <c r="AD46" s="261">
        <v>1052.7890010000001</v>
      </c>
      <c r="AE46" s="261">
        <v>1080.185299</v>
      </c>
      <c r="AF46" s="261">
        <v>1081.970581</v>
      </c>
      <c r="AG46" s="261">
        <v>1097.4375849999999</v>
      </c>
      <c r="AH46" s="261">
        <v>1099.2305960000001</v>
      </c>
      <c r="AI46" s="261">
        <v>1084.98243</v>
      </c>
      <c r="AJ46" s="261">
        <v>1073.4907659999999</v>
      </c>
      <c r="AK46" s="261">
        <v>1074.1746499999999</v>
      </c>
      <c r="AL46" s="261">
        <v>1054.1356209999999</v>
      </c>
      <c r="AM46" s="261">
        <v>1075.8338349999999</v>
      </c>
      <c r="AN46" s="261">
        <v>1069.2312959999999</v>
      </c>
      <c r="AO46" s="261">
        <v>1081.8963020000001</v>
      </c>
      <c r="AP46" s="261">
        <v>1081.3498890000001</v>
      </c>
      <c r="AQ46" s="261">
        <v>1097.594797</v>
      </c>
      <c r="AR46" s="261">
        <v>1112.399019</v>
      </c>
      <c r="AS46" s="261">
        <v>1113.41201</v>
      </c>
      <c r="AT46" s="261">
        <v>1104.9677569999999</v>
      </c>
      <c r="AU46" s="261">
        <v>1123.415</v>
      </c>
      <c r="AV46" s="261">
        <v>1114.788963</v>
      </c>
      <c r="AW46" s="261">
        <v>1113.5763629999999</v>
      </c>
      <c r="AX46" s="261">
        <v>1111.486748</v>
      </c>
      <c r="AY46" s="261">
        <v>1116.689282</v>
      </c>
      <c r="AZ46" s="261">
        <v>1094.7627239999999</v>
      </c>
      <c r="BA46" s="261">
        <v>1097.2049939999999</v>
      </c>
      <c r="BB46" s="261">
        <v>1110.5324700000001</v>
      </c>
      <c r="BC46" s="261">
        <v>1117.7782075</v>
      </c>
      <c r="BD46" s="261">
        <v>1127.7438525</v>
      </c>
      <c r="BE46" s="347">
        <v>1133.4929999999999</v>
      </c>
      <c r="BF46" s="347">
        <v>1129.529</v>
      </c>
      <c r="BG46" s="347">
        <v>1133.646</v>
      </c>
      <c r="BH46" s="347">
        <v>1127.7380000000001</v>
      </c>
      <c r="BI46" s="347">
        <v>1123.963</v>
      </c>
      <c r="BJ46" s="347">
        <v>1099.067</v>
      </c>
      <c r="BK46" s="347">
        <v>1114.0820000000001</v>
      </c>
      <c r="BL46" s="347">
        <v>1105.6990000000001</v>
      </c>
      <c r="BM46" s="347">
        <v>1103.856</v>
      </c>
      <c r="BN46" s="347">
        <v>1112.528</v>
      </c>
      <c r="BO46" s="347">
        <v>1129.1610000000001</v>
      </c>
      <c r="BP46" s="347">
        <v>1140.2080000000001</v>
      </c>
      <c r="BQ46" s="347">
        <v>1147.644</v>
      </c>
      <c r="BR46" s="347">
        <v>1144.231</v>
      </c>
      <c r="BS46" s="347">
        <v>1150.8389999999999</v>
      </c>
      <c r="BT46" s="347">
        <v>1143.164</v>
      </c>
      <c r="BU46" s="347">
        <v>1138.4480000000001</v>
      </c>
      <c r="BV46" s="347">
        <v>1113.499</v>
      </c>
    </row>
    <row r="47" spans="1:74" ht="11.1" customHeight="1">
      <c r="A47" s="163" t="s">
        <v>361</v>
      </c>
      <c r="B47" s="260" t="s">
        <v>360</v>
      </c>
      <c r="C47" s="259">
        <v>2722.279</v>
      </c>
      <c r="D47" s="259">
        <v>2732.2930000000001</v>
      </c>
      <c r="E47" s="259">
        <v>2741.1909999999998</v>
      </c>
      <c r="F47" s="259">
        <v>2740.5039999999999</v>
      </c>
      <c r="G47" s="259">
        <v>2745.4569999999999</v>
      </c>
      <c r="H47" s="259">
        <v>2756.4520000000002</v>
      </c>
      <c r="I47" s="259">
        <v>2763.35</v>
      </c>
      <c r="J47" s="259">
        <v>2771.9850000000001</v>
      </c>
      <c r="K47" s="259">
        <v>2775.62</v>
      </c>
      <c r="L47" s="259">
        <v>2726.473</v>
      </c>
      <c r="M47" s="259">
        <v>2736.2049999999999</v>
      </c>
      <c r="N47" s="259">
        <v>2652.7489999999998</v>
      </c>
      <c r="O47" s="259">
        <v>2710.2620000000002</v>
      </c>
      <c r="P47" s="259">
        <v>2694.1990000000001</v>
      </c>
      <c r="Q47" s="259">
        <v>2674.4540000000002</v>
      </c>
      <c r="R47" s="259">
        <v>2720.9050000000002</v>
      </c>
      <c r="S47" s="259">
        <v>2750.7739999999999</v>
      </c>
      <c r="T47" s="259">
        <v>2756.239</v>
      </c>
      <c r="U47" s="259">
        <v>2762.2530000000002</v>
      </c>
      <c r="V47" s="259">
        <v>2795.7730000000001</v>
      </c>
      <c r="W47" s="259">
        <v>2744.4209999999998</v>
      </c>
      <c r="X47" s="259">
        <v>2759.933</v>
      </c>
      <c r="Y47" s="259">
        <v>2732.6970000000001</v>
      </c>
      <c r="Z47" s="259">
        <v>2671.3719999999998</v>
      </c>
      <c r="AA47" s="259">
        <v>2731.7397609999998</v>
      </c>
      <c r="AB47" s="259">
        <v>2660.326501</v>
      </c>
      <c r="AC47" s="259">
        <v>2638.9236230000001</v>
      </c>
      <c r="AD47" s="259">
        <v>2666.3850010000001</v>
      </c>
      <c r="AE47" s="259">
        <v>2686.0472989999998</v>
      </c>
      <c r="AF47" s="259">
        <v>2677.4315809999998</v>
      </c>
      <c r="AG47" s="259">
        <v>2692.9625850000002</v>
      </c>
      <c r="AH47" s="259">
        <v>2693.9015960000002</v>
      </c>
      <c r="AI47" s="259">
        <v>2661.3894300000002</v>
      </c>
      <c r="AJ47" s="259">
        <v>2637.7667660000002</v>
      </c>
      <c r="AK47" s="259">
        <v>2649.7276499999998</v>
      </c>
      <c r="AL47" s="259">
        <v>2598.2236210000001</v>
      </c>
      <c r="AM47" s="259">
        <v>2656.7218349999998</v>
      </c>
      <c r="AN47" s="259">
        <v>2638.3772960000001</v>
      </c>
      <c r="AO47" s="259">
        <v>2640.5763019999999</v>
      </c>
      <c r="AP47" s="259">
        <v>2655.0268890000002</v>
      </c>
      <c r="AQ47" s="259">
        <v>2664.8457969999999</v>
      </c>
      <c r="AR47" s="259">
        <v>2672.3580189999998</v>
      </c>
      <c r="AS47" s="259">
        <v>2700.0610099999999</v>
      </c>
      <c r="AT47" s="259">
        <v>2702.3547570000001</v>
      </c>
      <c r="AU47" s="259">
        <v>2711.65</v>
      </c>
      <c r="AV47" s="259">
        <v>2679.0959630000002</v>
      </c>
      <c r="AW47" s="259">
        <v>2674.7513629999999</v>
      </c>
      <c r="AX47" s="259">
        <v>2647.2887479999999</v>
      </c>
      <c r="AY47" s="259">
        <v>2660.6482820000001</v>
      </c>
      <c r="AZ47" s="259">
        <v>2625.2767239999998</v>
      </c>
      <c r="BA47" s="259">
        <v>2649.1189939999999</v>
      </c>
      <c r="BB47" s="259">
        <v>2661.8823892</v>
      </c>
      <c r="BC47" s="259">
        <v>2676.1119503</v>
      </c>
      <c r="BD47" s="259">
        <v>2678.5106114999999</v>
      </c>
      <c r="BE47" s="348">
        <v>2682.5880732999999</v>
      </c>
      <c r="BF47" s="348">
        <v>2681.2080903999999</v>
      </c>
      <c r="BG47" s="348">
        <v>2679.7669864999998</v>
      </c>
      <c r="BH47" s="348">
        <v>2674.8472394</v>
      </c>
      <c r="BI47" s="348">
        <v>2670.1960266999999</v>
      </c>
      <c r="BJ47" s="348">
        <v>2655.3748098999999</v>
      </c>
      <c r="BK47" s="348">
        <v>2668.6833729999998</v>
      </c>
      <c r="BL47" s="348">
        <v>2657.5108442000001</v>
      </c>
      <c r="BM47" s="348">
        <v>2658.4296531</v>
      </c>
      <c r="BN47" s="348">
        <v>2666.2175766</v>
      </c>
      <c r="BO47" s="348">
        <v>2690.3589215000002</v>
      </c>
      <c r="BP47" s="348">
        <v>2698.9238833999998</v>
      </c>
      <c r="BQ47" s="348">
        <v>2704.2053750999999</v>
      </c>
      <c r="BR47" s="348">
        <v>2703.1469879000001</v>
      </c>
      <c r="BS47" s="348">
        <v>2705.8385773999998</v>
      </c>
      <c r="BT47" s="348">
        <v>2699.5519801999999</v>
      </c>
      <c r="BU47" s="348">
        <v>2694.5372252000002</v>
      </c>
      <c r="BV47" s="348">
        <v>2679.9942592000002</v>
      </c>
    </row>
    <row r="48" spans="1:74" ht="11.1" customHeight="1">
      <c r="BK48" s="419"/>
      <c r="BL48" s="419"/>
      <c r="BM48" s="419"/>
      <c r="BN48" s="419"/>
      <c r="BO48" s="419"/>
      <c r="BP48" s="419"/>
      <c r="BQ48" s="419"/>
      <c r="BR48" s="419"/>
      <c r="BS48" s="419"/>
      <c r="BT48" s="419"/>
      <c r="BU48" s="419"/>
      <c r="BV48" s="419"/>
    </row>
    <row r="49" spans="1:74" ht="12" customHeight="1">
      <c r="B49" s="647" t="s">
        <v>1151</v>
      </c>
      <c r="C49" s="648"/>
      <c r="D49" s="648"/>
      <c r="E49" s="648"/>
      <c r="F49" s="648"/>
      <c r="G49" s="648"/>
      <c r="H49" s="648"/>
      <c r="I49" s="648"/>
      <c r="J49" s="648"/>
      <c r="K49" s="648"/>
      <c r="L49" s="648"/>
      <c r="M49" s="648"/>
      <c r="N49" s="648"/>
      <c r="O49" s="648"/>
      <c r="P49" s="648"/>
      <c r="Q49" s="648"/>
    </row>
    <row r="50" spans="1:74" s="448" customFormat="1" ht="12" customHeight="1">
      <c r="A50" s="447"/>
      <c r="B50" s="679" t="s">
        <v>906</v>
      </c>
      <c r="C50" s="670"/>
      <c r="D50" s="670"/>
      <c r="E50" s="670"/>
      <c r="F50" s="670"/>
      <c r="G50" s="670"/>
      <c r="H50" s="670"/>
      <c r="I50" s="670"/>
      <c r="J50" s="670"/>
      <c r="K50" s="670"/>
      <c r="L50" s="670"/>
      <c r="M50" s="670"/>
      <c r="N50" s="670"/>
      <c r="O50" s="670"/>
      <c r="P50" s="670"/>
      <c r="Q50" s="666"/>
      <c r="AY50" s="549"/>
      <c r="AZ50" s="549"/>
      <c r="BA50" s="549"/>
      <c r="BB50" s="549"/>
      <c r="BC50" s="549"/>
      <c r="BD50" s="549"/>
      <c r="BE50" s="549"/>
      <c r="BF50" s="549"/>
      <c r="BG50" s="549"/>
      <c r="BH50" s="549"/>
      <c r="BI50" s="549"/>
      <c r="BJ50" s="549"/>
    </row>
    <row r="51" spans="1:74" s="448" customFormat="1" ht="12" customHeight="1">
      <c r="A51" s="447"/>
      <c r="B51" s="679" t="s">
        <v>907</v>
      </c>
      <c r="C51" s="666"/>
      <c r="D51" s="666"/>
      <c r="E51" s="666"/>
      <c r="F51" s="666"/>
      <c r="G51" s="666"/>
      <c r="H51" s="666"/>
      <c r="I51" s="666"/>
      <c r="J51" s="666"/>
      <c r="K51" s="666"/>
      <c r="L51" s="666"/>
      <c r="M51" s="666"/>
      <c r="N51" s="666"/>
      <c r="O51" s="666"/>
      <c r="P51" s="666"/>
      <c r="Q51" s="666"/>
      <c r="AY51" s="549"/>
      <c r="AZ51" s="549"/>
      <c r="BA51" s="549"/>
      <c r="BB51" s="549"/>
      <c r="BC51" s="549"/>
      <c r="BD51" s="549"/>
      <c r="BE51" s="549"/>
      <c r="BF51" s="549"/>
      <c r="BG51" s="549"/>
      <c r="BH51" s="549"/>
      <c r="BI51" s="549"/>
      <c r="BJ51" s="549"/>
    </row>
    <row r="52" spans="1:74" s="448" customFormat="1" ht="12" customHeight="1">
      <c r="A52" s="447"/>
      <c r="B52" s="679" t="s">
        <v>908</v>
      </c>
      <c r="C52" s="666"/>
      <c r="D52" s="666"/>
      <c r="E52" s="666"/>
      <c r="F52" s="666"/>
      <c r="G52" s="666"/>
      <c r="H52" s="666"/>
      <c r="I52" s="666"/>
      <c r="J52" s="666"/>
      <c r="K52" s="666"/>
      <c r="L52" s="666"/>
      <c r="M52" s="666"/>
      <c r="N52" s="666"/>
      <c r="O52" s="666"/>
      <c r="P52" s="666"/>
      <c r="Q52" s="666"/>
      <c r="AY52" s="549"/>
      <c r="AZ52" s="549"/>
      <c r="BA52" s="549"/>
      <c r="BB52" s="549"/>
      <c r="BC52" s="549"/>
      <c r="BD52" s="549"/>
      <c r="BE52" s="549"/>
      <c r="BF52" s="549"/>
      <c r="BG52" s="549"/>
      <c r="BH52" s="549"/>
      <c r="BI52" s="549"/>
      <c r="BJ52" s="549"/>
    </row>
    <row r="53" spans="1:74" s="448" customFormat="1" ht="12" customHeight="1">
      <c r="A53" s="447"/>
      <c r="B53" s="679" t="s">
        <v>1250</v>
      </c>
      <c r="C53" s="670"/>
      <c r="D53" s="670"/>
      <c r="E53" s="670"/>
      <c r="F53" s="670"/>
      <c r="G53" s="670"/>
      <c r="H53" s="670"/>
      <c r="I53" s="670"/>
      <c r="J53" s="670"/>
      <c r="K53" s="670"/>
      <c r="L53" s="670"/>
      <c r="M53" s="670"/>
      <c r="N53" s="670"/>
      <c r="O53" s="670"/>
      <c r="P53" s="670"/>
      <c r="Q53" s="666"/>
      <c r="AY53" s="549"/>
      <c r="AZ53" s="549"/>
      <c r="BA53" s="549"/>
      <c r="BB53" s="549"/>
      <c r="BC53" s="549"/>
      <c r="BD53" s="549"/>
      <c r="BE53" s="549"/>
      <c r="BF53" s="549"/>
      <c r="BG53" s="549"/>
      <c r="BH53" s="549"/>
      <c r="BI53" s="549"/>
      <c r="BJ53" s="549"/>
    </row>
    <row r="54" spans="1:74" s="448" customFormat="1" ht="12" customHeight="1">
      <c r="A54" s="447"/>
      <c r="B54" s="679" t="s">
        <v>1185</v>
      </c>
      <c r="C54" s="680"/>
      <c r="D54" s="680"/>
      <c r="E54" s="680"/>
      <c r="F54" s="680"/>
      <c r="G54" s="680"/>
      <c r="H54" s="680"/>
      <c r="I54" s="680"/>
      <c r="J54" s="680"/>
      <c r="K54" s="680"/>
      <c r="L54" s="680"/>
      <c r="M54" s="680"/>
      <c r="N54" s="680"/>
      <c r="O54" s="680"/>
      <c r="P54" s="680"/>
      <c r="Q54" s="666"/>
      <c r="AY54" s="549"/>
      <c r="AZ54" s="549"/>
      <c r="BA54" s="549"/>
      <c r="BB54" s="549"/>
      <c r="BC54" s="549"/>
      <c r="BD54" s="549"/>
      <c r="BE54" s="549"/>
      <c r="BF54" s="549"/>
      <c r="BG54" s="549"/>
      <c r="BH54" s="549"/>
      <c r="BI54" s="549"/>
      <c r="BJ54" s="549"/>
    </row>
    <row r="55" spans="1:74" s="448" customFormat="1" ht="12" customHeight="1">
      <c r="A55" s="447"/>
      <c r="B55" s="679" t="s">
        <v>1130</v>
      </c>
      <c r="C55" s="679"/>
      <c r="D55" s="679"/>
      <c r="E55" s="679"/>
      <c r="F55" s="679"/>
      <c r="G55" s="679"/>
      <c r="H55" s="679"/>
      <c r="I55" s="679"/>
      <c r="J55" s="679"/>
      <c r="K55" s="679"/>
      <c r="L55" s="679"/>
      <c r="M55" s="679"/>
      <c r="N55" s="679"/>
      <c r="O55" s="679"/>
      <c r="P55" s="679"/>
      <c r="Q55" s="666"/>
      <c r="AY55" s="549"/>
      <c r="AZ55" s="549"/>
      <c r="BA55" s="549"/>
      <c r="BB55" s="549"/>
      <c r="BC55" s="549"/>
      <c r="BD55" s="549"/>
      <c r="BE55" s="549"/>
      <c r="BF55" s="549"/>
      <c r="BG55" s="549"/>
      <c r="BH55" s="549"/>
      <c r="BI55" s="549"/>
      <c r="BJ55" s="549"/>
    </row>
    <row r="56" spans="1:74" s="448" customFormat="1" ht="12" customHeight="1">
      <c r="A56" s="447"/>
      <c r="B56" s="679" t="s">
        <v>1252</v>
      </c>
      <c r="C56" s="679"/>
      <c r="D56" s="679"/>
      <c r="E56" s="679"/>
      <c r="F56" s="679"/>
      <c r="G56" s="679"/>
      <c r="H56" s="679"/>
      <c r="I56" s="679"/>
      <c r="J56" s="679"/>
      <c r="K56" s="679"/>
      <c r="L56" s="679"/>
      <c r="M56" s="679"/>
      <c r="N56" s="679"/>
      <c r="O56" s="679"/>
      <c r="P56" s="679"/>
      <c r="Q56" s="666"/>
      <c r="AY56" s="549"/>
      <c r="AZ56" s="549"/>
      <c r="BA56" s="549"/>
      <c r="BB56" s="549"/>
      <c r="BC56" s="549"/>
      <c r="BD56" s="549"/>
      <c r="BE56" s="549"/>
      <c r="BF56" s="549"/>
      <c r="BG56" s="549"/>
      <c r="BH56" s="549"/>
      <c r="BI56" s="549"/>
      <c r="BJ56" s="549"/>
    </row>
    <row r="57" spans="1:74" s="448" customFormat="1" ht="12" customHeight="1">
      <c r="A57" s="447"/>
      <c r="B57" s="679" t="s">
        <v>1253</v>
      </c>
      <c r="C57" s="670"/>
      <c r="D57" s="670"/>
      <c r="E57" s="670"/>
      <c r="F57" s="670"/>
      <c r="G57" s="670"/>
      <c r="H57" s="670"/>
      <c r="I57" s="670"/>
      <c r="J57" s="670"/>
      <c r="K57" s="670"/>
      <c r="L57" s="670"/>
      <c r="M57" s="670"/>
      <c r="N57" s="670"/>
      <c r="O57" s="670"/>
      <c r="P57" s="670"/>
      <c r="Q57" s="666"/>
      <c r="AY57" s="549"/>
      <c r="AZ57" s="549"/>
      <c r="BA57" s="549"/>
      <c r="BB57" s="549"/>
      <c r="BC57" s="549"/>
      <c r="BD57" s="549"/>
      <c r="BE57" s="549"/>
      <c r="BF57" s="549"/>
      <c r="BG57" s="549"/>
      <c r="BH57" s="549"/>
      <c r="BI57" s="549"/>
      <c r="BJ57" s="549"/>
    </row>
    <row r="58" spans="1:74" s="448" customFormat="1" ht="12" customHeight="1">
      <c r="A58" s="447"/>
      <c r="B58" s="679" t="s">
        <v>1196</v>
      </c>
      <c r="C58" s="670"/>
      <c r="D58" s="670"/>
      <c r="E58" s="670"/>
      <c r="F58" s="670"/>
      <c r="G58" s="670"/>
      <c r="H58" s="670"/>
      <c r="I58" s="670"/>
      <c r="J58" s="670"/>
      <c r="K58" s="670"/>
      <c r="L58" s="670"/>
      <c r="M58" s="670"/>
      <c r="N58" s="670"/>
      <c r="O58" s="670"/>
      <c r="P58" s="670"/>
      <c r="Q58" s="666"/>
      <c r="AY58" s="549"/>
      <c r="AZ58" s="549"/>
      <c r="BA58" s="549"/>
      <c r="BB58" s="549"/>
      <c r="BC58" s="549"/>
      <c r="BD58" s="549"/>
      <c r="BE58" s="549"/>
      <c r="BF58" s="549"/>
      <c r="BG58" s="549"/>
      <c r="BH58" s="549"/>
      <c r="BI58" s="549"/>
      <c r="BJ58" s="549"/>
    </row>
    <row r="59" spans="1:74" s="448" customFormat="1" ht="12" customHeight="1">
      <c r="A59" s="447"/>
      <c r="B59" s="669" t="s">
        <v>1181</v>
      </c>
      <c r="C59" s="670"/>
      <c r="D59" s="670"/>
      <c r="E59" s="670"/>
      <c r="F59" s="670"/>
      <c r="G59" s="670"/>
      <c r="H59" s="670"/>
      <c r="I59" s="670"/>
      <c r="J59" s="670"/>
      <c r="K59" s="670"/>
      <c r="L59" s="670"/>
      <c r="M59" s="670"/>
      <c r="N59" s="670"/>
      <c r="O59" s="670"/>
      <c r="P59" s="670"/>
      <c r="Q59" s="666"/>
      <c r="AY59" s="549"/>
      <c r="AZ59" s="549"/>
      <c r="BA59" s="549"/>
      <c r="BB59" s="549"/>
      <c r="BC59" s="549"/>
      <c r="BD59" s="549"/>
      <c r="BE59" s="549"/>
      <c r="BF59" s="549"/>
      <c r="BG59" s="549"/>
      <c r="BH59" s="549"/>
      <c r="BI59" s="549"/>
      <c r="BJ59" s="549"/>
    </row>
    <row r="60" spans="1:74" s="448" customFormat="1" ht="12.75">
      <c r="A60" s="447"/>
      <c r="B60" s="682" t="s">
        <v>1209</v>
      </c>
      <c r="C60" s="666"/>
      <c r="D60" s="666"/>
      <c r="E60" s="666"/>
      <c r="F60" s="666"/>
      <c r="G60" s="666"/>
      <c r="H60" s="666"/>
      <c r="I60" s="666"/>
      <c r="J60" s="666"/>
      <c r="K60" s="666"/>
      <c r="L60" s="666"/>
      <c r="M60" s="666"/>
      <c r="N60" s="666"/>
      <c r="O60" s="666"/>
      <c r="P60" s="666"/>
      <c r="Q60" s="666"/>
      <c r="AY60" s="549"/>
      <c r="AZ60" s="549"/>
      <c r="BA60" s="549"/>
      <c r="BB60" s="549"/>
      <c r="BC60" s="549"/>
      <c r="BD60" s="549"/>
      <c r="BE60" s="549"/>
      <c r="BF60" s="549"/>
      <c r="BG60" s="549"/>
      <c r="BH60" s="549"/>
      <c r="BI60" s="549"/>
      <c r="BJ60" s="549"/>
    </row>
    <row r="61" spans="1:74" s="448" customFormat="1" ht="12" customHeight="1">
      <c r="A61" s="447"/>
      <c r="B61" s="664" t="s">
        <v>1186</v>
      </c>
      <c r="C61" s="665"/>
      <c r="D61" s="665"/>
      <c r="E61" s="665"/>
      <c r="F61" s="665"/>
      <c r="G61" s="665"/>
      <c r="H61" s="665"/>
      <c r="I61" s="665"/>
      <c r="J61" s="665"/>
      <c r="K61" s="665"/>
      <c r="L61" s="665"/>
      <c r="M61" s="665"/>
      <c r="N61" s="665"/>
      <c r="O61" s="665"/>
      <c r="P61" s="665"/>
      <c r="Q61" s="666"/>
      <c r="AY61" s="549"/>
      <c r="AZ61" s="549"/>
      <c r="BA61" s="549"/>
      <c r="BB61" s="549"/>
      <c r="BC61" s="549"/>
      <c r="BD61" s="549"/>
      <c r="BE61" s="549"/>
      <c r="BF61" s="549"/>
      <c r="BG61" s="549"/>
      <c r="BH61" s="549"/>
      <c r="BI61" s="549"/>
      <c r="BJ61" s="549"/>
    </row>
    <row r="62" spans="1:74" s="449" customFormat="1" ht="12" customHeight="1">
      <c r="A62" s="445"/>
      <c r="B62" s="677" t="s">
        <v>1194</v>
      </c>
      <c r="C62" s="666"/>
      <c r="D62" s="666"/>
      <c r="E62" s="666"/>
      <c r="F62" s="666"/>
      <c r="G62" s="666"/>
      <c r="H62" s="666"/>
      <c r="I62" s="666"/>
      <c r="J62" s="666"/>
      <c r="K62" s="666"/>
      <c r="L62" s="666"/>
      <c r="M62" s="666"/>
      <c r="N62" s="666"/>
      <c r="O62" s="666"/>
      <c r="P62" s="666"/>
      <c r="Q62" s="666"/>
      <c r="AY62" s="548"/>
      <c r="AZ62" s="548"/>
      <c r="BA62" s="548"/>
      <c r="BB62" s="548"/>
      <c r="BC62" s="548"/>
      <c r="BD62" s="548"/>
      <c r="BE62" s="548"/>
      <c r="BF62" s="548"/>
      <c r="BG62" s="548"/>
      <c r="BH62" s="548"/>
      <c r="BI62" s="548"/>
      <c r="BJ62" s="548"/>
    </row>
    <row r="63" spans="1:74">
      <c r="BK63" s="419"/>
      <c r="BL63" s="419"/>
      <c r="BM63" s="419"/>
      <c r="BN63" s="419"/>
      <c r="BO63" s="419"/>
      <c r="BP63" s="419"/>
      <c r="BQ63" s="419"/>
      <c r="BR63" s="419"/>
      <c r="BS63" s="419"/>
      <c r="BT63" s="419"/>
      <c r="BU63" s="419"/>
      <c r="BV63" s="419"/>
    </row>
    <row r="64" spans="1:74">
      <c r="BK64" s="419"/>
      <c r="BL64" s="419"/>
      <c r="BM64" s="419"/>
      <c r="BN64" s="419"/>
      <c r="BO64" s="419"/>
      <c r="BP64" s="419"/>
      <c r="BQ64" s="419"/>
      <c r="BR64" s="419"/>
      <c r="BS64" s="419"/>
      <c r="BT64" s="419"/>
      <c r="BU64" s="419"/>
      <c r="BV64" s="419"/>
    </row>
    <row r="65" spans="63:74">
      <c r="BK65" s="419"/>
      <c r="BL65" s="419"/>
      <c r="BM65" s="419"/>
      <c r="BN65" s="419"/>
      <c r="BO65" s="419"/>
      <c r="BP65" s="419"/>
      <c r="BQ65" s="419"/>
      <c r="BR65" s="419"/>
      <c r="BS65" s="419"/>
      <c r="BT65" s="419"/>
      <c r="BU65" s="419"/>
      <c r="BV65" s="419"/>
    </row>
    <row r="66" spans="63:74">
      <c r="BK66" s="419"/>
      <c r="BL66" s="419"/>
      <c r="BM66" s="419"/>
      <c r="BN66" s="419"/>
      <c r="BO66" s="419"/>
      <c r="BP66" s="419"/>
      <c r="BQ66" s="419"/>
      <c r="BR66" s="419"/>
      <c r="BS66" s="419"/>
      <c r="BT66" s="419"/>
      <c r="BU66" s="419"/>
      <c r="BV66" s="419"/>
    </row>
    <row r="67" spans="63:74">
      <c r="BK67" s="419"/>
      <c r="BL67" s="419"/>
      <c r="BM67" s="419"/>
      <c r="BN67" s="419"/>
      <c r="BO67" s="419"/>
      <c r="BP67" s="419"/>
      <c r="BQ67" s="419"/>
      <c r="BR67" s="419"/>
      <c r="BS67" s="419"/>
      <c r="BT67" s="419"/>
      <c r="BU67" s="419"/>
      <c r="BV67" s="419"/>
    </row>
    <row r="68" spans="63:74">
      <c r="BK68" s="419"/>
      <c r="BL68" s="419"/>
      <c r="BM68" s="419"/>
      <c r="BN68" s="419"/>
      <c r="BO68" s="419"/>
      <c r="BP68" s="419"/>
      <c r="BQ68" s="419"/>
      <c r="BR68" s="419"/>
      <c r="BS68" s="419"/>
      <c r="BT68" s="419"/>
      <c r="BU68" s="419"/>
      <c r="BV68" s="419"/>
    </row>
    <row r="69" spans="63:74">
      <c r="BK69" s="419"/>
      <c r="BL69" s="419"/>
      <c r="BM69" s="419"/>
      <c r="BN69" s="419"/>
      <c r="BO69" s="419"/>
      <c r="BP69" s="419"/>
      <c r="BQ69" s="419"/>
      <c r="BR69" s="419"/>
      <c r="BS69" s="419"/>
      <c r="BT69" s="419"/>
      <c r="BU69" s="419"/>
      <c r="BV69" s="419"/>
    </row>
    <row r="70" spans="63:74">
      <c r="BK70" s="419"/>
      <c r="BL70" s="419"/>
      <c r="BM70" s="419"/>
      <c r="BN70" s="419"/>
      <c r="BO70" s="419"/>
      <c r="BP70" s="419"/>
      <c r="BQ70" s="419"/>
      <c r="BR70" s="419"/>
      <c r="BS70" s="419"/>
      <c r="BT70" s="419"/>
      <c r="BU70" s="419"/>
      <c r="BV70" s="419"/>
    </row>
    <row r="71" spans="63:74">
      <c r="BK71" s="419"/>
      <c r="BL71" s="419"/>
      <c r="BM71" s="419"/>
      <c r="BN71" s="419"/>
      <c r="BO71" s="419"/>
      <c r="BP71" s="419"/>
      <c r="BQ71" s="419"/>
      <c r="BR71" s="419"/>
      <c r="BS71" s="419"/>
      <c r="BT71" s="419"/>
      <c r="BU71" s="419"/>
      <c r="BV71" s="419"/>
    </row>
    <row r="72" spans="63:74">
      <c r="BK72" s="419"/>
      <c r="BL72" s="419"/>
      <c r="BM72" s="419"/>
      <c r="BN72" s="419"/>
      <c r="BO72" s="419"/>
      <c r="BP72" s="419"/>
      <c r="BQ72" s="419"/>
      <c r="BR72" s="419"/>
      <c r="BS72" s="419"/>
      <c r="BT72" s="419"/>
      <c r="BU72" s="419"/>
      <c r="BV72" s="419"/>
    </row>
    <row r="73" spans="63:74">
      <c r="BK73" s="419"/>
      <c r="BL73" s="419"/>
      <c r="BM73" s="419"/>
      <c r="BN73" s="419"/>
      <c r="BO73" s="419"/>
      <c r="BP73" s="419"/>
      <c r="BQ73" s="419"/>
      <c r="BR73" s="419"/>
      <c r="BS73" s="419"/>
      <c r="BT73" s="419"/>
      <c r="BU73" s="419"/>
      <c r="BV73" s="419"/>
    </row>
    <row r="74" spans="63:74">
      <c r="BK74" s="419"/>
      <c r="BL74" s="419"/>
      <c r="BM74" s="419"/>
      <c r="BN74" s="419"/>
      <c r="BO74" s="419"/>
      <c r="BP74" s="419"/>
      <c r="BQ74" s="419"/>
      <c r="BR74" s="419"/>
      <c r="BS74" s="419"/>
      <c r="BT74" s="419"/>
      <c r="BU74" s="419"/>
      <c r="BV74" s="419"/>
    </row>
    <row r="75" spans="63:74">
      <c r="BK75" s="419"/>
      <c r="BL75" s="419"/>
      <c r="BM75" s="419"/>
      <c r="BN75" s="419"/>
      <c r="BO75" s="419"/>
      <c r="BP75" s="419"/>
      <c r="BQ75" s="419"/>
      <c r="BR75" s="419"/>
      <c r="BS75" s="419"/>
      <c r="BT75" s="419"/>
      <c r="BU75" s="419"/>
      <c r="BV75" s="419"/>
    </row>
    <row r="76" spans="63:74">
      <c r="BK76" s="419"/>
      <c r="BL76" s="419"/>
      <c r="BM76" s="419"/>
      <c r="BN76" s="419"/>
      <c r="BO76" s="419"/>
      <c r="BP76" s="419"/>
      <c r="BQ76" s="419"/>
      <c r="BR76" s="419"/>
      <c r="BS76" s="419"/>
      <c r="BT76" s="419"/>
      <c r="BU76" s="419"/>
      <c r="BV76" s="419"/>
    </row>
    <row r="77" spans="63:74">
      <c r="BK77" s="419"/>
      <c r="BL77" s="419"/>
      <c r="BM77" s="419"/>
      <c r="BN77" s="419"/>
      <c r="BO77" s="419"/>
      <c r="BP77" s="419"/>
      <c r="BQ77" s="419"/>
      <c r="BR77" s="419"/>
      <c r="BS77" s="419"/>
      <c r="BT77" s="419"/>
      <c r="BU77" s="419"/>
      <c r="BV77" s="419"/>
    </row>
    <row r="78" spans="63:74">
      <c r="BK78" s="419"/>
      <c r="BL78" s="419"/>
      <c r="BM78" s="419"/>
      <c r="BN78" s="419"/>
      <c r="BO78" s="419"/>
      <c r="BP78" s="419"/>
      <c r="BQ78" s="419"/>
      <c r="BR78" s="419"/>
      <c r="BS78" s="419"/>
      <c r="BT78" s="419"/>
      <c r="BU78" s="419"/>
      <c r="BV78" s="419"/>
    </row>
    <row r="79" spans="63:74">
      <c r="BK79" s="419"/>
      <c r="BL79" s="419"/>
      <c r="BM79" s="419"/>
      <c r="BN79" s="419"/>
      <c r="BO79" s="419"/>
      <c r="BP79" s="419"/>
      <c r="BQ79" s="419"/>
      <c r="BR79" s="419"/>
      <c r="BS79" s="419"/>
      <c r="BT79" s="419"/>
      <c r="BU79" s="419"/>
      <c r="BV79" s="419"/>
    </row>
    <row r="80" spans="63:74">
      <c r="BK80" s="419"/>
      <c r="BL80" s="419"/>
      <c r="BM80" s="419"/>
      <c r="BN80" s="419"/>
      <c r="BO80" s="419"/>
      <c r="BP80" s="419"/>
      <c r="BQ80" s="419"/>
      <c r="BR80" s="419"/>
      <c r="BS80" s="419"/>
      <c r="BT80" s="419"/>
      <c r="BU80" s="419"/>
      <c r="BV80" s="419"/>
    </row>
    <row r="81" spans="63:74">
      <c r="BK81" s="419"/>
      <c r="BL81" s="419"/>
      <c r="BM81" s="419"/>
      <c r="BN81" s="419"/>
      <c r="BO81" s="419"/>
      <c r="BP81" s="419"/>
      <c r="BQ81" s="419"/>
      <c r="BR81" s="419"/>
      <c r="BS81" s="419"/>
      <c r="BT81" s="419"/>
      <c r="BU81" s="419"/>
      <c r="BV81" s="419"/>
    </row>
    <row r="82" spans="63:74">
      <c r="BK82" s="419"/>
      <c r="BL82" s="419"/>
      <c r="BM82" s="419"/>
      <c r="BN82" s="419"/>
      <c r="BO82" s="419"/>
      <c r="BP82" s="419"/>
      <c r="BQ82" s="419"/>
      <c r="BR82" s="419"/>
      <c r="BS82" s="419"/>
      <c r="BT82" s="419"/>
      <c r="BU82" s="419"/>
      <c r="BV82" s="419"/>
    </row>
    <row r="83" spans="63:74">
      <c r="BK83" s="419"/>
      <c r="BL83" s="419"/>
      <c r="BM83" s="419"/>
      <c r="BN83" s="419"/>
      <c r="BO83" s="419"/>
      <c r="BP83" s="419"/>
      <c r="BQ83" s="419"/>
      <c r="BR83" s="419"/>
      <c r="BS83" s="419"/>
      <c r="BT83" s="419"/>
      <c r="BU83" s="419"/>
      <c r="BV83" s="419"/>
    </row>
    <row r="84" spans="63:74">
      <c r="BK84" s="419"/>
      <c r="BL84" s="419"/>
      <c r="BM84" s="419"/>
      <c r="BN84" s="419"/>
      <c r="BO84" s="419"/>
      <c r="BP84" s="419"/>
      <c r="BQ84" s="419"/>
      <c r="BR84" s="419"/>
      <c r="BS84" s="419"/>
      <c r="BT84" s="419"/>
      <c r="BU84" s="419"/>
      <c r="BV84" s="419"/>
    </row>
    <row r="85" spans="63:74">
      <c r="BK85" s="419"/>
      <c r="BL85" s="419"/>
      <c r="BM85" s="419"/>
      <c r="BN85" s="419"/>
      <c r="BO85" s="419"/>
      <c r="BP85" s="419"/>
      <c r="BQ85" s="419"/>
      <c r="BR85" s="419"/>
      <c r="BS85" s="419"/>
      <c r="BT85" s="419"/>
      <c r="BU85" s="419"/>
      <c r="BV85" s="419"/>
    </row>
    <row r="86" spans="63:74">
      <c r="BK86" s="419"/>
      <c r="BL86" s="419"/>
      <c r="BM86" s="419"/>
      <c r="BN86" s="419"/>
      <c r="BO86" s="419"/>
      <c r="BP86" s="419"/>
      <c r="BQ86" s="419"/>
      <c r="BR86" s="419"/>
      <c r="BS86" s="419"/>
      <c r="BT86" s="419"/>
      <c r="BU86" s="419"/>
      <c r="BV86" s="419"/>
    </row>
    <row r="87" spans="63:74">
      <c r="BK87" s="419"/>
      <c r="BL87" s="419"/>
      <c r="BM87" s="419"/>
      <c r="BN87" s="419"/>
      <c r="BO87" s="419"/>
      <c r="BP87" s="419"/>
      <c r="BQ87" s="419"/>
      <c r="BR87" s="419"/>
      <c r="BS87" s="419"/>
      <c r="BT87" s="419"/>
      <c r="BU87" s="419"/>
      <c r="BV87" s="419"/>
    </row>
    <row r="88" spans="63:74">
      <c r="BK88" s="419"/>
      <c r="BL88" s="419"/>
      <c r="BM88" s="419"/>
      <c r="BN88" s="419"/>
      <c r="BO88" s="419"/>
      <c r="BP88" s="419"/>
      <c r="BQ88" s="419"/>
      <c r="BR88" s="419"/>
      <c r="BS88" s="419"/>
      <c r="BT88" s="419"/>
      <c r="BU88" s="419"/>
      <c r="BV88" s="419"/>
    </row>
    <row r="89" spans="63:74">
      <c r="BK89" s="419"/>
      <c r="BL89" s="419"/>
      <c r="BM89" s="419"/>
      <c r="BN89" s="419"/>
      <c r="BO89" s="419"/>
      <c r="BP89" s="419"/>
      <c r="BQ89" s="419"/>
      <c r="BR89" s="419"/>
      <c r="BS89" s="419"/>
      <c r="BT89" s="419"/>
      <c r="BU89" s="419"/>
      <c r="BV89" s="419"/>
    </row>
    <row r="90" spans="63:74">
      <c r="BK90" s="419"/>
      <c r="BL90" s="419"/>
      <c r="BM90" s="419"/>
      <c r="BN90" s="419"/>
      <c r="BO90" s="419"/>
      <c r="BP90" s="419"/>
      <c r="BQ90" s="419"/>
      <c r="BR90" s="419"/>
      <c r="BS90" s="419"/>
      <c r="BT90" s="419"/>
      <c r="BU90" s="419"/>
      <c r="BV90" s="419"/>
    </row>
    <row r="91" spans="63:74">
      <c r="BK91" s="419"/>
      <c r="BL91" s="419"/>
      <c r="BM91" s="419"/>
      <c r="BN91" s="419"/>
      <c r="BO91" s="419"/>
      <c r="BP91" s="419"/>
      <c r="BQ91" s="419"/>
      <c r="BR91" s="419"/>
      <c r="BS91" s="419"/>
      <c r="BT91" s="419"/>
      <c r="BU91" s="419"/>
      <c r="BV91" s="419"/>
    </row>
    <row r="92" spans="63:74">
      <c r="BK92" s="419"/>
      <c r="BL92" s="419"/>
      <c r="BM92" s="419"/>
      <c r="BN92" s="419"/>
      <c r="BO92" s="419"/>
      <c r="BP92" s="419"/>
      <c r="BQ92" s="419"/>
      <c r="BR92" s="419"/>
      <c r="BS92" s="419"/>
      <c r="BT92" s="419"/>
      <c r="BU92" s="419"/>
      <c r="BV92" s="419"/>
    </row>
    <row r="93" spans="63:74">
      <c r="BK93" s="419"/>
      <c r="BL93" s="419"/>
      <c r="BM93" s="419"/>
      <c r="BN93" s="419"/>
      <c r="BO93" s="419"/>
      <c r="BP93" s="419"/>
      <c r="BQ93" s="419"/>
      <c r="BR93" s="419"/>
      <c r="BS93" s="419"/>
      <c r="BT93" s="419"/>
      <c r="BU93" s="419"/>
      <c r="BV93" s="419"/>
    </row>
    <row r="94" spans="63:74">
      <c r="BK94" s="419"/>
      <c r="BL94" s="419"/>
      <c r="BM94" s="419"/>
      <c r="BN94" s="419"/>
      <c r="BO94" s="419"/>
      <c r="BP94" s="419"/>
      <c r="BQ94" s="419"/>
      <c r="BR94" s="419"/>
      <c r="BS94" s="419"/>
      <c r="BT94" s="419"/>
      <c r="BU94" s="419"/>
      <c r="BV94" s="419"/>
    </row>
    <row r="95" spans="63:74">
      <c r="BK95" s="419"/>
      <c r="BL95" s="419"/>
      <c r="BM95" s="419"/>
      <c r="BN95" s="419"/>
      <c r="BO95" s="419"/>
      <c r="BP95" s="419"/>
      <c r="BQ95" s="419"/>
      <c r="BR95" s="419"/>
      <c r="BS95" s="419"/>
      <c r="BT95" s="419"/>
      <c r="BU95" s="419"/>
      <c r="BV95" s="419"/>
    </row>
    <row r="96" spans="63:74">
      <c r="BK96" s="419"/>
      <c r="BL96" s="419"/>
      <c r="BM96" s="419"/>
      <c r="BN96" s="419"/>
      <c r="BO96" s="419"/>
      <c r="BP96" s="419"/>
      <c r="BQ96" s="419"/>
      <c r="BR96" s="419"/>
      <c r="BS96" s="419"/>
      <c r="BT96" s="419"/>
      <c r="BU96" s="419"/>
      <c r="BV96" s="419"/>
    </row>
    <row r="97" spans="63:74">
      <c r="BK97" s="419"/>
      <c r="BL97" s="419"/>
      <c r="BM97" s="419"/>
      <c r="BN97" s="419"/>
      <c r="BO97" s="419"/>
      <c r="BP97" s="419"/>
      <c r="BQ97" s="419"/>
      <c r="BR97" s="419"/>
      <c r="BS97" s="419"/>
      <c r="BT97" s="419"/>
      <c r="BU97" s="419"/>
      <c r="BV97" s="419"/>
    </row>
    <row r="98" spans="63:74">
      <c r="BK98" s="419"/>
      <c r="BL98" s="419"/>
      <c r="BM98" s="419"/>
      <c r="BN98" s="419"/>
      <c r="BO98" s="419"/>
      <c r="BP98" s="419"/>
      <c r="BQ98" s="419"/>
      <c r="BR98" s="419"/>
      <c r="BS98" s="419"/>
      <c r="BT98" s="419"/>
      <c r="BU98" s="419"/>
      <c r="BV98" s="419"/>
    </row>
    <row r="99" spans="63:74">
      <c r="BK99" s="419"/>
      <c r="BL99" s="419"/>
      <c r="BM99" s="419"/>
      <c r="BN99" s="419"/>
      <c r="BO99" s="419"/>
      <c r="BP99" s="419"/>
      <c r="BQ99" s="419"/>
      <c r="BR99" s="419"/>
      <c r="BS99" s="419"/>
      <c r="BT99" s="419"/>
      <c r="BU99" s="419"/>
      <c r="BV99" s="419"/>
    </row>
    <row r="100" spans="63:74">
      <c r="BK100" s="419"/>
      <c r="BL100" s="419"/>
      <c r="BM100" s="419"/>
      <c r="BN100" s="419"/>
      <c r="BO100" s="419"/>
      <c r="BP100" s="419"/>
      <c r="BQ100" s="419"/>
      <c r="BR100" s="419"/>
      <c r="BS100" s="419"/>
      <c r="BT100" s="419"/>
      <c r="BU100" s="419"/>
      <c r="BV100" s="419"/>
    </row>
    <row r="101" spans="63:74">
      <c r="BK101" s="419"/>
      <c r="BL101" s="419"/>
      <c r="BM101" s="419"/>
      <c r="BN101" s="419"/>
      <c r="BO101" s="419"/>
      <c r="BP101" s="419"/>
      <c r="BQ101" s="419"/>
      <c r="BR101" s="419"/>
      <c r="BS101" s="419"/>
      <c r="BT101" s="419"/>
      <c r="BU101" s="419"/>
      <c r="BV101" s="419"/>
    </row>
    <row r="102" spans="63:74">
      <c r="BK102" s="419"/>
      <c r="BL102" s="419"/>
      <c r="BM102" s="419"/>
      <c r="BN102" s="419"/>
      <c r="BO102" s="419"/>
      <c r="BP102" s="419"/>
      <c r="BQ102" s="419"/>
      <c r="BR102" s="419"/>
      <c r="BS102" s="419"/>
      <c r="BT102" s="419"/>
      <c r="BU102" s="419"/>
      <c r="BV102" s="419"/>
    </row>
    <row r="103" spans="63:74">
      <c r="BK103" s="419"/>
      <c r="BL103" s="419"/>
      <c r="BM103" s="419"/>
      <c r="BN103" s="419"/>
      <c r="BO103" s="419"/>
      <c r="BP103" s="419"/>
      <c r="BQ103" s="419"/>
      <c r="BR103" s="419"/>
      <c r="BS103" s="419"/>
      <c r="BT103" s="419"/>
      <c r="BU103" s="419"/>
      <c r="BV103" s="419"/>
    </row>
    <row r="104" spans="63:74">
      <c r="BK104" s="419"/>
      <c r="BL104" s="419"/>
      <c r="BM104" s="419"/>
      <c r="BN104" s="419"/>
      <c r="BO104" s="419"/>
      <c r="BP104" s="419"/>
      <c r="BQ104" s="419"/>
      <c r="BR104" s="419"/>
      <c r="BS104" s="419"/>
      <c r="BT104" s="419"/>
      <c r="BU104" s="419"/>
      <c r="BV104" s="419"/>
    </row>
    <row r="105" spans="63:74">
      <c r="BK105" s="419"/>
      <c r="BL105" s="419"/>
      <c r="BM105" s="419"/>
      <c r="BN105" s="419"/>
      <c r="BO105" s="419"/>
      <c r="BP105" s="419"/>
      <c r="BQ105" s="419"/>
      <c r="BR105" s="419"/>
      <c r="BS105" s="419"/>
      <c r="BT105" s="419"/>
      <c r="BU105" s="419"/>
      <c r="BV105" s="419"/>
    </row>
    <row r="106" spans="63:74">
      <c r="BK106" s="419"/>
      <c r="BL106" s="419"/>
      <c r="BM106" s="419"/>
      <c r="BN106" s="419"/>
      <c r="BO106" s="419"/>
      <c r="BP106" s="419"/>
      <c r="BQ106" s="419"/>
      <c r="BR106" s="419"/>
      <c r="BS106" s="419"/>
      <c r="BT106" s="419"/>
      <c r="BU106" s="419"/>
      <c r="BV106" s="419"/>
    </row>
    <row r="107" spans="63:74">
      <c r="BK107" s="419"/>
      <c r="BL107" s="419"/>
      <c r="BM107" s="419"/>
      <c r="BN107" s="419"/>
      <c r="BO107" s="419"/>
      <c r="BP107" s="419"/>
      <c r="BQ107" s="419"/>
      <c r="BR107" s="419"/>
      <c r="BS107" s="419"/>
      <c r="BT107" s="419"/>
      <c r="BU107" s="419"/>
      <c r="BV107" s="419"/>
    </row>
    <row r="108" spans="63:74">
      <c r="BK108" s="419"/>
      <c r="BL108" s="419"/>
      <c r="BM108" s="419"/>
      <c r="BN108" s="419"/>
      <c r="BO108" s="419"/>
      <c r="BP108" s="419"/>
      <c r="BQ108" s="419"/>
      <c r="BR108" s="419"/>
      <c r="BS108" s="419"/>
      <c r="BT108" s="419"/>
      <c r="BU108" s="419"/>
      <c r="BV108" s="419"/>
    </row>
    <row r="109" spans="63:74">
      <c r="BK109" s="419"/>
      <c r="BL109" s="419"/>
      <c r="BM109" s="419"/>
      <c r="BN109" s="419"/>
      <c r="BO109" s="419"/>
      <c r="BP109" s="419"/>
      <c r="BQ109" s="419"/>
      <c r="BR109" s="419"/>
      <c r="BS109" s="419"/>
      <c r="BT109" s="419"/>
      <c r="BU109" s="419"/>
      <c r="BV109" s="419"/>
    </row>
    <row r="110" spans="63:74">
      <c r="BK110" s="419"/>
      <c r="BL110" s="419"/>
      <c r="BM110" s="419"/>
      <c r="BN110" s="419"/>
      <c r="BO110" s="419"/>
      <c r="BP110" s="419"/>
      <c r="BQ110" s="419"/>
      <c r="BR110" s="419"/>
      <c r="BS110" s="419"/>
      <c r="BT110" s="419"/>
      <c r="BU110" s="419"/>
      <c r="BV110" s="419"/>
    </row>
    <row r="111" spans="63:74">
      <c r="BK111" s="419"/>
      <c r="BL111" s="419"/>
      <c r="BM111" s="419"/>
      <c r="BN111" s="419"/>
      <c r="BO111" s="419"/>
      <c r="BP111" s="419"/>
      <c r="BQ111" s="419"/>
      <c r="BR111" s="419"/>
      <c r="BS111" s="419"/>
      <c r="BT111" s="419"/>
      <c r="BU111" s="419"/>
      <c r="BV111" s="419"/>
    </row>
    <row r="112" spans="63:74">
      <c r="BK112" s="419"/>
      <c r="BL112" s="419"/>
      <c r="BM112" s="419"/>
      <c r="BN112" s="419"/>
      <c r="BO112" s="419"/>
      <c r="BP112" s="419"/>
      <c r="BQ112" s="419"/>
      <c r="BR112" s="419"/>
      <c r="BS112" s="419"/>
      <c r="BT112" s="419"/>
      <c r="BU112" s="419"/>
      <c r="BV112" s="419"/>
    </row>
    <row r="113" spans="63:74">
      <c r="BK113" s="419"/>
      <c r="BL113" s="419"/>
      <c r="BM113" s="419"/>
      <c r="BN113" s="419"/>
      <c r="BO113" s="419"/>
      <c r="BP113" s="419"/>
      <c r="BQ113" s="419"/>
      <c r="BR113" s="419"/>
      <c r="BS113" s="419"/>
      <c r="BT113" s="419"/>
      <c r="BU113" s="419"/>
      <c r="BV113" s="419"/>
    </row>
    <row r="114" spans="63:74">
      <c r="BK114" s="419"/>
      <c r="BL114" s="419"/>
      <c r="BM114" s="419"/>
      <c r="BN114" s="419"/>
      <c r="BO114" s="419"/>
      <c r="BP114" s="419"/>
      <c r="BQ114" s="419"/>
      <c r="BR114" s="419"/>
      <c r="BS114" s="419"/>
      <c r="BT114" s="419"/>
      <c r="BU114" s="419"/>
      <c r="BV114" s="419"/>
    </row>
    <row r="115" spans="63:74">
      <c r="BK115" s="419"/>
      <c r="BL115" s="419"/>
      <c r="BM115" s="419"/>
      <c r="BN115" s="419"/>
      <c r="BO115" s="419"/>
      <c r="BP115" s="419"/>
      <c r="BQ115" s="419"/>
      <c r="BR115" s="419"/>
      <c r="BS115" s="419"/>
      <c r="BT115" s="419"/>
      <c r="BU115" s="419"/>
      <c r="BV115" s="419"/>
    </row>
    <row r="116" spans="63:74">
      <c r="BK116" s="419"/>
      <c r="BL116" s="419"/>
      <c r="BM116" s="419"/>
      <c r="BN116" s="419"/>
      <c r="BO116" s="419"/>
      <c r="BP116" s="419"/>
      <c r="BQ116" s="419"/>
      <c r="BR116" s="419"/>
      <c r="BS116" s="419"/>
      <c r="BT116" s="419"/>
      <c r="BU116" s="419"/>
      <c r="BV116" s="419"/>
    </row>
    <row r="117" spans="63:74">
      <c r="BK117" s="419"/>
      <c r="BL117" s="419"/>
      <c r="BM117" s="419"/>
      <c r="BN117" s="419"/>
      <c r="BO117" s="419"/>
      <c r="BP117" s="419"/>
      <c r="BQ117" s="419"/>
      <c r="BR117" s="419"/>
      <c r="BS117" s="419"/>
      <c r="BT117" s="419"/>
      <c r="BU117" s="419"/>
      <c r="BV117" s="419"/>
    </row>
    <row r="118" spans="63:74">
      <c r="BK118" s="419"/>
      <c r="BL118" s="419"/>
      <c r="BM118" s="419"/>
      <c r="BN118" s="419"/>
      <c r="BO118" s="419"/>
      <c r="BP118" s="419"/>
      <c r="BQ118" s="419"/>
      <c r="BR118" s="419"/>
      <c r="BS118" s="419"/>
      <c r="BT118" s="419"/>
      <c r="BU118" s="419"/>
      <c r="BV118" s="419"/>
    </row>
    <row r="119" spans="63:74">
      <c r="BK119" s="419"/>
      <c r="BL119" s="419"/>
      <c r="BM119" s="419"/>
      <c r="BN119" s="419"/>
      <c r="BO119" s="419"/>
      <c r="BP119" s="419"/>
      <c r="BQ119" s="419"/>
      <c r="BR119" s="419"/>
      <c r="BS119" s="419"/>
      <c r="BT119" s="419"/>
      <c r="BU119" s="419"/>
      <c r="BV119" s="419"/>
    </row>
    <row r="120" spans="63:74">
      <c r="BK120" s="419"/>
      <c r="BL120" s="419"/>
      <c r="BM120" s="419"/>
      <c r="BN120" s="419"/>
      <c r="BO120" s="419"/>
      <c r="BP120" s="419"/>
      <c r="BQ120" s="419"/>
      <c r="BR120" s="419"/>
      <c r="BS120" s="419"/>
      <c r="BT120" s="419"/>
      <c r="BU120" s="419"/>
      <c r="BV120" s="419"/>
    </row>
    <row r="121" spans="63:74">
      <c r="BK121" s="419"/>
      <c r="BL121" s="419"/>
      <c r="BM121" s="419"/>
      <c r="BN121" s="419"/>
      <c r="BO121" s="419"/>
      <c r="BP121" s="419"/>
      <c r="BQ121" s="419"/>
      <c r="BR121" s="419"/>
      <c r="BS121" s="419"/>
      <c r="BT121" s="419"/>
      <c r="BU121" s="419"/>
      <c r="BV121" s="419"/>
    </row>
    <row r="122" spans="63:74">
      <c r="BK122" s="419"/>
      <c r="BL122" s="419"/>
      <c r="BM122" s="419"/>
      <c r="BN122" s="419"/>
      <c r="BO122" s="419"/>
      <c r="BP122" s="419"/>
      <c r="BQ122" s="419"/>
      <c r="BR122" s="419"/>
      <c r="BS122" s="419"/>
      <c r="BT122" s="419"/>
      <c r="BU122" s="419"/>
      <c r="BV122" s="419"/>
    </row>
    <row r="123" spans="63:74">
      <c r="BK123" s="419"/>
      <c r="BL123" s="419"/>
      <c r="BM123" s="419"/>
      <c r="BN123" s="419"/>
      <c r="BO123" s="419"/>
      <c r="BP123" s="419"/>
      <c r="BQ123" s="419"/>
      <c r="BR123" s="419"/>
      <c r="BS123" s="419"/>
      <c r="BT123" s="419"/>
      <c r="BU123" s="419"/>
      <c r="BV123" s="419"/>
    </row>
    <row r="124" spans="63:74">
      <c r="BK124" s="419"/>
      <c r="BL124" s="419"/>
      <c r="BM124" s="419"/>
      <c r="BN124" s="419"/>
      <c r="BO124" s="419"/>
      <c r="BP124" s="419"/>
      <c r="BQ124" s="419"/>
      <c r="BR124" s="419"/>
      <c r="BS124" s="419"/>
      <c r="BT124" s="419"/>
      <c r="BU124" s="419"/>
      <c r="BV124" s="419"/>
    </row>
    <row r="125" spans="63:74">
      <c r="BK125" s="419"/>
      <c r="BL125" s="419"/>
      <c r="BM125" s="419"/>
      <c r="BN125" s="419"/>
      <c r="BO125" s="419"/>
      <c r="BP125" s="419"/>
      <c r="BQ125" s="419"/>
      <c r="BR125" s="419"/>
      <c r="BS125" s="419"/>
      <c r="BT125" s="419"/>
      <c r="BU125" s="419"/>
      <c r="BV125" s="419"/>
    </row>
    <row r="126" spans="63:74">
      <c r="BK126" s="419"/>
      <c r="BL126" s="419"/>
      <c r="BM126" s="419"/>
      <c r="BN126" s="419"/>
      <c r="BO126" s="419"/>
      <c r="BP126" s="419"/>
      <c r="BQ126" s="419"/>
      <c r="BR126" s="419"/>
      <c r="BS126" s="419"/>
      <c r="BT126" s="419"/>
      <c r="BU126" s="419"/>
      <c r="BV126" s="419"/>
    </row>
    <row r="127" spans="63:74">
      <c r="BK127" s="419"/>
      <c r="BL127" s="419"/>
      <c r="BM127" s="419"/>
      <c r="BN127" s="419"/>
      <c r="BO127" s="419"/>
      <c r="BP127" s="419"/>
      <c r="BQ127" s="419"/>
      <c r="BR127" s="419"/>
      <c r="BS127" s="419"/>
      <c r="BT127" s="419"/>
      <c r="BU127" s="419"/>
      <c r="BV127" s="419"/>
    </row>
    <row r="128" spans="63:74">
      <c r="BK128" s="419"/>
      <c r="BL128" s="419"/>
      <c r="BM128" s="419"/>
      <c r="BN128" s="419"/>
      <c r="BO128" s="419"/>
      <c r="BP128" s="419"/>
      <c r="BQ128" s="419"/>
      <c r="BR128" s="419"/>
      <c r="BS128" s="419"/>
      <c r="BT128" s="419"/>
      <c r="BU128" s="419"/>
      <c r="BV128" s="419"/>
    </row>
    <row r="129" spans="63:74">
      <c r="BK129" s="419"/>
      <c r="BL129" s="419"/>
      <c r="BM129" s="419"/>
      <c r="BN129" s="419"/>
      <c r="BO129" s="419"/>
      <c r="BP129" s="419"/>
      <c r="BQ129" s="419"/>
      <c r="BR129" s="419"/>
      <c r="BS129" s="419"/>
      <c r="BT129" s="419"/>
      <c r="BU129" s="419"/>
      <c r="BV129" s="419"/>
    </row>
    <row r="130" spans="63:74">
      <c r="BK130" s="419"/>
      <c r="BL130" s="419"/>
      <c r="BM130" s="419"/>
      <c r="BN130" s="419"/>
      <c r="BO130" s="419"/>
      <c r="BP130" s="419"/>
      <c r="BQ130" s="419"/>
      <c r="BR130" s="419"/>
      <c r="BS130" s="419"/>
      <c r="BT130" s="419"/>
      <c r="BU130" s="419"/>
      <c r="BV130" s="419"/>
    </row>
    <row r="131" spans="63:74">
      <c r="BK131" s="419"/>
      <c r="BL131" s="419"/>
      <c r="BM131" s="419"/>
      <c r="BN131" s="419"/>
      <c r="BO131" s="419"/>
      <c r="BP131" s="419"/>
      <c r="BQ131" s="419"/>
      <c r="BR131" s="419"/>
      <c r="BS131" s="419"/>
      <c r="BT131" s="419"/>
      <c r="BU131" s="419"/>
      <c r="BV131" s="419"/>
    </row>
    <row r="132" spans="63:74">
      <c r="BK132" s="419"/>
      <c r="BL132" s="419"/>
      <c r="BM132" s="419"/>
      <c r="BN132" s="419"/>
      <c r="BO132" s="419"/>
      <c r="BP132" s="419"/>
      <c r="BQ132" s="419"/>
      <c r="BR132" s="419"/>
      <c r="BS132" s="419"/>
      <c r="BT132" s="419"/>
      <c r="BU132" s="419"/>
      <c r="BV132" s="419"/>
    </row>
    <row r="133" spans="63:74">
      <c r="BK133" s="419"/>
      <c r="BL133" s="419"/>
      <c r="BM133" s="419"/>
      <c r="BN133" s="419"/>
      <c r="BO133" s="419"/>
      <c r="BP133" s="419"/>
      <c r="BQ133" s="419"/>
      <c r="BR133" s="419"/>
      <c r="BS133" s="419"/>
      <c r="BT133" s="419"/>
      <c r="BU133" s="419"/>
      <c r="BV133" s="419"/>
    </row>
    <row r="134" spans="63:74">
      <c r="BK134" s="419"/>
      <c r="BL134" s="419"/>
      <c r="BM134" s="419"/>
      <c r="BN134" s="419"/>
      <c r="BO134" s="419"/>
      <c r="BP134" s="419"/>
      <c r="BQ134" s="419"/>
      <c r="BR134" s="419"/>
      <c r="BS134" s="419"/>
      <c r="BT134" s="419"/>
      <c r="BU134" s="419"/>
      <c r="BV134" s="419"/>
    </row>
    <row r="135" spans="63:74">
      <c r="BK135" s="419"/>
      <c r="BL135" s="419"/>
      <c r="BM135" s="419"/>
      <c r="BN135" s="419"/>
      <c r="BO135" s="419"/>
      <c r="BP135" s="419"/>
      <c r="BQ135" s="419"/>
      <c r="BR135" s="419"/>
      <c r="BS135" s="419"/>
      <c r="BT135" s="419"/>
      <c r="BU135" s="419"/>
      <c r="BV135" s="419"/>
    </row>
    <row r="136" spans="63:74">
      <c r="BK136" s="419"/>
      <c r="BL136" s="419"/>
      <c r="BM136" s="419"/>
      <c r="BN136" s="419"/>
      <c r="BO136" s="419"/>
      <c r="BP136" s="419"/>
      <c r="BQ136" s="419"/>
      <c r="BR136" s="419"/>
      <c r="BS136" s="419"/>
      <c r="BT136" s="419"/>
      <c r="BU136" s="419"/>
      <c r="BV136" s="419"/>
    </row>
    <row r="137" spans="63:74">
      <c r="BK137" s="419"/>
      <c r="BL137" s="419"/>
      <c r="BM137" s="419"/>
      <c r="BN137" s="419"/>
      <c r="BO137" s="419"/>
      <c r="BP137" s="419"/>
      <c r="BQ137" s="419"/>
      <c r="BR137" s="419"/>
      <c r="BS137" s="419"/>
      <c r="BT137" s="419"/>
      <c r="BU137" s="419"/>
      <c r="BV137" s="419"/>
    </row>
  </sheetData>
  <mergeCells count="22">
    <mergeCell ref="B60:Q60"/>
    <mergeCell ref="B61:Q61"/>
    <mergeCell ref="B62:Q62"/>
    <mergeCell ref="B57:Q57"/>
    <mergeCell ref="B58:Q58"/>
    <mergeCell ref="B59:Q59"/>
    <mergeCell ref="AM3:AX3"/>
    <mergeCell ref="AY3:BJ3"/>
    <mergeCell ref="BK3:BV3"/>
    <mergeCell ref="B1:AL1"/>
    <mergeCell ref="C3:N3"/>
    <mergeCell ref="O3:Z3"/>
    <mergeCell ref="AA3:AL3"/>
    <mergeCell ref="B55:Q55"/>
    <mergeCell ref="B56:Q56"/>
    <mergeCell ref="A1:A2"/>
    <mergeCell ref="B49:Q49"/>
    <mergeCell ref="B50:Q50"/>
    <mergeCell ref="B51:Q51"/>
    <mergeCell ref="B52:Q52"/>
    <mergeCell ref="B53:Q53"/>
    <mergeCell ref="B54:Q54"/>
  </mergeCells>
  <phoneticPr fontId="2" type="noConversion"/>
  <hyperlinks>
    <hyperlink ref="A1:A2" location="Contents!A1" display="Table of Contents"/>
  </hyperlinks>
  <pageMargins left="0.25" right="0.25" top="0.25" bottom="0.25" header="0.5" footer="0.5"/>
  <pageSetup scale="83" orientation="portrait" r:id="rId1"/>
  <headerFooter alignWithMargins="0"/>
</worksheet>
</file>