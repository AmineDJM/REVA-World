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A:\Oct26\"/>
    </mc:Choice>
  </mc:AlternateContent>
  <xr:revisionPtr revIDLastSave="0" documentId="13_ncr:1_{B8C7AB08-D6E5-45FB-A440-3D3C2469009D}" xr6:coauthVersionLast="47" xr6:coauthVersionMax="47" xr10:uidLastSave="{00000000-0000-0000-0000-000000000000}"/>
  <bookViews>
    <workbookView xWindow="-108" yWindow="-108" windowWidth="23256" windowHeight="13896" tabRatio="824" firstSheet="1" activeTab="1" xr2:uid="{00000000-000D-0000-FFFF-FFFF00000000}"/>
  </bookViews>
  <sheets>
    <sheet name="Dates" sheetId="33" r:id="rId1"/>
    <sheet name="2tab" sheetId="14" r:id="rId4"/>
    <sheet name="3atab" sheetId="39" r:id="rId5"/>
  </sheets>
  <definedNames>
    <definedName name="_Order1" hidden="1">255</definedName>
    <definedName name="_Order2" hidden="1">255</definedName>
    <definedName name="_Regression_Int" localSheetId="26" hidden="1">1</definedName>
    <definedName name="_Regression_Int" localSheetId="27" hidden="1">1</definedName>
    <definedName name="_Regression_Int" localSheetId="2" hidden="1">1</definedName>
    <definedName name="_Regression_Int" localSheetId="3" hidden="1">1</definedName>
    <definedName name="_Regression_Int" localSheetId="9"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19" hidden="1">1</definedName>
    <definedName name="_Regression_Int" localSheetId="20" hidden="1">1</definedName>
    <definedName name="_Regression_Int" localSheetId="23" hidden="1">1</definedName>
    <definedName name="_Regression_Int" localSheetId="24"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5" hidden="1">"US_COAL"</definedName>
    <definedName name="HTML_Header" hidden="1">""</definedName>
    <definedName name="HTML_LastUpdate" localSheetId="3" hidden="1">"5/28/98"</definedName>
    <definedName name="HTML_LastUpdate" localSheetId="15"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5" hidden="1">"H:\PRJ\STEO_NEW\9tabb.htm"</definedName>
    <definedName name="HTML_PathFile" hidden="1">"H:\PRJ\STEO_NEW\5TABB.htm"</definedName>
    <definedName name="HTML_Title" localSheetId="3" hidden="1">"us_price"</definedName>
    <definedName name="HTML_Title" localSheetId="15"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6">'10atab'!$B$1:$AL$91</definedName>
    <definedName name="_xlnm.Print_Area" localSheetId="27">'10btab'!$B$1:$AL$27</definedName>
    <definedName name="_xlnm.Print_Area" localSheetId="2">'1tab'!$B$1:$AL$68</definedName>
    <definedName name="_xlnm.Print_Area" localSheetId="3">'2tab'!$B$1:$AL$40</definedName>
    <definedName name="_xlnm.Print_Area" localSheetId="4">'3atab'!$B$1:$AL$43</definedName>
    <definedName name="_xlnm.Print_Area" localSheetId="5">'3btab'!$B$1:$AL$44</definedName>
    <definedName name="_xlnm.Print_Area" localSheetId="6">'3ctab'!$B$1:$AL$37</definedName>
    <definedName name="_xlnm.Print_Area" localSheetId="7">'3dtab'!$B$1:$BV$49</definedName>
    <definedName name="_xlnm.Print_Area" localSheetId="8">'3etab'!$B$1:$Q$39</definedName>
    <definedName name="_xlnm.Print_Area" localSheetId="9">'4atab'!$B$1:$AL$66</definedName>
    <definedName name="_xlnm.Print_Area" localSheetId="10">'4btab'!$B$1:$AL$58</definedName>
    <definedName name="_xlnm.Print_Area" localSheetId="11">'4ctab'!$B$1:$AL$23</definedName>
    <definedName name="_xlnm.Print_Area" localSheetId="12">'4dtab'!$B$1:$AL$59</definedName>
    <definedName name="_xlnm.Print_Area" localSheetId="13">'5atab'!$B$1:$AL$46</definedName>
    <definedName name="_xlnm.Print_Area" localSheetId="14">'5btab'!$B$1:$AL$42</definedName>
    <definedName name="_xlnm.Print_Area" localSheetId="15">'6tab'!$B$1:$AL$42</definedName>
    <definedName name="_xlnm.Print_Area" localSheetId="16">'7atab'!$B$1:$AL$57</definedName>
    <definedName name="_xlnm.Print_Area" localSheetId="17">'7btab'!$B$1:$AL$52</definedName>
    <definedName name="_xlnm.Print_Area" localSheetId="18">'7ctab'!$B$1:$AL$51</definedName>
    <definedName name="_xlnm.Print_Area" localSheetId="19">'7d(1)tab'!$B$1:$N$76</definedName>
    <definedName name="_xlnm.Print_Area" localSheetId="20">'7d(2)tab'!$B$1:$N$69</definedName>
    <definedName name="_xlnm.Print_Area" localSheetId="21">'7etab'!$B$1:$B$50</definedName>
    <definedName name="_xlnm.Print_Area" localSheetId="22">'8tab'!$B$1:$N$60</definedName>
    <definedName name="_xlnm.Print_Area" localSheetId="23">'9atab'!$B$1:$AL$57</definedName>
    <definedName name="_xlnm.Print_Area" localSheetId="24">'9btab'!$B$1:$AL$54</definedName>
    <definedName name="_xlnm.Print_Area" localSheetId="25">'9ctab'!$B$1:$AL$51</definedName>
    <definedName name="_xlnm.Print_Area" localSheetId="1">Contents!$A$3:$B$32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<sst xmlns="http://schemas.openxmlformats.org/spreadsheetml/2006/main" count="4880" uniqueCount="1613">
  <si>
    <t>U.S. Cooling Degree-Days</t>
  </si>
  <si>
    <t>ESICUUS</t>
  </si>
  <si>
    <t>ESCMUUS</t>
  </si>
  <si>
    <t>Residential Sector</t>
  </si>
  <si>
    <t>Commercial Sector</t>
  </si>
  <si>
    <t>Percent change from prior year</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</si>
  <si>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</si>
  <si>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</si>
  <si>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</si>
  <si>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</si>
  <si>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</si>
  <si>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</si>
  <si>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</si>
  <si>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</si>
  <si>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</si>
  <si>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</si>
  <si>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</si>
  <si>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</si>
  <si>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</si>
  <si>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</si>
  <si>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</si>
  <si>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</si>
  <si>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</si>
  <si>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</si>
  <si>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WWTCBUS</t>
  </si>
  <si>
    <t>OWTCBUS</t>
  </si>
  <si>
    <t>ZWCD_NEC</t>
  </si>
  <si>
    <t>ZWCD_MAC</t>
  </si>
  <si>
    <t>ZWCD_ENC</t>
  </si>
  <si>
    <t>ZWCD_WNC</t>
  </si>
  <si>
    <t>ZWCD_ESC</t>
  </si>
  <si>
    <t>ZWCD_WSC</t>
  </si>
  <si>
    <t>EOTCBUS</t>
  </si>
  <si>
    <t>ZWCD_MTN</t>
  </si>
  <si>
    <t>ZWCD_PAC</t>
  </si>
  <si>
    <t>WWICBUS</t>
  </si>
  <si>
    <t>CLMRHUS</t>
  </si>
  <si>
    <t>CLSOPUS</t>
  </si>
  <si>
    <t>CLSKPUS</t>
  </si>
  <si>
    <t>CLPS_EP</t>
  </si>
  <si>
    <t>GECCBUS</t>
  </si>
  <si>
    <t>GEECBUS</t>
  </si>
  <si>
    <t>ZWHD_NEC</t>
  </si>
  <si>
    <t>ZWHD_MAC</t>
  </si>
  <si>
    <t>ZWHD_ENC</t>
  </si>
  <si>
    <t>ZWHD_WNC</t>
  </si>
  <si>
    <t>ZWHD_ESC</t>
  </si>
  <si>
    <t>ZWHD_WSC</t>
  </si>
  <si>
    <t>ZWHD_MTN</t>
  </si>
  <si>
    <t>ZWHD_PAC</t>
  </si>
  <si>
    <t>RFPS_EP</t>
  </si>
  <si>
    <t>DKPS_EP</t>
  </si>
  <si>
    <t>(million barrels per day)</t>
  </si>
  <si>
    <t>(billion cubic feet per day)</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</si>
  <si>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</si>
  <si>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</si>
  <si>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</si>
  <si>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</si>
  <si>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</si>
  <si>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</si>
  <si>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</si>
  <si>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</si>
  <si>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</si>
  <si>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</si>
  <si>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</si>
  <si>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t>Energy Prices</t>
  </si>
  <si>
    <t>Prices are not adjusted for inflation.</t>
  </si>
  <si>
    <t>Prices</t>
  </si>
  <si>
    <r>
      <t>Natural Gas</t>
    </r>
    <r>
      <rPr>
        <sz val="8"/>
        <color indexed="8"/>
        <rFont val="Arial"/>
        <family val="2"/>
      </rPr>
      <t/>
    </r>
  </si>
  <si>
    <t>NGHHUUS</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</si>
  <si>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</si>
  <si>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</si>
  <si>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</si>
  <si>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</si>
  <si>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</si>
  <si>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</si>
  <si>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</si>
  <si>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</si>
  <si>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</si>
  <si>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</si>
  <si>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</si>
  <si>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</si>
  <si>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</si>
  <si>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</si>
  <si>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</si>
  <si>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</si>
  <si>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</si>
  <si>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</si>
  <si>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</si>
  <si>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</si>
  <si>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</si>
  <si>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Cooling Degree Days</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</si>
  <si>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</si>
  <si>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</si>
  <si>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t>Discrepancy (c)</t>
  </si>
  <si>
    <t>JFNIPUS</t>
  </si>
  <si>
    <t>DFNIPUS</t>
  </si>
  <si>
    <t>RFNIPUS</t>
  </si>
  <si>
    <t>UONIPUS</t>
  </si>
  <si>
    <t>PPNIPUS</t>
  </si>
  <si>
    <t>OHNIPUS</t>
  </si>
  <si>
    <t>PSNIPUS</t>
  </si>
  <si>
    <t>EXRCH_US</t>
  </si>
  <si>
    <t>ESTCU_NEC</t>
  </si>
  <si>
    <t>ESTCU_MAC</t>
  </si>
  <si>
    <t>ESTCU_ENC</t>
  </si>
  <si>
    <t>ESTCU_WNC</t>
  </si>
  <si>
    <t>ESTCU_SAC</t>
  </si>
  <si>
    <t>ESTCU_ESC</t>
  </si>
  <si>
    <t>ESTCU_WSC</t>
  </si>
  <si>
    <t>ESTCU_MTN</t>
  </si>
  <si>
    <t>ESTCU_PAC</t>
  </si>
  <si>
    <t>ESTCU_US</t>
  </si>
  <si>
    <t>CLSHPUS</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</si>
  <si>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</si>
  <si>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</si>
  <si>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</si>
  <si>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</si>
  <si>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</si>
  <si>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</si>
  <si>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</si>
  <si>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</si>
  <si>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</si>
  <si>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</si>
  <si>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</si>
  <si>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</si>
  <si>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</si>
  <si>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</si>
  <si>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</si>
  <si>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</si>
  <si>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</si>
  <si>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</si>
  <si>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</si>
  <si>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</si>
  <si>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REECBUS</t>
  </si>
  <si>
    <t>RECCBUS</t>
  </si>
  <si>
    <t>Forecast Month -</t>
  </si>
  <si>
    <t>Domestic Tables:</t>
  </si>
  <si>
    <t>Renewables (c)</t>
  </si>
  <si>
    <t>Total Energy Consumption (d)</t>
  </si>
  <si>
    <t>Column</t>
  </si>
  <si>
    <t xml:space="preserve">Table 1.  U.S. Energy Markets Summary </t>
  </si>
  <si>
    <t>Table 5a.  U.S. Natural Gas Supply, Consumption, and Inventories</t>
  </si>
  <si>
    <t>Table 6.  U.S. Coal Supply, Consumption, and Inventories</t>
  </si>
  <si>
    <t>papr_CA</t>
  </si>
  <si>
    <t>papr_MX</t>
  </si>
  <si>
    <t>papr_US</t>
  </si>
  <si>
    <t>papr_AR</t>
  </si>
  <si>
    <t>papr_BR</t>
  </si>
  <si>
    <t>papr_CO</t>
  </si>
  <si>
    <t>papr_NO</t>
  </si>
  <si>
    <t>papr_AJ</t>
  </si>
  <si>
    <t>papr_KZ</t>
  </si>
  <si>
    <t>papr_RS</t>
  </si>
  <si>
    <t>papr_MU</t>
  </si>
  <si>
    <t>papr_CH</t>
  </si>
  <si>
    <t>papr_IN</t>
  </si>
  <si>
    <t>papr_MY</t>
  </si>
  <si>
    <t>papr_EG</t>
  </si>
  <si>
    <t>CXTCCO2</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</si>
  <si>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</si>
  <si>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</si>
  <si>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</si>
  <si>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</si>
  <si>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</si>
  <si>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</si>
  <si>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</si>
  <si>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</si>
  <si>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</si>
  <si>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</si>
  <si>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</si>
  <si>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</si>
  <si>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</si>
  <si>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</si>
  <si>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</si>
  <si>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papr_mx</t>
  </si>
  <si>
    <t>papr_opec</t>
  </si>
  <si>
    <t>copr_opec</t>
  </si>
  <si>
    <t>papr_world</t>
  </si>
  <si>
    <t>pasc_oecd_t3</t>
  </si>
  <si>
    <t>t3_stchange_us</t>
  </si>
  <si>
    <t>t3_stchange_ooecd</t>
  </si>
  <si>
    <t>t3_stchange_noecd</t>
  </si>
  <si>
    <t>t3_stchange_world</t>
  </si>
  <si>
    <t>copr_ku</t>
  </si>
  <si>
    <t>copr_ly</t>
  </si>
  <si>
    <t>copr_ni</t>
  </si>
  <si>
    <t>copr_sa</t>
  </si>
  <si>
    <t>copr_ve</t>
  </si>
  <si>
    <t>copr_iz</t>
  </si>
  <si>
    <t>ZWCD_SAC</t>
  </si>
  <si>
    <t>ZWHD_SAC</t>
  </si>
  <si>
    <t>Malaysia</t>
  </si>
  <si>
    <t>Mexico</t>
  </si>
  <si>
    <t>United States</t>
  </si>
  <si>
    <t>t3b_papr_r03</t>
  </si>
  <si>
    <t>The approximate break between historical and forecast values is shown with historical data printed in bold; estimates and forecasts in italics.</t>
  </si>
  <si>
    <t>EOACBUS</t>
  </si>
  <si>
    <t>BFACBUS</t>
  </si>
  <si>
    <t>t3b_papr_r02</t>
  </si>
  <si>
    <t>t3b_papr_r01</t>
  </si>
  <si>
    <t>Azerbaijan</t>
  </si>
  <si>
    <t>Kazakhstan</t>
  </si>
  <si>
    <t>Russia</t>
  </si>
  <si>
    <t>t3b_papr_r04</t>
  </si>
  <si>
    <t>Oman</t>
  </si>
  <si>
    <t>t3b_papr_r05</t>
  </si>
  <si>
    <t>t3b_papr_r07</t>
  </si>
  <si>
    <t>t3b_papr_r06</t>
  </si>
  <si>
    <t>opec_nc</t>
  </si>
  <si>
    <t>papr_nonopec</t>
  </si>
  <si>
    <t>Total Supply</t>
  </si>
  <si>
    <t>DFPSPUS</t>
  </si>
  <si>
    <t>Jan</t>
  </si>
  <si>
    <t>Feb</t>
  </si>
  <si>
    <t>Mar</t>
  </si>
  <si>
    <t>Apr</t>
  </si>
  <si>
    <t>May</t>
  </si>
  <si>
    <t>Jun</t>
  </si>
  <si>
    <t>Jul</t>
  </si>
  <si>
    <t>Aug</t>
  </si>
  <si>
    <t>Sep</t>
  </si>
  <si>
    <t>Oct</t>
  </si>
  <si>
    <t>Nov</t>
  </si>
  <si>
    <t>Dec</t>
  </si>
  <si>
    <t>MGTSPP1</t>
  </si>
  <si>
    <t>MGTSPP2</t>
  </si>
  <si>
    <t>MGTSPP3</t>
  </si>
  <si>
    <t>MGTSPP4</t>
  </si>
  <si>
    <t>MGTSPP5</t>
  </si>
  <si>
    <t>MGTSPUS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</si>
  <si>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</si>
  <si>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</si>
  <si>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</si>
  <si>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</si>
  <si>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</si>
  <si>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</si>
  <si>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</si>
  <si>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</si>
  <si>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</si>
  <si>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</si>
  <si>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</si>
  <si>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</si>
  <si>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</si>
  <si>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</si>
  <si>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</si>
  <si>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</si>
  <si>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</si>
  <si>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</si>
  <si>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</si>
  <si>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</si>
  <si>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</si>
  <si>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</si>
  <si>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CLEUDUS</t>
  </si>
  <si>
    <t>RFEUDUS</t>
  </si>
  <si>
    <t>NGEUDUS</t>
  </si>
  <si>
    <t>NGRCUUS</t>
  </si>
  <si>
    <t>ESRCUUS</t>
  </si>
  <si>
    <t>NGPRPUS</t>
  </si>
  <si>
    <t>Liquid Fuels</t>
  </si>
  <si>
    <t>NGIMPUS_PIPE</t>
  </si>
  <si>
    <t>NGIMPUS_LNG</t>
  </si>
  <si>
    <t>NGSFPUS</t>
  </si>
  <si>
    <t>NGWGPUS</t>
  </si>
  <si>
    <t>BALIT</t>
  </si>
  <si>
    <t>NGRCPUS</t>
  </si>
  <si>
    <t>NGCCPUS</t>
  </si>
  <si>
    <t>NGLPPUS</t>
  </si>
  <si>
    <t>NGINX</t>
  </si>
  <si>
    <t>NGEPCON</t>
  </si>
  <si>
    <t>NGTCPUS</t>
  </si>
  <si>
    <t>NGACPUS</t>
  </si>
  <si>
    <t>copc_opec_r05</t>
  </si>
  <si>
    <t>cops_opec_r05</t>
  </si>
  <si>
    <t>NGVHPUS</t>
  </si>
  <si>
    <t>Real Gross Domestic Product</t>
  </si>
  <si>
    <t>GDPQXUS</t>
  </si>
  <si>
    <t>GDP Implicit Price Deflator</t>
  </si>
  <si>
    <t>GDPDIUS</t>
  </si>
  <si>
    <t>Real Disposable Personal Income</t>
  </si>
  <si>
    <t>YD87OUS</t>
  </si>
  <si>
    <t>ZOMNIUS</t>
  </si>
  <si>
    <t>ZWHDPUS</t>
  </si>
  <si>
    <t>copc_opec</t>
  </si>
  <si>
    <t>pasc_us</t>
  </si>
  <si>
    <t>ZWCDPUS</t>
  </si>
  <si>
    <t>I87RXUS</t>
  </si>
  <si>
    <t>Business Inventory Change</t>
  </si>
  <si>
    <t>KRDRXUS</t>
  </si>
  <si>
    <t>WPCPIUS</t>
  </si>
  <si>
    <t>CICPIUS</t>
  </si>
  <si>
    <t>WP57IUS</t>
  </si>
  <si>
    <t>Non-Farm Employment</t>
  </si>
  <si>
    <t>EMNFPUS</t>
  </si>
  <si>
    <t>Total Industrial Production</t>
  </si>
  <si>
    <t>ZOTOIUS</t>
  </si>
  <si>
    <t>Miscellaneous</t>
  </si>
  <si>
    <t>MVVMPUS</t>
  </si>
  <si>
    <t>Raw Steel Production</t>
  </si>
  <si>
    <t>RSPRPUS</t>
  </si>
  <si>
    <t>patc_r01</t>
  </si>
  <si>
    <t>patc_mx</t>
  </si>
  <si>
    <t>patc_r02</t>
  </si>
  <si>
    <t>patc_br</t>
  </si>
  <si>
    <t>patc_r03</t>
  </si>
  <si>
    <t>patc_r04</t>
  </si>
  <si>
    <t>patc_rs</t>
  </si>
  <si>
    <t>patc_r05</t>
  </si>
  <si>
    <t>patc_r07</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</si>
  <si>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</si>
  <si>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</si>
  <si>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</si>
  <si>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</si>
  <si>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</si>
  <si>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</si>
  <si>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</si>
  <si>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</si>
  <si>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</si>
  <si>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</si>
  <si>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</si>
  <si>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</si>
  <si>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</si>
  <si>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</si>
  <si>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</si>
  <si>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</si>
  <si>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</si>
  <si>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</si>
  <si>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</si>
  <si>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</si>
  <si>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</si>
  <si>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</si>
  <si>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</si>
  <si>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</si>
  <si>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</si>
  <si>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</si>
  <si>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</si>
  <si>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</si>
  <si>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</si>
  <si>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</si>
  <si>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</si>
  <si>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</si>
  <si>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</si>
  <si>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</si>
  <si>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</si>
  <si>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</si>
  <si>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</si>
  <si>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</si>
  <si>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</si>
  <si>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</si>
  <si>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</si>
  <si>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</si>
  <si>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</si>
  <si>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</si>
  <si>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</si>
  <si>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</si>
  <si>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</si>
  <si>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</si>
  <si>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</si>
  <si>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</si>
  <si>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</si>
  <si>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</si>
  <si>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</si>
  <si>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</si>
  <si>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</si>
  <si>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</si>
  <si>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</si>
  <si>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</si>
  <si>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</si>
  <si>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</si>
  <si>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</si>
  <si>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</si>
  <si>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</si>
  <si>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</si>
  <si>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</si>
  <si>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</si>
  <si>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</si>
  <si>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</si>
  <si>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</si>
  <si>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</si>
  <si>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</si>
  <si>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</si>
  <si>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Producer Price Index: Petroleum</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</si>
  <si>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</si>
  <si>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</si>
  <si>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</si>
  <si>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</si>
  <si>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</si>
  <si>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</si>
  <si>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</si>
  <si>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</si>
  <si>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</si>
  <si>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</si>
  <si>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</si>
  <si>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</si>
  <si>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</si>
  <si>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</si>
  <si>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</si>
  <si>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</si>
  <si>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</si>
  <si>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</si>
  <si>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</si>
  <si>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</si>
  <si>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</si>
  <si>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</si>
  <si>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</si>
  <si>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</si>
  <si>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</si>
  <si>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</si>
  <si>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</si>
  <si>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</si>
  <si>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</si>
  <si>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</si>
  <si>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</si>
  <si>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</si>
  <si>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</si>
  <si>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</si>
  <si>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</si>
  <si>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</si>
  <si>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EE_NEC</t>
  </si>
  <si>
    <t>EE_MAC</t>
  </si>
  <si>
    <t>EE_ENC</t>
  </si>
  <si>
    <t>EE_WNC</t>
  </si>
  <si>
    <t>EE_SAC</t>
  </si>
  <si>
    <t>EE_ESC</t>
  </si>
  <si>
    <t>EE_WSC</t>
  </si>
  <si>
    <t>EE_MTN</t>
  </si>
  <si>
    <t>EE_PAC</t>
  </si>
  <si>
    <t>WWRCBUS</t>
  </si>
  <si>
    <t>NGHHMCF</t>
  </si>
  <si>
    <t>CONIPUS</t>
  </si>
  <si>
    <t>COSX_DRAW</t>
  </si>
  <si>
    <t>COSQ_DRAW</t>
  </si>
  <si>
    <t>PROD_DRAW</t>
  </si>
  <si>
    <t>PSTCPUS</t>
  </si>
  <si>
    <t>PAIMPORT</t>
  </si>
  <si>
    <t>PASUPPLY</t>
  </si>
  <si>
    <t>UOPSPUS</t>
  </si>
  <si>
    <t>PPPSPUS</t>
  </si>
  <si>
    <t>OHPSPUS</t>
  </si>
  <si>
    <t>PSPSPUS</t>
  </si>
  <si>
    <t>AAAA_DATEX or AAAA_YEAR</t>
  </si>
  <si>
    <t>HVECBUS</t>
  </si>
  <si>
    <t>SOECBUS</t>
  </si>
  <si>
    <t>UORIPUS</t>
  </si>
  <si>
    <t>MBRIPUS</t>
  </si>
  <si>
    <t>PARIPUS</t>
  </si>
  <si>
    <t>MGROPUS</t>
  </si>
  <si>
    <t>JFROPUS</t>
  </si>
  <si>
    <t>DFROPUS</t>
  </si>
  <si>
    <t>RFROPUS</t>
  </si>
  <si>
    <t>PSROPUS</t>
  </si>
  <si>
    <t>PAROPUS</t>
  </si>
  <si>
    <t>ORCAPUS</t>
  </si>
  <si>
    <t>ORUTCUS</t>
  </si>
  <si>
    <t>CODIPUS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</si>
  <si>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</si>
  <si>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</si>
  <si>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</si>
  <si>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</si>
  <si>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</si>
  <si>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</si>
  <si>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</si>
  <si>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</si>
  <si>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</si>
  <si>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</si>
  <si>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</si>
  <si>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</si>
  <si>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RACPUUS</t>
  </si>
  <si>
    <t>EOPRPUS</t>
  </si>
  <si>
    <t>Electricity</t>
  </si>
  <si>
    <t>Coal Production</t>
  </si>
  <si>
    <t xml:space="preserve">Energy Consumption  </t>
  </si>
  <si>
    <t>Coal</t>
  </si>
  <si>
    <t>Macroeconomic</t>
  </si>
  <si>
    <t>Manufacturing Production Index</t>
  </si>
  <si>
    <t>Weather</t>
  </si>
  <si>
    <t>U.S. Heating Degree-Days</t>
  </si>
  <si>
    <t>Table of Contents</t>
  </si>
  <si>
    <t>(million short tons)</t>
  </si>
  <si>
    <t>Table 7a.  U.S. Electricity Industry Overview</t>
  </si>
  <si>
    <t>cops_opec</t>
  </si>
  <si>
    <t>- = no data available</t>
  </si>
  <si>
    <t>Natural Gas Henry Hub Spot</t>
  </si>
  <si>
    <t>Real Personal Consumption Expend.</t>
  </si>
  <si>
    <t>CONSRUS</t>
  </si>
  <si>
    <t>XRUNR</t>
  </si>
  <si>
    <t>Housing Starts</t>
  </si>
  <si>
    <t>HSTCXUS</t>
  </si>
  <si>
    <t>SAAR = Seasonally-adjusted annual rate</t>
  </si>
  <si>
    <t xml:space="preserve">Minor discrepancies with published historical data are due to independent rounding. </t>
  </si>
  <si>
    <t>OWCCBUS</t>
  </si>
  <si>
    <t xml:space="preserve">Regions refer to U.S. Census divisions.  </t>
  </si>
  <si>
    <t>PARNPUS</t>
  </si>
  <si>
    <t>PAFPPUS</t>
  </si>
  <si>
    <t>OHRIPUS</t>
  </si>
  <si>
    <t>QSIC_CL</t>
  </si>
  <si>
    <t>QSIC_DF</t>
  </si>
  <si>
    <t>QSIC_EL</t>
  </si>
  <si>
    <t>QSIC_NG</t>
  </si>
  <si>
    <t>ZO311IUS</t>
  </si>
  <si>
    <t>ZO322IUS</t>
  </si>
  <si>
    <t>ZO324IUS</t>
  </si>
  <si>
    <t>ZO325IUS</t>
  </si>
  <si>
    <t>ZO327IUS</t>
  </si>
  <si>
    <t>ZO331IUS</t>
  </si>
  <si>
    <t>EOTCPUS</t>
  </si>
  <si>
    <t>Real Government Expenditures</t>
  </si>
  <si>
    <t>Real Exports of Goods &amp; Services</t>
  </si>
  <si>
    <t>GOVXRUS</t>
  </si>
  <si>
    <t>TREXRUS</t>
  </si>
  <si>
    <t>TRIMRUS</t>
  </si>
  <si>
    <t>Real Imports of Goods &amp; Services</t>
  </si>
  <si>
    <t>ETFPPUS</t>
  </si>
  <si>
    <t>PRFPPUS</t>
  </si>
  <si>
    <t>C4FPPUS</t>
  </si>
  <si>
    <t>PPFPPUS</t>
  </si>
  <si>
    <t>ETROPUS</t>
  </si>
  <si>
    <t>C4ROPUS</t>
  </si>
  <si>
    <t>PPPRPUS</t>
  </si>
  <si>
    <t>ETNIPUS</t>
  </si>
  <si>
    <t>PRNIPUS</t>
  </si>
  <si>
    <t>C4NIPUS</t>
  </si>
  <si>
    <t>ETTCPUS</t>
  </si>
  <si>
    <t>C4TCPUS</t>
  </si>
  <si>
    <t>ETPSPUS</t>
  </si>
  <si>
    <t>C4PSPUS</t>
  </si>
  <si>
    <t>NGEXPUS_LNG</t>
  </si>
  <si>
    <t>NGEXPUS_PIPE</t>
  </si>
  <si>
    <t>NLTCPUS</t>
  </si>
  <si>
    <t>NLPSPUS</t>
  </si>
  <si>
    <t>NLNIPUS</t>
  </si>
  <si>
    <t>NLRIPUS</t>
  </si>
  <si>
    <t>NLROPUS</t>
  </si>
  <si>
    <t>BFLCBUS</t>
  </si>
  <si>
    <t>Table 4b.  U.S. Hydrocarbon Gas Liquids (HGL) and Petroleum Refinery Balances  (million barrels per day, except inventories and utilization factor)</t>
  </si>
  <si>
    <t>Table 4b.  U.S. Hydrocarbon Gas Liquids (HGL) and Petroleum Refinery Balances</t>
  </si>
  <si>
    <t>TETCCO2</t>
  </si>
  <si>
    <t>Table 2.  Energy Prices</t>
  </si>
  <si>
    <t>U.S. Electricity</t>
  </si>
  <si>
    <t>.</t>
  </si>
  <si>
    <t>Crude Oil West Texas Intermediate Spot</t>
  </si>
  <si>
    <t>NGWG_EAST</t>
  </si>
  <si>
    <t>NGWG_MW</t>
  </si>
  <si>
    <t>NGWG_SC</t>
  </si>
  <si>
    <t>NGWG_MTN</t>
  </si>
  <si>
    <t>NGWG_PAC</t>
  </si>
  <si>
    <t>NGWG_AK</t>
  </si>
  <si>
    <t>copr_ag</t>
  </si>
  <si>
    <t>copr_gb</t>
  </si>
  <si>
    <t>copc_opec_rot</t>
  </si>
  <si>
    <t>cops_opec_rot</t>
  </si>
  <si>
    <t>papr_ID</t>
  </si>
  <si>
    <t>Consumption (million barrels per day) (c)</t>
  </si>
  <si>
    <t>papr_UK</t>
  </si>
  <si>
    <t>South Sudan</t>
  </si>
  <si>
    <t xml:space="preserve">Table Beginning Month--- </t>
  </si>
  <si>
    <t>Historical</t>
  </si>
  <si>
    <t xml:space="preserve">Last Historical Month--- </t>
  </si>
  <si>
    <t>SOICBUS</t>
  </si>
  <si>
    <t>SOCCBUS</t>
  </si>
  <si>
    <t>SODTP_US</t>
  </si>
  <si>
    <t>SODRP_US</t>
  </si>
  <si>
    <t>SODCP_US</t>
  </si>
  <si>
    <t>SODIP_US</t>
  </si>
  <si>
    <t>copr_ek</t>
  </si>
  <si>
    <t>C3ROPUS</t>
  </si>
  <si>
    <t>P3ROPUS</t>
  </si>
  <si>
    <t>C3TCPUS</t>
  </si>
  <si>
    <t>P3TCPUS</t>
  </si>
  <si>
    <t>C3PSPUS</t>
  </si>
  <si>
    <t>P3PSPUS</t>
  </si>
  <si>
    <t>copr_cf</t>
  </si>
  <si>
    <t>Real Private Fixed Investment</t>
  </si>
  <si>
    <t>papr_QA</t>
  </si>
  <si>
    <t>TSEOTWH</t>
  </si>
  <si>
    <t>EPEOTWH</t>
  </si>
  <si>
    <t>ELNITWH</t>
  </si>
  <si>
    <t>ELSUTWH</t>
  </si>
  <si>
    <t>TDLOTWH</t>
  </si>
  <si>
    <t>ELTCTWH</t>
  </si>
  <si>
    <t>ELDUTWH</t>
  </si>
  <si>
    <t>ELCOTWH</t>
  </si>
  <si>
    <t>ELWHU_TX</t>
  </si>
  <si>
    <t>ELWHU_CA</t>
  </si>
  <si>
    <t>ELWHU_NE</t>
  </si>
  <si>
    <t>ELWHU_NY</t>
  </si>
  <si>
    <t>ELWHU_PJ</t>
  </si>
  <si>
    <t>ELWHU_MW</t>
  </si>
  <si>
    <t>ELWHU_SP</t>
  </si>
  <si>
    <t>ELWHU_SE</t>
  </si>
  <si>
    <t>ELWHU_FL</t>
  </si>
  <si>
    <t>ELWHU_NW</t>
  </si>
  <si>
    <t>ELWHU_SW</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</si>
  <si>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</si>
  <si>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</si>
  <si>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</si>
  <si>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</si>
  <si>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</si>
  <si>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</si>
  <si>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</si>
  <si>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</si>
  <si>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</si>
  <si>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</si>
  <si>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</si>
  <si>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</si>
  <si>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</si>
  <si>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</si>
  <si>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</si>
  <si>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</si>
  <si>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</si>
  <si>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</si>
  <si>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</si>
  <si>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</si>
  <si>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</si>
  <si>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</si>
  <si>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</si>
  <si>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</si>
  <si>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</si>
  <si>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</si>
  <si>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</si>
  <si>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</si>
  <si>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</si>
  <si>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</si>
  <si>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</si>
  <si>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</si>
  <si>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</si>
  <si>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</si>
  <si>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</si>
  <si>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</si>
  <si>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</si>
  <si>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</si>
  <si>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</si>
  <si>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</si>
  <si>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</si>
  <si>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</si>
  <si>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</si>
  <si>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</si>
  <si>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</si>
  <si>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</si>
  <si>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</si>
  <si>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</si>
  <si>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</si>
  <si>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</si>
  <si>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</si>
  <si>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GEEPGEN_US</t>
  </si>
  <si>
    <t>HPEPGEN_US</t>
  </si>
  <si>
    <t>PAEPGEN_US</t>
  </si>
  <si>
    <t>OGEPGEN_US</t>
  </si>
  <si>
    <t>TOEPGEN_US</t>
  </si>
  <si>
    <t>NGEPGEN_NE</t>
  </si>
  <si>
    <t>CLEPGEN_NE</t>
  </si>
  <si>
    <t>NUEPGEN_NE</t>
  </si>
  <si>
    <t>HVEPGEN_NE</t>
  </si>
  <si>
    <t>XXEPGEN_NE</t>
  </si>
  <si>
    <t>TOEPGEN_NE</t>
  </si>
  <si>
    <t>ELLOAD_NE</t>
  </si>
  <si>
    <t>NGEPGEN_NY</t>
  </si>
  <si>
    <t>CLEPGEN_NY</t>
  </si>
  <si>
    <t>NUEPGEN_NY</t>
  </si>
  <si>
    <t>HVEPGEN_NY</t>
  </si>
  <si>
    <t>XXEPGEN_NY</t>
  </si>
  <si>
    <t>TOEPGEN_NY</t>
  </si>
  <si>
    <t>ELLOAD_NY</t>
  </si>
  <si>
    <t>NGEPGEN_PJ</t>
  </si>
  <si>
    <t>CLEPGEN_PJ</t>
  </si>
  <si>
    <t>NUEPGEN_PJ</t>
  </si>
  <si>
    <t>HVEPGEN_PJ</t>
  </si>
  <si>
    <t>XXEPGEN_PJ</t>
  </si>
  <si>
    <t>TOEPGEN_PJ</t>
  </si>
  <si>
    <t>ELLOAD_PJ</t>
  </si>
  <si>
    <t>Southeast (SERC)</t>
  </si>
  <si>
    <t>NGEPGEN_SE</t>
  </si>
  <si>
    <t>CLEPGEN_SE</t>
  </si>
  <si>
    <t>NUEPGEN_SE</t>
  </si>
  <si>
    <t>HVEPGEN_SE</t>
  </si>
  <si>
    <t>XXEPGEN_SE</t>
  </si>
  <si>
    <t>TOEPGEN_SE</t>
  </si>
  <si>
    <t>ELLOAD_SE</t>
  </si>
  <si>
    <t>Florida (FRCC)</t>
  </si>
  <si>
    <t>NGEPGEN_FL</t>
  </si>
  <si>
    <t>CLEPGEN_FL</t>
  </si>
  <si>
    <t>NUEPGEN_FL</t>
  </si>
  <si>
    <t>HVEPGEN_FL</t>
  </si>
  <si>
    <t>XXEPGEN_FL</t>
  </si>
  <si>
    <t>TOEPGEN_FL</t>
  </si>
  <si>
    <t>ELLOAD_FL</t>
  </si>
  <si>
    <t>NGEPGEN_MW</t>
  </si>
  <si>
    <t>CLEPGEN_MW</t>
  </si>
  <si>
    <t>NUEPGEN_MW</t>
  </si>
  <si>
    <t>HVEPGEN_MW</t>
  </si>
  <si>
    <t>XXEPGEN_MW</t>
  </si>
  <si>
    <t>TOEPGEN_MW</t>
  </si>
  <si>
    <t>ELLOAD_MW</t>
  </si>
  <si>
    <t>NGEPGEN_SP</t>
  </si>
  <si>
    <t>CLEPGEN_SP</t>
  </si>
  <si>
    <t>NUEPGEN_SP</t>
  </si>
  <si>
    <t>HVEPGEN_SP</t>
  </si>
  <si>
    <t>XXEPGEN_SP</t>
  </si>
  <si>
    <t>TOEPGEN_SP</t>
  </si>
  <si>
    <t>ELLOAD_SP</t>
  </si>
  <si>
    <t>NGEPGEN_TX</t>
  </si>
  <si>
    <t>CLEPGEN_TX</t>
  </si>
  <si>
    <t>NUEPGEN_TX</t>
  </si>
  <si>
    <t>HVEPGEN_TX</t>
  </si>
  <si>
    <t>XXEPGEN_TX</t>
  </si>
  <si>
    <t>TOEPGEN_TX</t>
  </si>
  <si>
    <t>ELLOAD_TX</t>
  </si>
  <si>
    <t>NGEPGEN_NW</t>
  </si>
  <si>
    <t>CLEPGEN_NW</t>
  </si>
  <si>
    <t>NUEPGEN_NW</t>
  </si>
  <si>
    <t>HVEPGEN_NW</t>
  </si>
  <si>
    <t>XXEPGEN_NW</t>
  </si>
  <si>
    <t>TOEPGEN_NW</t>
  </si>
  <si>
    <t>ELLOAD_NW</t>
  </si>
  <si>
    <t>Southwest</t>
  </si>
  <si>
    <t>NGEPGEN_SW</t>
  </si>
  <si>
    <t>CLEPGEN_SW</t>
  </si>
  <si>
    <t>NUEPGEN_SW</t>
  </si>
  <si>
    <t>HVEPGEN_SW</t>
  </si>
  <si>
    <t>XXEPGEN_SW</t>
  </si>
  <si>
    <t>TOEPGEN_SW</t>
  </si>
  <si>
    <t>ELLOAD_SW</t>
  </si>
  <si>
    <t>California</t>
  </si>
  <si>
    <t>NGEPGEN_CA</t>
  </si>
  <si>
    <t>CLEPGEN_CA</t>
  </si>
  <si>
    <t>NUEPGEN_CA</t>
  </si>
  <si>
    <t>HVEPGEN_CA</t>
  </si>
  <si>
    <t>XXEPGEN_CA</t>
  </si>
  <si>
    <t>TOEPGEN_CA</t>
  </si>
  <si>
    <t>ELLOAD_CA</t>
  </si>
  <si>
    <t>OWEPGEN_US</t>
  </si>
  <si>
    <t>WWEPGEN_US</t>
  </si>
  <si>
    <t>New England (ISO-NE)</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</si>
  <si>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</si>
  <si>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</si>
  <si>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</si>
  <si>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</si>
  <si>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OBEPGEN_US</t>
  </si>
  <si>
    <t>INEOTWH</t>
  </si>
  <si>
    <t>CMEOTWH</t>
  </si>
  <si>
    <t>Central (Southwest Power Pool)</t>
  </si>
  <si>
    <t>Northwest</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</si>
  <si>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</si>
  <si>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</si>
  <si>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</si>
  <si>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</si>
  <si>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</si>
  <si>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Table 4c.  U.S. Regional Gasoline Prices and Inventories</t>
  </si>
  <si>
    <t>Prices are not adjusted for inflation; prices exclude taxes unless otherwise noted.</t>
  </si>
  <si>
    <t>(Index, 2017=100)</t>
  </si>
  <si>
    <t>Industrial Production Indices (Index, 2017=100)</t>
  </si>
  <si>
    <t>Production (million barrels per day) (a)</t>
  </si>
  <si>
    <t>Energy Production</t>
  </si>
  <si>
    <t>ELACP_US</t>
  </si>
  <si>
    <t>OHTCPUS</t>
  </si>
  <si>
    <t>BTTCBUS</t>
  </si>
  <si>
    <t>Table 7b.  U.S. Regional Electricity Sales to Ultimate Customers (billion kilowatthours)</t>
  </si>
  <si>
    <t>Table 7c.  U.S. Regional Electricity Prices to Ultimate Customers (Cents per Kilowatthour)</t>
  </si>
  <si>
    <t>Dry Natural Gas Production</t>
  </si>
  <si>
    <t>Forecast date:</t>
  </si>
  <si>
    <t>Table 2.  Nominal Energy Prices</t>
  </si>
  <si>
    <t>papr_GY</t>
  </si>
  <si>
    <t>NGEPCGW_US</t>
  </si>
  <si>
    <t>CLEPCGW_US</t>
  </si>
  <si>
    <t>PAEPCGW_US</t>
  </si>
  <si>
    <t>OGEPCGW_US</t>
  </si>
  <si>
    <t>WNEPCGW_US</t>
  </si>
  <si>
    <t>SPEPCGWX_US</t>
  </si>
  <si>
    <t>STEPCGW_US</t>
  </si>
  <si>
    <t>WWEPCGW_US</t>
  </si>
  <si>
    <t>OWEPCGW_US</t>
  </si>
  <si>
    <t>GEEPCGW_US</t>
  </si>
  <si>
    <t>HVEPCGW_US</t>
  </si>
  <si>
    <t>HPEPCGW_US</t>
  </si>
  <si>
    <t>NUEPCGW_US</t>
  </si>
  <si>
    <t>BAEPCGW_US</t>
  </si>
  <si>
    <t>OTEPCGW_US</t>
  </si>
  <si>
    <t>NGCHCGW_US</t>
  </si>
  <si>
    <t>CLCHCGW_US</t>
  </si>
  <si>
    <t>PACHCGW_US</t>
  </si>
  <si>
    <t>OGCHCGW_US</t>
  </si>
  <si>
    <t>WWCHCGW_US</t>
  </si>
  <si>
    <t>OWCHCGW_US</t>
  </si>
  <si>
    <t>SOCHCGW_US</t>
  </si>
  <si>
    <t>WNCHCGW_US</t>
  </si>
  <si>
    <t>GECHCGW_US</t>
  </si>
  <si>
    <t>HVCHCGW_US</t>
  </si>
  <si>
    <t>BACHCGW_US</t>
  </si>
  <si>
    <t>OTCHCGW_US</t>
  </si>
  <si>
    <t>SODRG_US</t>
  </si>
  <si>
    <t>SODCG_US</t>
  </si>
  <si>
    <t>SODIG_US</t>
  </si>
  <si>
    <t>SODTG_US</t>
  </si>
  <si>
    <t>Weather forecasts from National Oceanic and Atmospheric Administration and Energy Information Administration.</t>
  </si>
  <si>
    <t xml:space="preserve">      EIA does not estimate or project end-use consumption of non-marketed renewable energy.</t>
  </si>
  <si>
    <t xml:space="preserve">      Review (MER). Consequently, the historical data may not precisely match those published in the MER.</t>
  </si>
  <si>
    <t>PADD = Petroleum Administration for Defense District (PADD).</t>
  </si>
  <si>
    <t>Table 5b.  U.S. Regional Natural Gas Prices  (dollars per thousand cubic feet)</t>
  </si>
  <si>
    <t>kWh = kilowatthours. Btu = British thermal units.</t>
  </si>
  <si>
    <t xml:space="preserve">Minor discrepancies with published historical data are due to independent rounding and possible revisions not yet reflected in the STEO. </t>
  </si>
  <si>
    <t>Electricity sales to ultimate customers are sold by electric utilities and power marketers for direct consumption by the customer
 and not available for resale. Includes electric sales to end users by third-party owners of behind-the-meter solar photovoltaic systems.</t>
  </si>
  <si>
    <t xml:space="preserve">Regions refer to U.S. Census divisions (https://www.eia.gov/tools/glossary/index.php?id=C#census_division).  </t>
  </si>
  <si>
    <t>COTRPUS</t>
  </si>
  <si>
    <t>PATRPUS</t>
  </si>
  <si>
    <t>copr_opecplus</t>
  </si>
  <si>
    <t>(billion chained 2017 dollars - SAAR)</t>
  </si>
  <si>
    <t>papr_AO</t>
  </si>
  <si>
    <t>Dataprep timestamp---</t>
  </si>
  <si>
    <t>Notes:</t>
  </si>
  <si>
    <t>World total</t>
  </si>
  <si>
    <t>copr_world</t>
  </si>
  <si>
    <t>world_nc</t>
  </si>
  <si>
    <t>copr_nonopec</t>
  </si>
  <si>
    <t>nonopec_nc</t>
  </si>
  <si>
    <t>Total crude oil and other liquids inventory net withdrawals (million barrels per day)</t>
  </si>
  <si>
    <t>End-of-period commercial crude oil and other liquids inventories (million barrels)</t>
  </si>
  <si>
    <t>OECD total</t>
  </si>
  <si>
    <t>pasc_ooecd_t3</t>
  </si>
  <si>
    <r>
      <rPr>
        <b/>
        <sz val="8"/>
        <rFont val="Arial"/>
        <family val="2"/>
      </rPr>
      <t>(a)</t>
    </r>
    <r>
      <rPr>
        <sz val="8"/>
        <rFont val="Arial"/>
        <family val="2"/>
      </rPr>
      <t xml:space="preserve"> Includes crude oil, lease condensate, natural gas plant liquids, other liquids, refinery processing gain, and other unaccounted-for liquids. Differences in the reported historical production data across countries could result in some inconsistencies in the delineation between crude oil and other liquid fuels.</t>
    </r>
  </si>
  <si>
    <r>
      <rPr>
        <b/>
        <sz val="8"/>
        <rFont val="Arial"/>
        <family val="2"/>
      </rPr>
      <t xml:space="preserve">(c)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</si>
  <si>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(d)</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</si>
  <si>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Sources:</t>
  </si>
  <si>
    <r>
      <t xml:space="preserve">Historical data: Energy Information Administration </t>
    </r>
    <r>
      <rPr>
        <i/>
        <sz val="8"/>
        <rFont val="Arial"/>
        <family val="2"/>
      </rPr>
      <t>International Energy Statistics</t>
    </r>
    <r>
      <rPr>
        <sz val="8"/>
        <rFont val="Arial"/>
        <family val="2"/>
      </rPr>
      <t xml:space="preserve"> (https://www.eia.gov/international/data/world).</t>
    </r>
  </si>
  <si>
    <t xml:space="preserve">Forecasts: EIA Short-Term Integrated Forecasting System. </t>
  </si>
  <si>
    <r>
      <rPr>
        <b/>
        <sz val="8"/>
        <rFont val="Arial"/>
        <family val="2"/>
      </rPr>
      <t>(a)</t>
    </r>
    <r>
      <rPr>
        <sz val="8"/>
        <rFont val="Arial"/>
        <family val="2"/>
      </rPr>
      <t xml:space="preserve"> Includes crude oil, lease condensate, natural gas plant liquids, other liquids, refinery processing gain, and other unaccounted-for liquids.</t>
    </r>
  </si>
  <si>
    <r>
      <rPr>
        <b/>
        <sz val="8"/>
        <rFont val="Arial"/>
        <family val="2"/>
      </rPr>
      <t>(b)</t>
    </r>
    <r>
      <rPr>
        <sz val="8"/>
        <rFont val="Arial"/>
        <family val="2"/>
      </rPr>
      <t xml:space="preserve"> OPEC+ total = OPEC members subject to OPEC+ agreements plus Azerbaijan, Bahrain, Brunei, Kazakhstan, Malaysia, Mexico, Oman, Russia, South Sudan, and Sudan.</t>
    </r>
  </si>
  <si>
    <r>
      <rPr>
        <b/>
        <sz val="8"/>
        <rFont val="Arial"/>
        <family val="2"/>
      </rPr>
      <t xml:space="preserve">(a) </t>
    </r>
    <r>
      <rPr>
        <sz val="8"/>
        <rFont val="Arial"/>
        <family val="2"/>
      </rPr>
      <t>Differences in the reported historical production data across countries could result in some inconsistencies in the delineation between crude oil and other liquid fuels.</t>
    </r>
  </si>
  <si>
    <r>
      <rPr>
        <b/>
        <sz val="8"/>
        <rFont val="Arial"/>
        <family val="2"/>
      </rPr>
      <t>(d)</t>
    </r>
    <r>
      <rPr>
        <sz val="8"/>
        <rFont val="Arial"/>
        <family val="2"/>
      </rPr>
      <t xml:space="preserve"> Iran, Libya, and Venezuela are not sbuject to the OPEC+ agreements.</t>
    </r>
  </si>
  <si>
    <t>Non-OPEC total (b)</t>
  </si>
  <si>
    <t>Unplanned production outages</t>
  </si>
  <si>
    <t>padi_nonOPEC</t>
  </si>
  <si>
    <t>Non-OPEC total</t>
  </si>
  <si>
    <t>papr_opecplus</t>
  </si>
  <si>
    <t>papr_nonopecplus_xus</t>
  </si>
  <si>
    <t>OPEC total (c)</t>
  </si>
  <si>
    <t>papr_ag</t>
  </si>
  <si>
    <t>papr_cf</t>
  </si>
  <si>
    <t>papr_ek</t>
  </si>
  <si>
    <t>papr_gb</t>
  </si>
  <si>
    <t>papr_IR</t>
  </si>
  <si>
    <t>papr_iz</t>
  </si>
  <si>
    <t>papr_ku</t>
  </si>
  <si>
    <t>papr_ly</t>
  </si>
  <si>
    <t>papr_ni</t>
  </si>
  <si>
    <t>papr_sa</t>
  </si>
  <si>
    <t>papr_tc</t>
  </si>
  <si>
    <t>papr_ve</t>
  </si>
  <si>
    <t>OPEC+ total (b)</t>
  </si>
  <si>
    <t>papr_opecplus_opec</t>
  </si>
  <si>
    <t>papr_opecplus_other</t>
  </si>
  <si>
    <t>papr_aj</t>
  </si>
  <si>
    <t>papr_ba</t>
  </si>
  <si>
    <t>Bahrain</t>
  </si>
  <si>
    <t>papr_bx</t>
  </si>
  <si>
    <t>Brunei</t>
  </si>
  <si>
    <t>papr_kz</t>
  </si>
  <si>
    <t>papr_my</t>
  </si>
  <si>
    <t>papr_mu</t>
  </si>
  <si>
    <t>papr_rs</t>
  </si>
  <si>
    <t>papr_od</t>
  </si>
  <si>
    <t>papr_su</t>
  </si>
  <si>
    <t>Sudan</t>
  </si>
  <si>
    <t>Crude oil production (a)</t>
  </si>
  <si>
    <t>coprpus</t>
  </si>
  <si>
    <t>copr_nonopecplus_xus</t>
  </si>
  <si>
    <t>copr_IR</t>
  </si>
  <si>
    <t>copr_opecplus_opec</t>
  </si>
  <si>
    <t>copr_opecplus_other</t>
  </si>
  <si>
    <t>copr_aj</t>
  </si>
  <si>
    <t>copr_ba</t>
  </si>
  <si>
    <t>copr_bx</t>
  </si>
  <si>
    <t>copr_kz</t>
  </si>
  <si>
    <t>copr_my</t>
  </si>
  <si>
    <t>copr_mx</t>
  </si>
  <si>
    <t>copr_mu</t>
  </si>
  <si>
    <t>copr_rs</t>
  </si>
  <si>
    <t>copr_od</t>
  </si>
  <si>
    <t>copr_su</t>
  </si>
  <si>
    <t>Crude oil production capacity</t>
  </si>
  <si>
    <t>OPEC total</t>
  </si>
  <si>
    <t>Surplus crude oil production capacity</t>
  </si>
  <si>
    <t>padi_OPEC</t>
  </si>
  <si>
    <t>Table 3e.  World Petroleum and Other Liquid Fuels Consumption (million barrels per day)</t>
  </si>
  <si>
    <r>
      <rPr>
        <b/>
        <sz val="8"/>
        <rFont val="Arial"/>
        <family val="2"/>
      </rPr>
      <t xml:space="preserve">(a)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</si>
  <si>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(b)</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</si>
  <si>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Table 4a.  U.S. Petroleum and Other Liquid Fuels Supply, Consumption, and Inventories</t>
  </si>
  <si>
    <t>Table 3a.  World Petroleum and Other Liquid Fuels Production, Consumption, and Inventories</t>
  </si>
  <si>
    <t>Table 3b.  Non-OPEC Petroleum and Other Liquid Fuels Production  (million barrels per day)</t>
  </si>
  <si>
    <t>Table 3c.  World Petroleum and Other Liquid Fuels Production (million barrels per day)</t>
  </si>
  <si>
    <t>Petroleum and other liquid fuels production (a)</t>
  </si>
  <si>
    <t>Table 3d.  World Crude Oil Production (million barrels per day)</t>
  </si>
  <si>
    <t>Petroleum and other liquid fuels consumption (a)</t>
  </si>
  <si>
    <t>Table 3e.  World Petroleum and Other Liquid Fuels Consumption</t>
  </si>
  <si>
    <t>Table 3d.  World Crude Oil Production</t>
  </si>
  <si>
    <t>Table 3c.  World Petroleum and Other Liquid Fuels Production</t>
  </si>
  <si>
    <t>Table 3b.  Non-OPEC Petroleum and Other Liquid Fuels Production</t>
  </si>
  <si>
    <t>Table 4c.  U.S. Regional Motor Gasoline Prices and Inventories</t>
  </si>
  <si>
    <t>Table 5b.  U.S. Regional Natural Gas Prices</t>
  </si>
  <si>
    <t>Table 7b.  U.S. Regional Electricity Retail Sales</t>
  </si>
  <si>
    <t>Table 7c.  U.S. Regional Electricity Prices</t>
  </si>
  <si>
    <t>Table 7d(1).  U.S. Regional Electricity Generation, Electric Power Sector</t>
  </si>
  <si>
    <t>Table 7d(2).  U.S. Regional Electricity Generation, Electric Power Sector, continued</t>
  </si>
  <si>
    <t>Table 7e.  U.S. Electricity Generating Capacity</t>
  </si>
  <si>
    <t>Table 8. U.S.  Renewable Energy Consumption</t>
  </si>
  <si>
    <t>Table 7e.  U.S. Electricity Generating Capacity (gigawatts at end of period)</t>
  </si>
  <si>
    <t>Gasoline</t>
  </si>
  <si>
    <t>Diesel Fuel</t>
  </si>
  <si>
    <t>Fuel Oil</t>
  </si>
  <si>
    <t>Jet Fuel</t>
  </si>
  <si>
    <t>No. 6 Residual Fuel Oil (a)</t>
  </si>
  <si>
    <t>Gasoline Regular Grade (b)</t>
  </si>
  <si>
    <t>Gasoline All Grades (b)</t>
  </si>
  <si>
    <t>On-highway Diesel Fuel</t>
  </si>
  <si>
    <t>Heating Oil</t>
  </si>
  <si>
    <t xml:space="preserve">Natural Gas </t>
  </si>
  <si>
    <t>Residual Fuel Oil (c)</t>
  </si>
  <si>
    <t>Distillate Fuel Oil</t>
  </si>
  <si>
    <t>West Texas Intermediate Spot Average</t>
  </si>
  <si>
    <t>Brent Spot Average</t>
  </si>
  <si>
    <t>U.S. Imported Average</t>
  </si>
  <si>
    <t>U.S. Refiner Average Acquisition Cost</t>
  </si>
  <si>
    <t>Wholesale Petroleum Product Prices</t>
  </si>
  <si>
    <t>Propane</t>
  </si>
  <si>
    <t>Retail Prices Including Taxes</t>
  </si>
  <si>
    <t>Henry Hub Spot (dollars per thousand cubic feet)</t>
  </si>
  <si>
    <t xml:space="preserve">Henry Hub Spot (dollars per million Btu) </t>
  </si>
  <si>
    <t xml:space="preserve">U.S. Retail Prices (dollars per thousand cubic feet) </t>
  </si>
  <si>
    <t>Power Generation Fuel Costs (dollars per million Btu)</t>
  </si>
  <si>
    <t>Prices to Ultimate Customers (cents per kilowatthour)</t>
  </si>
  <si>
    <t>Crude Oil (dollars per barrel)</t>
  </si>
  <si>
    <t>Crude oil</t>
  </si>
  <si>
    <t>Other liquids</t>
  </si>
  <si>
    <t>OECD total (d)</t>
  </si>
  <si>
    <t>Non-OECD total</t>
  </si>
  <si>
    <t>Other OECD</t>
  </si>
  <si>
    <t>Other inventory draws and balance</t>
  </si>
  <si>
    <t>OPEC total (b)</t>
  </si>
  <si>
    <t>Canada</t>
  </si>
  <si>
    <t>Europe</t>
  </si>
  <si>
    <t>Japan</t>
  </si>
  <si>
    <t>U.S. Territories</t>
  </si>
  <si>
    <t>China</t>
  </si>
  <si>
    <t>Eurasia</t>
  </si>
  <si>
    <t>Other Asia</t>
  </si>
  <si>
    <t>Other non-OECD</t>
  </si>
  <si>
    <t>Argentina</t>
  </si>
  <si>
    <t>Brazil</t>
  </si>
  <si>
    <t>Colombia</t>
  </si>
  <si>
    <t>Guyana</t>
  </si>
  <si>
    <t>Norway</t>
  </si>
  <si>
    <t>United Kingdom</t>
  </si>
  <si>
    <t>Qatar</t>
  </si>
  <si>
    <t>Angola</t>
  </si>
  <si>
    <t>Egypt</t>
  </si>
  <si>
    <t>India</t>
  </si>
  <si>
    <t>Indonesia</t>
  </si>
  <si>
    <t>North America total</t>
  </si>
  <si>
    <t>Central and South America total</t>
  </si>
  <si>
    <t>Europe total</t>
  </si>
  <si>
    <t>Eurasia total</t>
  </si>
  <si>
    <t>Middle East total</t>
  </si>
  <si>
    <t>Africa total</t>
  </si>
  <si>
    <t>Asia and Oceania total</t>
  </si>
  <si>
    <t>OPEC members subject to OPEC+ agreements (d)</t>
  </si>
  <si>
    <t>OPEC+ other participants total</t>
  </si>
  <si>
    <t>Non-OPEC+ excluding United States</t>
  </si>
  <si>
    <t>Algeria</t>
  </si>
  <si>
    <t>Congo (Brazzaville)</t>
  </si>
  <si>
    <t>Equatorial Guinea</t>
  </si>
  <si>
    <t>Gabon</t>
  </si>
  <si>
    <t>Iran</t>
  </si>
  <si>
    <t>Iraq</t>
  </si>
  <si>
    <t>Kuwait</t>
  </si>
  <si>
    <t>Libya</t>
  </si>
  <si>
    <t>Nigeria</t>
  </si>
  <si>
    <t>Saudi Arabia</t>
  </si>
  <si>
    <t>United Arab Emirates</t>
  </si>
  <si>
    <t>Venezuela</t>
  </si>
  <si>
    <t>Middle East</t>
  </si>
  <si>
    <t>Other</t>
  </si>
  <si>
    <t>OECD total (b)</t>
  </si>
  <si>
    <t>Appalachia</t>
  </si>
  <si>
    <t>Interior</t>
  </si>
  <si>
    <t>Western</t>
  </si>
  <si>
    <t>Electric power sector</t>
  </si>
  <si>
    <t>Industrial sector</t>
  </si>
  <si>
    <t>Commercial sector</t>
  </si>
  <si>
    <t xml:space="preserve">Residential sector </t>
  </si>
  <si>
    <t xml:space="preserve">Commercial sector </t>
  </si>
  <si>
    <t xml:space="preserve">Industrial sector </t>
  </si>
  <si>
    <t>ERCOT North hub</t>
  </si>
  <si>
    <t>CAISO SP15 zone</t>
  </si>
  <si>
    <t>ISO-NE Internal hub</t>
  </si>
  <si>
    <t>NYISO Hudson Valley zone</t>
  </si>
  <si>
    <t>PJM Western hub</t>
  </si>
  <si>
    <t>Midcontinent ISO Illinois hub</t>
  </si>
  <si>
    <t>SPP ISO South hub</t>
  </si>
  <si>
    <t>Electricity generation (a)</t>
  </si>
  <si>
    <t xml:space="preserve">Net imports  </t>
  </si>
  <si>
    <t>Total utility-scale power supply</t>
  </si>
  <si>
    <t>Small-scale solar generation (c)</t>
  </si>
  <si>
    <t>New England</t>
  </si>
  <si>
    <t>Middle Atlantic</t>
  </si>
  <si>
    <t>E. N. Central</t>
  </si>
  <si>
    <t>W. N. Central</t>
  </si>
  <si>
    <t>S. Atlantic</t>
  </si>
  <si>
    <t>E. S. Central</t>
  </si>
  <si>
    <t>W. S. Central</t>
  </si>
  <si>
    <t>Mountain</t>
  </si>
  <si>
    <t>Pacific contiguous</t>
  </si>
  <si>
    <t>AK and HI</t>
  </si>
  <si>
    <t>Pacific</t>
  </si>
  <si>
    <t>Conventional hydropower</t>
  </si>
  <si>
    <t>Wind</t>
  </si>
  <si>
    <t xml:space="preserve">Solar (a) </t>
  </si>
  <si>
    <t>Geothermal</t>
  </si>
  <si>
    <t>Waste biomass</t>
  </si>
  <si>
    <t>Wood biomass</t>
  </si>
  <si>
    <t>Natural gas</t>
  </si>
  <si>
    <t>Nuclear</t>
  </si>
  <si>
    <t>Renewable energy sources:</t>
  </si>
  <si>
    <t>Pumped storage hydropower</t>
  </si>
  <si>
    <t xml:space="preserve">Petroleum (b) </t>
  </si>
  <si>
    <t>Other nonrenewable fuels (c)</t>
  </si>
  <si>
    <t>Total generation</t>
  </si>
  <si>
    <t>Solar photovoltaic</t>
  </si>
  <si>
    <t>Solar thermal</t>
  </si>
  <si>
    <t>Conventional hydroelectric</t>
  </si>
  <si>
    <t>Solar</t>
  </si>
  <si>
    <t>All sectors total</t>
  </si>
  <si>
    <t>Fossil fuel energy sources</t>
  </si>
  <si>
    <t>Renewable energy sources</t>
  </si>
  <si>
    <t>Residential sector</t>
  </si>
  <si>
    <t>Pumped storage hydroelectric</t>
  </si>
  <si>
    <t>Battery storage</t>
  </si>
  <si>
    <t>Other nonrenewable sources (a)</t>
  </si>
  <si>
    <t>Electric power sector (power plants larger than one megawatt)</t>
  </si>
  <si>
    <t>Industrial and commercial sectors (combined heat and power plants larger than one megawatt)</t>
  </si>
  <si>
    <t>Small-scale solar photovoltaic capacity (systems smaller than one megawatt)</t>
  </si>
  <si>
    <t xml:space="preserve">Geothermal  </t>
  </si>
  <si>
    <t xml:space="preserve">Solar (b) </t>
  </si>
  <si>
    <t xml:space="preserve">Wind </t>
  </si>
  <si>
    <t>Solar (b)</t>
  </si>
  <si>
    <t xml:space="preserve">Solar (b)  </t>
  </si>
  <si>
    <t>Solar (f)</t>
  </si>
  <si>
    <t>Ethanol (g)</t>
  </si>
  <si>
    <t>Ethanol (f)</t>
  </si>
  <si>
    <t xml:space="preserve">Solar (b)(f) </t>
  </si>
  <si>
    <t xml:space="preserve">Food </t>
  </si>
  <si>
    <t xml:space="preserve">Paper </t>
  </si>
  <si>
    <t>Chemicals</t>
  </si>
  <si>
    <t>(millions)</t>
  </si>
  <si>
    <t>(percent)</t>
  </si>
  <si>
    <t>(millions - SAAR)</t>
  </si>
  <si>
    <t>Manufacturing</t>
  </si>
  <si>
    <t>(index, 1982-1984=1.00)</t>
  </si>
  <si>
    <t>(index, 1982=1.00)</t>
  </si>
  <si>
    <t>(index, 2017=100)</t>
  </si>
  <si>
    <t>(million miles/day)</t>
  </si>
  <si>
    <t>(million short tons per day)</t>
  </si>
  <si>
    <t>South Atlantic</t>
  </si>
  <si>
    <r>
      <rPr>
        <b/>
        <sz val="8"/>
        <rFont val="Arial"/>
        <family val="2"/>
      </rPr>
      <t xml:space="preserve">(a) </t>
    </r>
    <r>
      <rPr>
        <sz val="8"/>
        <rFont val="Arial"/>
        <family val="2"/>
      </rPr>
      <t>Includes lease condensate.</t>
    </r>
  </si>
  <si>
    <r>
      <rPr>
        <b/>
        <sz val="8"/>
        <rFont val="Arial"/>
        <family val="2"/>
      </rPr>
      <t>(c)</t>
    </r>
    <r>
      <rPr>
        <sz val="8"/>
        <rFont val="Arial"/>
        <family val="2"/>
      </rPr>
      <t xml:space="preserve"> Regional production in this table is based on geographic regions and not geologic formations.</t>
    </r>
  </si>
  <si>
    <r>
      <rPr>
        <b/>
        <sz val="8"/>
        <rFont val="Arial"/>
        <family val="2"/>
      </rPr>
      <t>(d)</t>
    </r>
    <r>
      <rPr>
        <sz val="8"/>
        <rFont val="Arial"/>
        <family val="2"/>
      </rPr>
      <t xml:space="preserve"> Net imports equal gross imports minus gross exports.</t>
    </r>
  </si>
  <si>
    <r>
      <rPr>
        <b/>
        <sz val="8"/>
        <rFont val="Arial"/>
        <family val="2"/>
      </rPr>
      <t>(e)</t>
    </r>
    <r>
      <rPr>
        <sz val="8"/>
        <rFont val="Arial"/>
        <family val="2"/>
      </rPr>
      <t xml:space="preserve"> SPR: Strategic Petroleum Reserve</t>
    </r>
  </si>
  <si>
    <r>
      <rPr>
        <b/>
        <sz val="8"/>
        <rFont val="Arial"/>
        <family val="2"/>
      </rPr>
      <t>(f)</t>
    </r>
    <r>
      <rPr>
        <sz val="8"/>
        <rFont val="Arial"/>
        <family val="2"/>
      </rPr>
      <t xml:space="preserve"> The crude oil adjustment equals the sum of disposition items (e.g. refinery inputs) minus the sum of supply items (e.g. production).</t>
    </r>
  </si>
  <si>
    <r>
      <rPr>
        <b/>
        <sz val="8"/>
        <rFont val="Arial"/>
        <family val="2"/>
      </rPr>
      <t xml:space="preserve">(g) </t>
    </r>
    <r>
      <rPr>
        <sz val="8"/>
        <rFont val="Arial"/>
        <family val="2"/>
      </rPr>
      <t>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r>
  </si>
  <si>
    <r>
      <rPr>
        <b/>
        <sz val="8"/>
        <rFont val="Arial"/>
        <family val="2"/>
      </rPr>
      <t>(h)</t>
    </r>
    <r>
      <rPr>
        <sz val="8"/>
        <rFont val="Arial"/>
        <family val="2"/>
      </rPr>
      <t xml:space="preserve"> Petroleum products adjustment includes hydrogen/oxygenates/renewables/other hydrocarbons, motor gasoline blending components, and finished motor gasoline.</t>
    </r>
  </si>
  <si>
    <r>
      <rPr>
        <b/>
        <sz val="8"/>
        <rFont val="Arial"/>
        <family val="2"/>
      </rPr>
      <t xml:space="preserve">(i) </t>
    </r>
    <r>
      <rPr>
        <sz val="8"/>
        <rFont val="Arial"/>
        <family val="2"/>
      </rPr>
      <t>Other oils includes aviation gasoline blending components, finished aviation gasoline, kerosene, petrochemical feedstocks, special naphthas, lubricants, waxes, petroleum coke, asphalt and road oil, still gas, and miscellaneous products.</t>
    </r>
  </si>
  <si>
    <r>
      <rPr>
        <sz val="8"/>
        <rFont val="Arial"/>
        <family val="2"/>
      </rPr>
      <t>Forecasts:</t>
    </r>
    <r>
      <rPr>
        <b/>
        <sz val="8"/>
        <rFont val="Arial"/>
        <family val="2"/>
      </rPr>
      <t xml:space="preserve"> </t>
    </r>
    <r>
      <rPr>
        <sz val="8"/>
        <rFont val="Arial"/>
        <family val="2"/>
      </rPr>
      <t xml:space="preserve">EIA Short-Term Integrated Forecasting System. </t>
    </r>
  </si>
  <si>
    <t>U.S. total crude oil production (a)</t>
  </si>
  <si>
    <t>Alaska</t>
  </si>
  <si>
    <t>COPRAP</t>
  </si>
  <si>
    <t>Appalachia region</t>
  </si>
  <si>
    <t>COPRBK</t>
  </si>
  <si>
    <t>Bakken region</t>
  </si>
  <si>
    <t>COPREF</t>
  </si>
  <si>
    <t>Eagle Ford region</t>
  </si>
  <si>
    <t>COPRHA</t>
  </si>
  <si>
    <t>Haynesville region</t>
  </si>
  <si>
    <t>COPRPM</t>
  </si>
  <si>
    <t>Permian region</t>
  </si>
  <si>
    <t>COPRR48</t>
  </si>
  <si>
    <t>Rest of Lower 48 States</t>
  </si>
  <si>
    <t>Crude oil input to refineries</t>
  </si>
  <si>
    <t>Transfers to crude oil supply</t>
  </si>
  <si>
    <t>Crude oil net imports (d)</t>
  </si>
  <si>
    <t>SPR net withdrawals (e)</t>
  </si>
  <si>
    <t>Commercial inventory net withdrawals</t>
  </si>
  <si>
    <t>Crude oil adjustment (f)</t>
  </si>
  <si>
    <t>Refinery processing gain</t>
  </si>
  <si>
    <t>Natural Gas Plant Liquids Production</t>
  </si>
  <si>
    <t>Renewables and oxygenate production (g)</t>
  </si>
  <si>
    <t>Fuel ethanol production</t>
  </si>
  <si>
    <t>Petroleum products adjustment (h)</t>
  </si>
  <si>
    <t>Petroleum products transfers to crude oil supply</t>
  </si>
  <si>
    <t>Petroleum product net imports (d)</t>
  </si>
  <si>
    <t>Hydrocarbon gas liquids</t>
  </si>
  <si>
    <t>Unfinished oils</t>
  </si>
  <si>
    <t>Other hydrocarbons and oxygenates</t>
  </si>
  <si>
    <t>Motor gasoline blending components</t>
  </si>
  <si>
    <t>Finished motor gasoline</t>
  </si>
  <si>
    <t>Jet fuel</t>
  </si>
  <si>
    <t>Distillate fuel oil</t>
  </si>
  <si>
    <t>Residual fuel oil</t>
  </si>
  <si>
    <t>Other oils (i)</t>
  </si>
  <si>
    <t>Petroleum product inventory net withdrawals</t>
  </si>
  <si>
    <t>U.S. total petroleum products consumption</t>
  </si>
  <si>
    <t>Motor gasoline</t>
  </si>
  <si>
    <t>Fuel ethanol blended into motor gasoline</t>
  </si>
  <si>
    <t>Total petroleum and other liquid fuels net imports (d)</t>
  </si>
  <si>
    <t>End-of-period inventories (million barrels)</t>
  </si>
  <si>
    <t>Total commercial inventory</t>
  </si>
  <si>
    <t>Crude oil (excluding SPR)</t>
  </si>
  <si>
    <t>Total motor gasoline</t>
  </si>
  <si>
    <t>Crude oil in SPR (e)</t>
  </si>
  <si>
    <t>HGL production, consumption, and inventories</t>
  </si>
  <si>
    <t>HGPRPUS</t>
  </si>
  <si>
    <t>Total HGL production</t>
  </si>
  <si>
    <t>Natural gas processing plant production</t>
  </si>
  <si>
    <t>Ethane</t>
  </si>
  <si>
    <t>Butanes</t>
  </si>
  <si>
    <t>Natural gasoline (pentanes plus)</t>
  </si>
  <si>
    <t>Refinery and blender net production</t>
  </si>
  <si>
    <t>Ethane/ethylene</t>
  </si>
  <si>
    <t>Propylene (refinery-grade)</t>
  </si>
  <si>
    <t>Butanes/butylenes</t>
  </si>
  <si>
    <t>Renewable/oxygenate plant net production of natural gasoline</t>
  </si>
  <si>
    <t>Total HGL consumption</t>
  </si>
  <si>
    <t>Ethane/Ethylene</t>
  </si>
  <si>
    <t>HGL net imports</t>
  </si>
  <si>
    <t>Propane/propylene</t>
  </si>
  <si>
    <t>HGL inventories (million barrels)</t>
  </si>
  <si>
    <t>Propylene (at refineries only)</t>
  </si>
  <si>
    <t>Refining</t>
  </si>
  <si>
    <t>Total refinery and blender net inputs</t>
  </si>
  <si>
    <t>HGL</t>
  </si>
  <si>
    <t>Other hydrocarbons/oxygenates</t>
  </si>
  <si>
    <t>Refinery Processing Gain</t>
  </si>
  <si>
    <t>Total refinery and blender net production</t>
  </si>
  <si>
    <t>Other oils (a)</t>
  </si>
  <si>
    <t>Refinery distillation inputs</t>
  </si>
  <si>
    <t>Refinery operable distillation capacity</t>
  </si>
  <si>
    <t xml:space="preserve">Refinery distillation utilization factor </t>
  </si>
  <si>
    <r>
      <rPr>
        <b/>
        <sz val="8"/>
        <rFont val="Arial"/>
        <family val="2"/>
      </rPr>
      <t>(a)</t>
    </r>
    <r>
      <rPr>
        <sz val="8"/>
        <rFont val="Arial"/>
        <family val="2"/>
      </rPr>
      <t xml:space="preserve"> Other oils include aviation gasoline blending components, finished aviation gasoline, kerosene, petrochemical feedstocks, special naphthas, lubricants, waxes, petroleum coke, asphalt and road oil, still gas, and miscellaneous products.</t>
    </r>
  </si>
  <si>
    <t>Wholesale price (dollars per gallon)</t>
  </si>
  <si>
    <t>MGWHUUS_$</t>
  </si>
  <si>
    <t>United States average</t>
  </si>
  <si>
    <t>Retail prices (dollars per gallon) (a)</t>
  </si>
  <si>
    <t>MGEIAUS_$</t>
  </si>
  <si>
    <t>All grades United States average</t>
  </si>
  <si>
    <t>MGRARUS_$</t>
  </si>
  <si>
    <t>Regular grade United States average</t>
  </si>
  <si>
    <t>MGRARP1_$</t>
  </si>
  <si>
    <t>PADD 1</t>
  </si>
  <si>
    <t>MGRARP2_$</t>
  </si>
  <si>
    <t>PADD 2</t>
  </si>
  <si>
    <t>MGRARP3_$</t>
  </si>
  <si>
    <t>PADD 3</t>
  </si>
  <si>
    <t>MGRARP4_$</t>
  </si>
  <si>
    <t>PADD 4</t>
  </si>
  <si>
    <t>MGRARP5_$</t>
  </si>
  <si>
    <t>PADD 5</t>
  </si>
  <si>
    <t>End-of-period inventories (million barrels) (b)</t>
  </si>
  <si>
    <t>Total U.S. gasoline inventories</t>
  </si>
  <si>
    <t>U.S. total marketed natural gas production</t>
  </si>
  <si>
    <t>NGMPAP</t>
  </si>
  <si>
    <t>NGMPBK</t>
  </si>
  <si>
    <t>NGMPEF</t>
  </si>
  <si>
    <t>NGMPHA</t>
  </si>
  <si>
    <t>NGMPPM</t>
  </si>
  <si>
    <t>NGMPR48</t>
  </si>
  <si>
    <t>Total primary supply</t>
  </si>
  <si>
    <t>Balancing item (c)</t>
  </si>
  <si>
    <t>Total supply</t>
  </si>
  <si>
    <t>U.S. total dry natural gas production</t>
  </si>
  <si>
    <t>Net inventory withdrawals</t>
  </si>
  <si>
    <t>Supplemental gaseous fuels</t>
  </si>
  <si>
    <t>NGNIPUS</t>
  </si>
  <si>
    <t>Net imports</t>
  </si>
  <si>
    <t>LNG gross imports (d)</t>
  </si>
  <si>
    <t>LNG gross exports (d)</t>
  </si>
  <si>
    <t>Pipeline gross imports</t>
  </si>
  <si>
    <t>Pipeline gross exports</t>
  </si>
  <si>
    <t>Total consumption</t>
  </si>
  <si>
    <t>Residential</t>
  </si>
  <si>
    <t>Commercial</t>
  </si>
  <si>
    <t>Industrial</t>
  </si>
  <si>
    <t>Electric power (e)</t>
  </si>
  <si>
    <t>Lease and plant fuel</t>
  </si>
  <si>
    <t>Pipeline and distribution</t>
  </si>
  <si>
    <t>Vehicle</t>
  </si>
  <si>
    <t>End-of-period working natural gas inventories (billion cubic feet) (f)</t>
  </si>
  <si>
    <t>United States total</t>
  </si>
  <si>
    <t>East region</t>
  </si>
  <si>
    <t xml:space="preserve">Midwest region </t>
  </si>
  <si>
    <t xml:space="preserve">South Central region </t>
  </si>
  <si>
    <t xml:space="preserve">Mountain region </t>
  </si>
  <si>
    <t>Pacific region</t>
  </si>
  <si>
    <t>Wholesale price</t>
  </si>
  <si>
    <t>Henry Hub spot price</t>
  </si>
  <si>
    <t>Residential retail (a)</t>
  </si>
  <si>
    <t>East North Central</t>
  </si>
  <si>
    <t>West North Central</t>
  </si>
  <si>
    <t>East South Central</t>
  </si>
  <si>
    <t>West South Central</t>
  </si>
  <si>
    <t>Commercial retail (a)</t>
  </si>
  <si>
    <t>Industrial retail (a)</t>
  </si>
  <si>
    <r>
      <rPr>
        <b/>
        <sz val="8"/>
        <rFont val="Arial"/>
        <family val="2"/>
      </rPr>
      <t xml:space="preserve">(b) </t>
    </r>
    <r>
      <rPr>
        <sz val="8"/>
        <rFont val="Arial"/>
        <family val="2"/>
      </rPr>
      <t>Regional production in this table is based on geographic regions and not geologic formations.</t>
    </r>
  </si>
  <si>
    <r>
      <rPr>
        <b/>
        <sz val="8"/>
        <rFont val="Arial"/>
        <family val="2"/>
      </rPr>
      <t>(c)</t>
    </r>
    <r>
      <rPr>
        <sz val="8"/>
        <rFont val="Arial"/>
        <family val="2"/>
      </rPr>
      <t xml:space="preserve"> The balancing item is the difference between total natural gas consumption (NGTCPUS) and total natural gas supply (NGPSUPP).</t>
    </r>
  </si>
  <si>
    <r>
      <rPr>
        <b/>
        <sz val="8"/>
        <rFont val="Arial"/>
        <family val="2"/>
      </rPr>
      <t>(d)</t>
    </r>
    <r>
      <rPr>
        <sz val="8"/>
        <rFont val="Arial"/>
        <family val="2"/>
      </rPr>
      <t xml:space="preserve"> LNG: liquefied natural gas</t>
    </r>
  </si>
  <si>
    <r>
      <rPr>
        <b/>
        <sz val="8"/>
        <rFont val="Arial"/>
        <family val="2"/>
      </rPr>
      <t>(e)</t>
    </r>
    <r>
      <rPr>
        <sz val="8"/>
        <rFont val="Arial"/>
        <family val="2"/>
      </rPr>
      <t xml:space="preserve"> Natural gas used for electricity generation and (a limited amount of) useful thermal output by electric utilities and independent power producers.</t>
    </r>
  </si>
  <si>
    <r>
      <rPr>
        <b/>
        <sz val="8"/>
        <rFont val="Arial"/>
        <family val="2"/>
      </rPr>
      <t>(f)</t>
    </r>
    <r>
      <rPr>
        <sz val="8"/>
        <rFont val="Arial"/>
        <family val="2"/>
      </rPr>
      <t xml:space="preserve"> For a list of states in each inventory region refer to </t>
    </r>
    <r>
      <rPr>
        <i/>
        <sz val="8"/>
        <rFont val="Arial"/>
        <family val="2"/>
      </rPr>
      <t>Weekly Natural Gas Storage Report, Notes and Definitions (http://ir.eia.gov/ngs/notes.html)</t>
    </r>
    <r>
      <rPr>
        <sz val="8"/>
        <rFont val="Arial"/>
        <family val="2"/>
      </rPr>
      <t>.</t>
    </r>
  </si>
  <si>
    <r>
      <rPr>
        <b/>
        <sz val="8"/>
        <rFont val="Arial"/>
        <family val="2"/>
      </rPr>
      <t>(a)</t>
    </r>
    <r>
      <rPr>
        <sz val="8"/>
        <rFont val="Arial"/>
        <family val="2"/>
      </rPr>
      <t xml:space="preserve"> Retail prices include all federal, state, and local taxes.</t>
    </r>
  </si>
  <si>
    <r>
      <rPr>
        <b/>
        <sz val="8"/>
        <rFont val="Arial"/>
        <family val="2"/>
      </rPr>
      <t xml:space="preserve">(b) </t>
    </r>
    <r>
      <rPr>
        <sz val="8"/>
        <rFont val="Arial"/>
        <family val="2"/>
      </rPr>
      <t>Inventories include both finished motor gasoline and motor gasoline blending components</t>
    </r>
  </si>
  <si>
    <r>
      <rPr>
        <b/>
        <sz val="8"/>
        <rFont val="Arial"/>
        <family val="2"/>
      </rPr>
      <t>(a)</t>
    </r>
    <r>
      <rPr>
        <sz val="8"/>
        <rFont val="Arial"/>
        <family val="2"/>
      </rPr>
      <t xml:space="preserve"> The Production From Newly Completed Wells and the Existing Production Change data series are reported as smoothed monthly data over a twelve-month period. The smoothing is done using the Locally Weighted Scatterplot Smoothing (LOWESS) function. LOWESS calculates a locally weighted average for each point, giving more weight to nearby monthly data and less weights to distant data. The smoothed data may change each month according to updated data.</t>
    </r>
  </si>
  <si>
    <r>
      <rPr>
        <b/>
        <sz val="8"/>
        <rFont val="Arial"/>
        <family val="2"/>
      </rPr>
      <t>(b)</t>
    </r>
    <r>
      <rPr>
        <sz val="8"/>
        <rFont val="Arial"/>
        <family val="2"/>
      </rPr>
      <t xml:space="preserve"> The most recent six months of well-level data is incomplete due to known lags in reporting. For these months, the values are imputed based on historical reporting patterns and other relevant factors.</t>
    </r>
  </si>
  <si>
    <r>
      <rPr>
        <b/>
        <sz val="8"/>
        <rFont val="Arial"/>
        <family val="2"/>
      </rPr>
      <t>(c)</t>
    </r>
    <r>
      <rPr>
        <sz val="8"/>
        <rFont val="Arial"/>
        <family val="2"/>
      </rPr>
      <t xml:space="preserve"> The sum of "Production from Newly Completed Wells" and "Existing Production Change" may not equal the month-over-month crude oil or natural gas production changes reported in tables 4a and 5a, respectively. This discrepancy arises from the statistical smoothing techniques applied to aggregated basin level data, variations in data imputation methodologies, and utilizing different data sources.</t>
    </r>
  </si>
  <si>
    <r>
      <rPr>
        <b/>
        <sz val="8"/>
        <rFont val="Arial"/>
        <family val="2"/>
      </rPr>
      <t>(d)</t>
    </r>
    <r>
      <rPr>
        <sz val="8"/>
        <rFont val="Arial"/>
        <family val="2"/>
      </rPr>
      <t xml:space="preserve"> Natural gas production in this table is marketed natural gas production.</t>
    </r>
  </si>
  <si>
    <t>Historical data: Latest data available from Baker Hughes, Enervus, FracFocus.org.</t>
  </si>
  <si>
    <t>Table 10a.  Drilling Productivity Metrics</t>
  </si>
  <si>
    <t>Active rigs</t>
  </si>
  <si>
    <t>RIGSAP</t>
  </si>
  <si>
    <t>RIGSBK</t>
  </si>
  <si>
    <t>RIGSEF</t>
  </si>
  <si>
    <t>RIGSHA</t>
  </si>
  <si>
    <t>RIGSPM</t>
  </si>
  <si>
    <t>RIGSR48</t>
  </si>
  <si>
    <t>New wells drilled</t>
  </si>
  <si>
    <t>NWDAP</t>
  </si>
  <si>
    <t>NWDBK</t>
  </si>
  <si>
    <t>NWDEF</t>
  </si>
  <si>
    <t>NWDHA</t>
  </si>
  <si>
    <t>NWDPM</t>
  </si>
  <si>
    <t>NWDR48</t>
  </si>
  <si>
    <t>New wells drilled per rig</t>
  </si>
  <si>
    <t>NWRAP</t>
  </si>
  <si>
    <t>NWRBK</t>
  </si>
  <si>
    <t>NWREF</t>
  </si>
  <si>
    <t>NWRHA</t>
  </si>
  <si>
    <t>NWRPM</t>
  </si>
  <si>
    <t>NWRR48</t>
  </si>
  <si>
    <t>New wells completed</t>
  </si>
  <si>
    <t>NWCAP</t>
  </si>
  <si>
    <t>NWCBK</t>
  </si>
  <si>
    <t>NWCEF</t>
  </si>
  <si>
    <t>NWCHA</t>
  </si>
  <si>
    <t>NWCPM</t>
  </si>
  <si>
    <t>NWCR48</t>
  </si>
  <si>
    <t xml:space="preserve">Cumulative drilled but uncompleted wells </t>
  </si>
  <si>
    <t>DUCSAP</t>
  </si>
  <si>
    <t>DUCSBK</t>
  </si>
  <si>
    <t>DUCSEF</t>
  </si>
  <si>
    <t>DUCSHA</t>
  </si>
  <si>
    <t>DUCSPM</t>
  </si>
  <si>
    <t>DUCSR48</t>
  </si>
  <si>
    <t>Crude oil production from newly completed wells, one-year trend (thousand barrels per day) (a) (c)</t>
  </si>
  <si>
    <t>CONWAP</t>
  </si>
  <si>
    <t>CONWBK</t>
  </si>
  <si>
    <t>CONWEF</t>
  </si>
  <si>
    <t>CONWHA</t>
  </si>
  <si>
    <t>CONWPM</t>
  </si>
  <si>
    <t>CONWR48</t>
  </si>
  <si>
    <t>Crude oil production from newly completed wells per rig, one-year trend (thousand barrels per day) (a)</t>
  </si>
  <si>
    <t>CONWRAP</t>
  </si>
  <si>
    <t>CONWRBK</t>
  </si>
  <si>
    <t>CONWREF</t>
  </si>
  <si>
    <t>CONWRHA</t>
  </si>
  <si>
    <t>CONWRPM</t>
  </si>
  <si>
    <t>CONWRR48</t>
  </si>
  <si>
    <t>Existing crude oil production change, one-year trend (thousand barrels per day) (a) (c)</t>
  </si>
  <si>
    <t>COEOPAP</t>
  </si>
  <si>
    <t>COEOPBK</t>
  </si>
  <si>
    <t>COEOPEF</t>
  </si>
  <si>
    <t>COEOPHA</t>
  </si>
  <si>
    <t>COEOPPM</t>
  </si>
  <si>
    <t>COEOPR48</t>
  </si>
  <si>
    <t>NGNWAP</t>
  </si>
  <si>
    <t>NGNWBK</t>
  </si>
  <si>
    <t>NGNWEF</t>
  </si>
  <si>
    <t>NGNWHA</t>
  </si>
  <si>
    <t>NGNWPM</t>
  </si>
  <si>
    <t>NGNWR48</t>
  </si>
  <si>
    <t>NGNWRAP</t>
  </si>
  <si>
    <t>NGNWRBK</t>
  </si>
  <si>
    <t>NGNWREF</t>
  </si>
  <si>
    <t>NGNWRHA</t>
  </si>
  <si>
    <t>NGNWRPM</t>
  </si>
  <si>
    <t>NGNWRR48</t>
  </si>
  <si>
    <t>Existing natural gas production change, one-year trend (million cubic feet per day) (a) (c) (d)</t>
  </si>
  <si>
    <t>NGEOPAP</t>
  </si>
  <si>
    <t>NGEOPBK</t>
  </si>
  <si>
    <t>NGEOPEF</t>
  </si>
  <si>
    <t>NGEOPHA</t>
  </si>
  <si>
    <t>NGEOPPM</t>
  </si>
  <si>
    <t>NGEOPR48</t>
  </si>
  <si>
    <t>Table 10b. Crude Oil and Natural Gas Production from Shale and Tight Formations</t>
  </si>
  <si>
    <r>
      <rPr>
        <b/>
        <sz val="8"/>
        <rFont val="Arial"/>
        <family val="2"/>
      </rPr>
      <t xml:space="preserve">(a) </t>
    </r>
    <r>
      <rPr>
        <sz val="8"/>
        <rFont val="Arial"/>
        <family val="2"/>
      </rPr>
      <t>These production estimates are based on geologic formations, not geographic regions</t>
    </r>
  </si>
  <si>
    <t>Historical data: Latest data available from Enverus state administrative data.</t>
  </si>
  <si>
    <t>TOPRL48</t>
  </si>
  <si>
    <t>Total U.S. tight oil production (million barrels per day) (a)</t>
  </si>
  <si>
    <t>TOPRAC</t>
  </si>
  <si>
    <t>Austin Chalk formation</t>
  </si>
  <si>
    <t>TOPRBK</t>
  </si>
  <si>
    <t>Bakken formation</t>
  </si>
  <si>
    <t>TOPREF</t>
  </si>
  <si>
    <t>Eagle Ford formation</t>
  </si>
  <si>
    <t>TOPRMP</t>
  </si>
  <si>
    <t>Mississippian formation</t>
  </si>
  <si>
    <t>TOPRNI</t>
  </si>
  <si>
    <t>Niobrara Codell formation</t>
  </si>
  <si>
    <t>TOPRPM</t>
  </si>
  <si>
    <t>Permian formations</t>
  </si>
  <si>
    <t>TOPRWF</t>
  </si>
  <si>
    <t>Woodford formation</t>
  </si>
  <si>
    <t>TOPRR48</t>
  </si>
  <si>
    <t>Other U.S. formations</t>
  </si>
  <si>
    <t>SNGPRL48</t>
  </si>
  <si>
    <t>Total U.S. shale dry natural gas production (billion cubic feet per day) (a)</t>
  </si>
  <si>
    <t>SNGPRBK</t>
  </si>
  <si>
    <t>SNGPRBN</t>
  </si>
  <si>
    <t>Barnett formation</t>
  </si>
  <si>
    <t>SNGPREF</t>
  </si>
  <si>
    <t>SNGPRFY</t>
  </si>
  <si>
    <t>Fayetteville formation</t>
  </si>
  <si>
    <t>SNGPRHA</t>
  </si>
  <si>
    <t>Haynesville formation</t>
  </si>
  <si>
    <t>SNGPRMC</t>
  </si>
  <si>
    <t>Marcellus formation</t>
  </si>
  <si>
    <t>SNGPRMP</t>
  </si>
  <si>
    <t>SNGPRNI</t>
  </si>
  <si>
    <t>SNGPRPM</t>
  </si>
  <si>
    <t>SNGPRUA</t>
  </si>
  <si>
    <t>Utica formation</t>
  </si>
  <si>
    <t>SNGPRWF</t>
  </si>
  <si>
    <t>SNGPRR48</t>
  </si>
  <si>
    <t>Natural gas production from newly completed wells, one-year trend (million cubic feet per day) (a) (d)</t>
  </si>
  <si>
    <t>Natural gas production from newly completed wells per rig, one-year trend (million cubic feet per day) (a) (d)</t>
  </si>
  <si>
    <t>Table 6.  U.S. Coal Supply, Consumption, and Inventories (million short tons)</t>
  </si>
  <si>
    <t>Supply</t>
  </si>
  <si>
    <t>Secondary inventory withdrawals</t>
  </si>
  <si>
    <t>Waste coal (a)</t>
  </si>
  <si>
    <t>U.S. total coal production</t>
  </si>
  <si>
    <t>Gross imports</t>
  </si>
  <si>
    <t>Gross exports</t>
  </si>
  <si>
    <t>Metallurgical coal</t>
  </si>
  <si>
    <t>Steam coal</t>
  </si>
  <si>
    <t>Primary inventory withdrawals</t>
  </si>
  <si>
    <t>Consumption</t>
  </si>
  <si>
    <t xml:space="preserve">U.S. total coal consumption </t>
  </si>
  <si>
    <t>Coke plants</t>
  </si>
  <si>
    <t>Electric power sector (b)</t>
  </si>
  <si>
    <t>Retail and other industry</t>
  </si>
  <si>
    <t>Residential and commercial</t>
  </si>
  <si>
    <t>Other industrial</t>
  </si>
  <si>
    <t>End-of-period inventories</t>
  </si>
  <si>
    <t>Primary inventories (d)</t>
  </si>
  <si>
    <t>Secondary inventories</t>
  </si>
  <si>
    <t>Retail and general industry</t>
  </si>
  <si>
    <t>Commercial &amp; institutional</t>
  </si>
  <si>
    <t>Coal market indicators</t>
  </si>
  <si>
    <t>Coal miner productivity (tons per hour)</t>
  </si>
  <si>
    <t>Cost of coal to electric utilities (dollars per million Btu)</t>
  </si>
  <si>
    <t>Electricity supply (billion kilowatthours)</t>
  </si>
  <si>
    <t xml:space="preserve">Losses and unaccounted for (b) </t>
  </si>
  <si>
    <t>Electricity consumption (billion kilowatthours)</t>
  </si>
  <si>
    <t xml:space="preserve">Total consumption </t>
  </si>
  <si>
    <t>Sales to ultimate customers</t>
  </si>
  <si>
    <t>Transportation sector</t>
  </si>
  <si>
    <t>Direct use (d)</t>
  </si>
  <si>
    <t>Average residential electricity usage per customer (kWh)</t>
  </si>
  <si>
    <t>End-of-period fuel inventories held by electric power sector</t>
  </si>
  <si>
    <t>Coal (million short tons)</t>
  </si>
  <si>
    <t>Residual fuel (million barrels)</t>
  </si>
  <si>
    <t>Distillate fuel (million barrels)</t>
  </si>
  <si>
    <t>Power generation fuel costs (dollars per million Btu)</t>
  </si>
  <si>
    <t>Prices to ultimate customers (cents per kilowatthour)</t>
  </si>
  <si>
    <t>Wholesale electricity prices (dollars per megawatthour)</t>
  </si>
  <si>
    <t>All sectors (a)</t>
  </si>
  <si>
    <r>
      <t>All sectors</t>
    </r>
    <r>
      <rPr>
        <sz val="8"/>
        <rFont val="Arial"/>
        <family val="2"/>
      </rPr>
      <t xml:space="preserve"> (a)</t>
    </r>
  </si>
  <si>
    <t>Midwest (MISO)</t>
  </si>
  <si>
    <t>All Sectors</t>
  </si>
  <si>
    <t>Biodiesel, renewable diesel, and other (g)</t>
  </si>
  <si>
    <t>Biofuel losses and co-products (d)</t>
  </si>
  <si>
    <t xml:space="preserve">Hydroelectric power (a) </t>
  </si>
  <si>
    <t>Waste biomass (c)</t>
  </si>
  <si>
    <t xml:space="preserve">Wood biomass </t>
  </si>
  <si>
    <t>Industrial sector (e)</t>
  </si>
  <si>
    <t>Commercial sector (e)</t>
  </si>
  <si>
    <t>Table 8.  U.S. Renewable Energy Consumption (quadrillion Btu)</t>
  </si>
  <si>
    <r>
      <t>Carbon Dioxide (CO</t>
    </r>
    <r>
      <rPr>
        <b/>
        <vertAlign val="subscript"/>
        <sz val="8"/>
        <rFont val="Arial"/>
        <family val="2"/>
      </rPr>
      <t>2</t>
    </r>
    <r>
      <rPr>
        <b/>
        <sz val="8"/>
        <rFont val="Arial"/>
        <family val="2"/>
      </rPr>
      <t>) Emissions (million metric tons)</t>
    </r>
  </si>
  <si>
    <r>
      <t>Table 9a.  U.S. Macroeconomic Indicators and CO</t>
    </r>
    <r>
      <rPr>
        <b/>
        <vertAlign val="subscript"/>
        <sz val="10"/>
        <color rgb="FF000000"/>
        <rFont val="Arial"/>
        <family val="2"/>
      </rPr>
      <t>2</t>
    </r>
    <r>
      <rPr>
        <b/>
        <sz val="10"/>
        <color indexed="8"/>
        <rFont val="Arial"/>
        <family val="2"/>
      </rPr>
      <t xml:space="preserve"> Emissions</t>
    </r>
  </si>
  <si>
    <t>Petroleum and coal products</t>
  </si>
  <si>
    <t xml:space="preserve">Nonmetallic mineral products </t>
  </si>
  <si>
    <t>Primary metals</t>
  </si>
  <si>
    <t>Real Gross State Product (billion $2017)</t>
  </si>
  <si>
    <t>Industrial Output, Manufacturing (Iindex, year 2017=100)</t>
  </si>
  <si>
    <t>Real Personal Income (billion $2017)</t>
  </si>
  <si>
    <t>Households (thousands)</t>
  </si>
  <si>
    <t>Total Non-farm Employment (millions)</t>
  </si>
  <si>
    <t>Heating Degree Days, Prior 10-year average</t>
  </si>
  <si>
    <t>Cooling Degree Days, Prior 10-year average</t>
  </si>
  <si>
    <t>The approximate break between historical and forecast values is shown with historical data with no shading; estimates and forecasts are shaded gray.</t>
  </si>
  <si>
    <t xml:space="preserve">Forecasts: EIA Short-Term Integrated Forecasting System. U.S. macroeconomic forecasts are based on the S&amp;P Global model of the U.S. Economy. </t>
  </si>
  <si>
    <r>
      <rPr>
        <b/>
        <sz val="8"/>
        <rFont val="Arial"/>
        <family val="2"/>
      </rPr>
      <t>(a)</t>
    </r>
    <r>
      <rPr>
        <sz val="8"/>
        <rFont val="Arial"/>
        <family val="2"/>
      </rPr>
      <t xml:space="preserve"> Includes lease condensate.</t>
    </r>
  </si>
  <si>
    <r>
      <rPr>
        <b/>
        <sz val="8"/>
        <rFont val="Arial"/>
        <family val="2"/>
      </rPr>
      <t>(b)</t>
    </r>
    <r>
      <rPr>
        <sz val="8"/>
        <rFont val="Arial"/>
        <family val="2"/>
      </rPr>
      <t xml:space="preserve"> Total consumption includes Independent Power Producer (IPP) consumption.</t>
    </r>
  </si>
  <si>
    <r>
      <rPr>
        <b/>
        <sz val="8"/>
        <rFont val="Arial"/>
        <family val="2"/>
      </rPr>
      <t>(c)</t>
    </r>
    <r>
      <rPr>
        <sz val="8"/>
        <rFont val="Arial"/>
        <family val="2"/>
      </rPr>
      <t xml:space="preserve"> Renewable energy includes minor components of non-marketed renewable energy that is neither bought nor sold, either directly or indirectly, as inputs to marketed energy.</t>
    </r>
  </si>
  <si>
    <r>
      <rPr>
        <b/>
        <sz val="8"/>
        <rFont val="Arial"/>
        <family val="2"/>
      </rPr>
      <t>(d)</t>
    </r>
    <r>
      <rPr>
        <sz val="8"/>
        <rFont val="Arial"/>
        <family val="2"/>
      </rPr>
      <t xml:space="preserve"> The conversion from physical units to Btu is calculated using a subset of conversion factors used in the calculations of gross energy consumption in EIA’s </t>
    </r>
    <r>
      <rPr>
        <i/>
        <sz val="8"/>
        <rFont val="Arial"/>
        <family val="2"/>
      </rPr>
      <t xml:space="preserve">Monthly Energy </t>
    </r>
  </si>
  <si>
    <r>
      <rPr>
        <b/>
        <sz val="8"/>
        <rFont val="Arial"/>
        <family val="2"/>
      </rPr>
      <t>(a)</t>
    </r>
    <r>
      <rPr>
        <sz val="8"/>
        <rFont val="Arial"/>
        <family val="2"/>
      </rPr>
      <t xml:space="preserve"> Average for all sulfur contents.</t>
    </r>
  </si>
  <si>
    <r>
      <rPr>
        <b/>
        <sz val="8"/>
        <rFont val="Arial"/>
        <family val="2"/>
      </rPr>
      <t>(b)</t>
    </r>
    <r>
      <rPr>
        <sz val="8"/>
        <rFont val="Arial"/>
        <family val="2"/>
      </rPr>
      <t xml:space="preserve"> Average self-service cash price.</t>
    </r>
  </si>
  <si>
    <r>
      <rPr>
        <b/>
        <sz val="8"/>
        <rFont val="Arial"/>
        <family val="2"/>
      </rPr>
      <t>(c)</t>
    </r>
    <r>
      <rPr>
        <sz val="8"/>
        <rFont val="Arial"/>
        <family val="2"/>
      </rPr>
      <t xml:space="preserve"> Includes fuel oils No. 4, No. 5, No. 6, and topped crude.</t>
    </r>
  </si>
  <si>
    <r>
      <rPr>
        <b/>
        <sz val="8"/>
        <rFont val="Arial"/>
        <family val="2"/>
      </rPr>
      <t>(a)</t>
    </r>
    <r>
      <rPr>
        <sz val="8"/>
        <rFont val="Arial"/>
        <family val="2"/>
      </rPr>
      <t xml:space="preserve"> Waste coal includes waste coal and cloal slurry reprocessed into briquettes.</t>
    </r>
  </si>
  <si>
    <r>
      <rPr>
        <b/>
        <sz val="8"/>
        <rFont val="Arial"/>
        <family val="2"/>
      </rPr>
      <t>(b)</t>
    </r>
    <r>
      <rPr>
        <sz val="8"/>
        <rFont val="Arial"/>
        <family val="2"/>
      </rPr>
      <t xml:space="preserve"> Coal used for electricity generation and (a limited amount of) useful thermal output by electric utilities and independent power producers.</t>
    </r>
  </si>
  <si>
    <r>
      <rPr>
        <b/>
        <sz val="8"/>
        <rFont val="Arial"/>
        <family val="2"/>
      </rPr>
      <t>(c)</t>
    </r>
    <r>
      <rPr>
        <sz val="8"/>
        <rFont val="Arial"/>
        <family val="2"/>
      </rPr>
      <t xml:space="preserve"> The discrepancy reflects an unaccounted-for shipper and receiver reporting difference, assumed to be zero in the forecast period.</t>
    </r>
  </si>
  <si>
    <r>
      <rPr>
        <b/>
        <sz val="8"/>
        <rFont val="Arial"/>
        <family val="2"/>
      </rPr>
      <t>(d)</t>
    </r>
    <r>
      <rPr>
        <sz val="8"/>
        <rFont val="Arial"/>
        <family val="2"/>
      </rPr>
      <t xml:space="preserve"> Primary stocks are held at the mines and distribution points.</t>
    </r>
  </si>
  <si>
    <r>
      <rPr>
        <b/>
        <sz val="8"/>
        <rFont val="Arial"/>
        <family val="2"/>
      </rPr>
      <t>(a)</t>
    </r>
    <r>
      <rPr>
        <sz val="8"/>
        <rFont val="Arial"/>
        <family val="2"/>
      </rPr>
      <t xml:space="preserve"> Generation supplied by utility-scale power plants with capacity of at least one megawatt.</t>
    </r>
  </si>
  <si>
    <r>
      <rPr>
        <b/>
        <sz val="8"/>
        <rFont val="Arial"/>
        <family val="2"/>
      </rPr>
      <t>(b)</t>
    </r>
    <r>
      <rPr>
        <sz val="8"/>
        <rFont val="Arial"/>
        <family val="2"/>
      </rPr>
      <t xml:space="preserve"> Includes transmission and distribution losses, data collection time-frame differences, and estimation error.</t>
    </r>
  </si>
  <si>
    <r>
      <rPr>
        <b/>
        <sz val="8"/>
        <rFont val="Arial"/>
        <family val="2"/>
      </rPr>
      <t>(c)</t>
    </r>
    <r>
      <rPr>
        <sz val="8"/>
        <rFont val="Arial"/>
        <family val="2"/>
      </rPr>
      <t xml:space="preserve"> Solar photovoltaic systems smaller than one megawatt such as those installed on rooftops.</t>
    </r>
  </si>
  <si>
    <t xml:space="preserve">Forecast data: EIA Short-Term Integrated Forecasting System. </t>
  </si>
  <si>
    <r>
      <rPr>
        <b/>
        <sz val="8"/>
        <rFont val="Arial"/>
        <family val="2"/>
      </rPr>
      <t xml:space="preserve">(a) </t>
    </r>
    <r>
      <rPr>
        <sz val="8"/>
        <rFont val="Arial"/>
        <family val="2"/>
      </rPr>
      <t>Total includes sales of electricity to ultimate customers in transportation sector (not shown), as well as residential, commercial, and industrial sectors.</t>
    </r>
  </si>
  <si>
    <t>Historical data for average price of electricity to ultimate consumers represents the cost per unit of electricity sold and is calculated by dividing electric revenue from ultimate consumers by the corresponding sales of electricity.</t>
  </si>
  <si>
    <r>
      <rPr>
        <b/>
        <sz val="8"/>
        <rFont val="Arial"/>
        <family val="2"/>
      </rPr>
      <t>(a)</t>
    </r>
    <r>
      <rPr>
        <sz val="8"/>
        <rFont val="Arial"/>
        <family val="2"/>
      </rPr>
      <t xml:space="preserve"> Average price to all sectors is weighted by sales of electricity to ultimate customers in the residential, commercial, industrial and transportation (not shown) sectors.</t>
    </r>
  </si>
  <si>
    <r>
      <rPr>
        <b/>
        <sz val="8"/>
        <rFont val="Arial"/>
        <family val="2"/>
      </rPr>
      <t>(b)</t>
    </r>
    <r>
      <rPr>
        <sz val="8"/>
        <rFont val="Arial"/>
        <family val="2"/>
      </rPr>
      <t xml:space="preserve"> Residual fuel oil, distillate fuel oil, petroleum coke, and other petroleum liquids.</t>
    </r>
  </si>
  <si>
    <r>
      <rPr>
        <b/>
        <sz val="8"/>
        <rFont val="Arial"/>
        <family val="2"/>
      </rPr>
      <t>(c)</t>
    </r>
    <r>
      <rPr>
        <sz val="8"/>
        <rFont val="Arial"/>
        <family val="2"/>
      </rPr>
      <t xml:space="preserve"> Batteries, chemicals, hydrogen, pitch, purchased steam, sulfur, nonrenewable waste, and miscellaneous technologies.</t>
    </r>
  </si>
  <si>
    <t xml:space="preserve">Forecast: EIA Short-Term Integrated Forecasting System. </t>
  </si>
  <si>
    <r>
      <rPr>
        <b/>
        <sz val="8"/>
        <rFont val="Arial"/>
        <family val="2"/>
      </rPr>
      <t>(d)</t>
    </r>
    <r>
      <rPr>
        <sz val="8"/>
        <rFont val="Arial"/>
        <family val="2"/>
      </rPr>
      <t xml:space="preserve"> Direct use represents commercial and industrial facility use of onsite net electricity generation; and electrical sales or transfers to adjacent or colocated facilities for which revenue information is not available. See Table 7.6 of the EIA Monthly Energy Review.</t>
    </r>
  </si>
  <si>
    <t>Capacity values represent the amount of generating capacity that is operating (or expected to be operating) at the end of each period.</t>
  </si>
  <si>
    <t>Changes in capacity reflect various factors including new generators coming online, retiring generators, capacity uprates and derates, delayed planned capacity projects, cancelled projects, and other factors.</t>
  </si>
  <si>
    <t>Small-scale solar capacity (systems smaller than one megawatt): Form EIA-861M Monthly Electric Power Industry Report.</t>
  </si>
  <si>
    <t>Historical capacity data may differ from other EIA publications due to frequent updates to the Preliminary Monthly Electric Generator Inventory.</t>
  </si>
  <si>
    <t>Forecasts: Estimates of future capacity may include adjustments to reflect recent changes in market information or regulatory policy.</t>
  </si>
  <si>
    <r>
      <rPr>
        <b/>
        <sz val="8"/>
        <rFont val="Arial"/>
        <family val="2"/>
      </rPr>
      <t>(a)</t>
    </r>
    <r>
      <rPr>
        <sz val="8"/>
        <rFont val="Arial"/>
        <family val="2"/>
      </rPr>
      <t xml:space="preserve"> Other sources include hydrogen, pitch, chemicals, sulfur, purchased steam, nonrenewable waste, and miscellaneous technologies.</t>
    </r>
  </si>
  <si>
    <r>
      <rPr>
        <b/>
        <sz val="8"/>
        <rFont val="Arial"/>
        <family val="2"/>
      </rPr>
      <t>(a)</t>
    </r>
    <r>
      <rPr>
        <sz val="8"/>
        <rFont val="Arial"/>
        <family val="2"/>
      </rPr>
      <t xml:space="preserve"> Energy consumption for conventional hydroelectric power only.  Hydroelectricity generated by pumped storage is not included in renewable energy.</t>
    </r>
  </si>
  <si>
    <r>
      <rPr>
        <b/>
        <sz val="8"/>
        <rFont val="Arial"/>
        <family val="2"/>
      </rPr>
      <t>(b)</t>
    </r>
    <r>
      <rPr>
        <sz val="8"/>
        <rFont val="Arial"/>
        <family val="2"/>
      </rPr>
      <t xml:space="preserve"> Solar energy consumption by utility-scale power plants (capacity greater than or equal to 1 megawatt) in the electric power, commercial, and industrial sectors and energy consumption by small-scale solar photovoltaic systems (less than 1 megawatts in size).</t>
    </r>
  </si>
  <si>
    <r>
      <rPr>
        <b/>
        <sz val="8"/>
        <rFont val="Arial"/>
        <family val="2"/>
      </rPr>
      <t>(c)</t>
    </r>
    <r>
      <rPr>
        <sz val="8"/>
        <rFont val="Arial"/>
        <family val="2"/>
      </rPr>
      <t xml:space="preserve"> Municipal solid waste from biogenic sources, landfill gas, sludge waste, agricultural byproducts, and other biomass.</t>
    </r>
  </si>
  <si>
    <r>
      <rPr>
        <b/>
        <sz val="8"/>
        <rFont val="Arial"/>
        <family val="2"/>
      </rPr>
      <t>(d)</t>
    </r>
    <r>
      <rPr>
        <sz val="8"/>
        <rFont val="Arial"/>
        <family val="2"/>
      </rPr>
      <t xml:space="preserve"> Losses and co-products from the production of fuel ethanol and biomass-based diesel</t>
    </r>
  </si>
  <si>
    <r>
      <rPr>
        <b/>
        <sz val="8"/>
        <rFont val="Arial"/>
        <family val="2"/>
      </rPr>
      <t>(e)</t>
    </r>
    <r>
      <rPr>
        <sz val="8"/>
        <rFont val="Arial"/>
        <family val="2"/>
      </rPr>
      <t xml:space="preserv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r>
  </si>
  <si>
    <r>
      <rPr>
        <b/>
        <sz val="8"/>
        <rFont val="Arial"/>
        <family val="2"/>
      </rPr>
      <t>(f)</t>
    </r>
    <r>
      <rPr>
        <sz val="8"/>
        <rFont val="Arial"/>
        <family val="2"/>
      </rPr>
      <t xml:space="preserve"> Solar consumption in the residential sector includes energy from small-scale solar photovoltaic systems (&lt;1 megawatt), and it includes solar heating consumption in all sectors.</t>
    </r>
  </si>
  <si>
    <r>
      <rPr>
        <b/>
        <sz val="8"/>
        <rFont val="Arial"/>
        <family val="2"/>
      </rPr>
      <t xml:space="preserve">(g) </t>
    </r>
    <r>
      <rPr>
        <sz val="8"/>
        <rFont val="Arial"/>
        <family val="2"/>
      </rPr>
      <t>Fuel ethanol and biodiesel, renewable diesel, and other biofuels consumption in the transportation sector includes production, stock change, and imports less exports. 
Some biomass-based diesel may be consumed in the residential sector in heating oil.</t>
    </r>
  </si>
  <si>
    <t>Historical data: Latest data available from U.S. Department of Commerce, Bureau of Economic Analysis; Federal Reserve System, Statistical release G17; Federal Highway Administration; 
and Federal Aviation Administration.</t>
  </si>
  <si>
    <r>
      <rPr>
        <b/>
        <sz val="8"/>
        <rFont val="Arial"/>
        <family val="2"/>
      </rPr>
      <t>(a)</t>
    </r>
    <r>
      <rPr>
        <sz val="8"/>
        <rFont val="Arial"/>
        <family val="2"/>
      </rPr>
      <t xml:space="preserve"> Fuel share weights of individual sector indices based on EIA </t>
    </r>
    <r>
      <rPr>
        <i/>
        <sz val="8"/>
        <rFont val="Arial"/>
        <family val="2"/>
      </rPr>
      <t>Manufacturing Energy Consumption Survey</t>
    </r>
    <r>
      <rPr>
        <sz val="8"/>
        <rFont val="Arial"/>
        <family val="2"/>
      </rPr>
      <t>.</t>
    </r>
  </si>
  <si>
    <r>
      <rPr>
        <b/>
        <sz val="8"/>
        <rFont val="Arial"/>
        <family val="2"/>
      </rPr>
      <t>(b)</t>
    </r>
    <r>
      <rPr>
        <sz val="8"/>
        <rFont val="Arial"/>
        <family val="2"/>
      </rPr>
      <t xml:space="preserve"> Total highway travel includes gasoline and diesel fuel vehicles.</t>
    </r>
  </si>
  <si>
    <r>
      <rPr>
        <b/>
        <sz val="8"/>
        <rFont val="Arial"/>
        <family val="2"/>
      </rPr>
      <t>(c)</t>
    </r>
    <r>
      <rPr>
        <sz val="8"/>
        <rFont val="Arial"/>
        <family val="2"/>
      </rPr>
      <t xml:space="preserve"> Includes electric power sector use of geothermal energy and non-biomass waste.</t>
    </r>
  </si>
  <si>
    <t>Historical data: Latest data available from U.S. Department of Commerce, Bureau of Economic Analysis; Federal Reserve System, Statistical release G17.</t>
  </si>
  <si>
    <t>Forecasts: Current month based on forecasts by the NOAA Climate Prediction Center (http://www.cpc.ncep.noaa.gov/pacdir/DDdir/NHOME3.shtml). Remaining months based on the 30-year trend.</t>
  </si>
  <si>
    <t>CLPS_TOT</t>
  </si>
  <si>
    <t>U.S. Liquid Fuels (dollars per gallon)</t>
  </si>
  <si>
    <t>DSWHUUS_$</t>
  </si>
  <si>
    <t>D2WHUUS_$</t>
  </si>
  <si>
    <t>JKTCUUS_$</t>
  </si>
  <si>
    <t>RFTCUUS_$</t>
  </si>
  <si>
    <t>PRMBUUS_$</t>
  </si>
  <si>
    <t>DSRTUUS_$</t>
  </si>
  <si>
    <t>D2RCAUS_$</t>
  </si>
  <si>
    <t>CLNIPUS_TON</t>
  </si>
  <si>
    <t>Total raw steel production (million short tons)</t>
  </si>
  <si>
    <t>Propane Mont Belvieu Spot</t>
  </si>
  <si>
    <t>Propane Residential</t>
  </si>
  <si>
    <t>PRRCAUS</t>
  </si>
  <si>
    <t>WTI and Brent crude oil spot prices, the Mt. Belvieu propane spot price, and the Henry Hub natural gas spot price are from Refinitiv,an LSEG company, via EIA (https://www.eia.gov/dnav/pet/pet_pri_spt_s1_d.htm).</t>
  </si>
  <si>
    <r>
      <t xml:space="preserve">Retail heating oil prices are from the Bureau of Labor Statistics, </t>
    </r>
    <r>
      <rPr>
        <i/>
        <sz val="8"/>
        <rFont val="Arial"/>
        <family val="2"/>
      </rPr>
      <t>Consumer Price Index.</t>
    </r>
  </si>
  <si>
    <t>Table 4d.  U.S. Biofuel Supply, Consumption, and Inventories</t>
  </si>
  <si>
    <r>
      <rPr>
        <b/>
        <sz val="8"/>
        <rFont val="Arial"/>
        <family val="2"/>
      </rPr>
      <t xml:space="preserve">(a) </t>
    </r>
    <r>
      <rPr>
        <sz val="8"/>
        <rFont val="Arial"/>
        <family val="2"/>
      </rPr>
      <t>Includes renewable heating oil, renewable jet fuel (sustainable aviation fuel, alternative jet fuel, and biojet), renewable naphtha, renewable gasoline, and other emerging biofuels that are in various stages of development and commercialization</t>
    </r>
  </si>
  <si>
    <t>BDPRPUS</t>
  </si>
  <si>
    <t>RDPRPUS</t>
  </si>
  <si>
    <t>OBPRPUS</t>
  </si>
  <si>
    <t>EONIPUS</t>
  </si>
  <si>
    <t>BDNIPUS</t>
  </si>
  <si>
    <t>RDNIPUS</t>
  </si>
  <si>
    <t>OBNIPUS</t>
  </si>
  <si>
    <t>BDRIPUS</t>
  </si>
  <si>
    <t>RDRIPUS</t>
  </si>
  <si>
    <t>Total biofuels consumption</t>
  </si>
  <si>
    <t>BDTCPUS</t>
  </si>
  <si>
    <t>BDTCPUS_PS</t>
  </si>
  <si>
    <t>RDTCPUS</t>
  </si>
  <si>
    <t>RDTCPUS_PS</t>
  </si>
  <si>
    <t>OBTCPUS</t>
  </si>
  <si>
    <t>Total motor gasoline consumption</t>
  </si>
  <si>
    <t>Petroleum-based gasoline</t>
  </si>
  <si>
    <t>DATCPUS</t>
  </si>
  <si>
    <t>Petroleum-based distillate</t>
  </si>
  <si>
    <t>Total biofuels inventories</t>
  </si>
  <si>
    <t>EOPSPUS</t>
  </si>
  <si>
    <t>BDPSPUS</t>
  </si>
  <si>
    <t>Biodiesel</t>
  </si>
  <si>
    <t>RDPSPUS</t>
  </si>
  <si>
    <t>OBPSPUS</t>
  </si>
  <si>
    <t>Other biofuels</t>
  </si>
  <si>
    <t>Total distillate fuel oil inventories</t>
  </si>
  <si>
    <t>Biodiesel production</t>
  </si>
  <si>
    <t>Renewable diesel production</t>
  </si>
  <si>
    <t>Other biofuel production (a)</t>
  </si>
  <si>
    <t>Fuel ethanol net imports</t>
  </si>
  <si>
    <t>Biodiesel net imports</t>
  </si>
  <si>
    <t>Renewable diesel net imports</t>
  </si>
  <si>
    <t>Renewable diesel net inputs</t>
  </si>
  <si>
    <t>Biodiesel consumption</t>
  </si>
  <si>
    <t>Renewable diesel consumption</t>
  </si>
  <si>
    <t>Renewable diesel product supplied</t>
  </si>
  <si>
    <t>Other biofuel consumption</t>
  </si>
  <si>
    <t>Renewable diesel</t>
  </si>
  <si>
    <t>BFSUPPLY</t>
  </si>
  <si>
    <t>DASUPPLY</t>
  </si>
  <si>
    <t>Distillate fuel production</t>
  </si>
  <si>
    <t>Distillate fuel oil net imports</t>
  </si>
  <si>
    <t>BFTCPUS</t>
  </si>
  <si>
    <t>MGTCPUSX_P</t>
  </si>
  <si>
    <t>DFTCPUS_P</t>
  </si>
  <si>
    <t>BFPSPUS</t>
  </si>
  <si>
    <t>DAPSPUS</t>
  </si>
  <si>
    <t>Total biofuels supply</t>
  </si>
  <si>
    <t>Biofuel stock draw</t>
  </si>
  <si>
    <t>BFPSPUS_DRAW</t>
  </si>
  <si>
    <t>DAPSPUS_DRAW</t>
  </si>
  <si>
    <t>Total distillate fuel stock draw</t>
  </si>
  <si>
    <t>Renewable diesel net imports (b)</t>
  </si>
  <si>
    <t>Other biofuel net imports (b)</t>
  </si>
  <si>
    <r>
      <rPr>
        <b/>
        <sz val="8"/>
        <rFont val="Arial"/>
        <family val="2"/>
      </rPr>
      <t>(b)</t>
    </r>
    <r>
      <rPr>
        <sz val="8"/>
        <rFont val="Arial"/>
        <family val="2"/>
      </rPr>
      <t xml:space="preserve"> Renewable diesel net imports and other biofuel net imports equal imports because we do not collect or receive export data for those fuels.</t>
    </r>
  </si>
  <si>
    <t>Total distillate fuel oil supply (c)</t>
  </si>
  <si>
    <t>Biodiesel product supplied (d)</t>
  </si>
  <si>
    <t xml:space="preserve">Biodiesel net inputs (e) </t>
  </si>
  <si>
    <t>Total distillate fuel oil consumption (f)</t>
  </si>
  <si>
    <t xml:space="preserve">Biodiesel net inputs (g) </t>
  </si>
  <si>
    <t>Biodiesel product supplied (h)</t>
  </si>
  <si>
    <t>Renewable diesel product supplied (h)</t>
  </si>
  <si>
    <r>
      <rPr>
        <b/>
        <sz val="8"/>
        <rFont val="Arial"/>
        <family val="2"/>
      </rPr>
      <t>(d)</t>
    </r>
    <r>
      <rPr>
        <sz val="8"/>
        <rFont val="Arial"/>
        <family val="2"/>
      </rPr>
      <t xml:space="preserve"> The volumes of renewable fuels that are not reported as blended with petroleum fuels.</t>
    </r>
  </si>
  <si>
    <r>
      <rPr>
        <b/>
        <sz val="8"/>
        <rFont val="Arial"/>
        <family val="2"/>
      </rPr>
      <t>(e)</t>
    </r>
    <r>
      <rPr>
        <sz val="8"/>
        <rFont val="Arial"/>
        <family val="2"/>
      </rPr>
      <t xml:space="preserve"> The volumes of renewable fuels that are reported as blended with petroleum fuels.</t>
    </r>
  </si>
  <si>
    <r>
      <rPr>
        <b/>
        <sz val="8"/>
        <rFont val="Arial"/>
        <family val="2"/>
      </rPr>
      <t>(f)</t>
    </r>
    <r>
      <rPr>
        <sz val="8"/>
        <rFont val="Arial"/>
        <family val="2"/>
      </rPr>
      <t xml:space="preserve"> Equals the sum of distillate fuel oil, biodiesel product supplied, and renewable diesel product supplied. </t>
    </r>
  </si>
  <si>
    <r>
      <rPr>
        <b/>
        <sz val="8"/>
        <rFont val="Arial"/>
        <family val="2"/>
      </rPr>
      <t>(g)</t>
    </r>
    <r>
      <rPr>
        <sz val="8"/>
        <rFont val="Arial"/>
        <family val="2"/>
      </rPr>
      <t xml:space="preserve"> Prior to 2021, we did not publish biodiesel product supplied and instead included it as part of distillate fuel oil product supplied.</t>
    </r>
  </si>
  <si>
    <r>
      <rPr>
        <b/>
        <sz val="8"/>
        <rFont val="Arial"/>
        <family val="2"/>
      </rPr>
      <t>(h)</t>
    </r>
    <r>
      <rPr>
        <sz val="8"/>
        <rFont val="Arial"/>
        <family val="2"/>
      </rPr>
      <t xml:space="preserve"> Prior to 2021, we did not publish renewable diesel product supplied, and STEO values for that period are taken from the U.S. Environmental Protection Agency’s Moderated Transaction System.</t>
    </r>
  </si>
  <si>
    <r>
      <rPr>
        <b/>
        <sz val="8"/>
        <rFont val="Arial"/>
        <family val="2"/>
      </rPr>
      <t>(c)</t>
    </r>
    <r>
      <rPr>
        <sz val="8"/>
        <rFont val="Arial"/>
        <family val="2"/>
      </rPr>
      <t xml:space="preserve"> Total distillate fuel oil supply equals the sum of the seven components shown minus refiner and blender net inputs of biodiesel and renewable diesel, which are listed in rows 44 and 45 of this table.</t>
    </r>
  </si>
  <si>
    <t>Table 4d. U.S. Biofuel Supply, Consumption, and Inventories</t>
  </si>
  <si>
    <t>MGTNIPUS</t>
  </si>
  <si>
    <t>Other fossil gases</t>
  </si>
  <si>
    <t>Petroleum Supply Annual; Weekly Petroleum Status Report.</t>
  </si>
  <si>
    <t>Petroleum Supply Monthly; Petroleum Supply Annual; and Weekly Petroleum Status Report.</t>
  </si>
  <si>
    <t xml:space="preserve">Historical data: Latest data available from Energy Information Administration databases supporting the following reports: Petroleum Marketing Monthly; </t>
  </si>
  <si>
    <t xml:space="preserve">Petroleum Supply Annual; Weekly Petroleum Status Report; Petroleum Marketing Monthly; Natural Gas Monthly; </t>
  </si>
  <si>
    <t>Electric Power Monthly; Quarterly Coal Report; and International Petroleum Monthly.</t>
  </si>
  <si>
    <t>Weekly Petroleum Status Report; Natural Gas Monthly; Electric Power Monthly;  Monthly Energy Review; Heating Oil and Propoane Update.</t>
  </si>
  <si>
    <t>Lower 48 States (excl GOA) (c)</t>
  </si>
  <si>
    <t>Lower 48 States (excl GOA) (b)</t>
  </si>
  <si>
    <t>Rest of Lower 48 States, excluding GOA</t>
  </si>
  <si>
    <r>
      <rPr>
        <b/>
        <sz val="8"/>
        <rFont val="Arial"/>
        <family val="2"/>
      </rPr>
      <t>(b)</t>
    </r>
    <r>
      <rPr>
        <sz val="8"/>
        <rFont val="Arial"/>
        <family val="2"/>
      </rPr>
      <t xml:space="preserve"> Crude oil production from U.S. Federal leases in the Gulf of America (GOA).</t>
    </r>
  </si>
  <si>
    <r>
      <rPr>
        <b/>
        <sz val="8"/>
        <rFont val="Arial"/>
        <family val="2"/>
      </rPr>
      <t xml:space="preserve">(a) </t>
    </r>
    <r>
      <rPr>
        <sz val="8"/>
        <rFont val="Arial"/>
        <family val="2"/>
      </rPr>
      <t>Marketed production from U.S. Federal leases in the Gulf of America.</t>
    </r>
  </si>
  <si>
    <t>Federal Gulf of America (a)</t>
  </si>
  <si>
    <t>Federal Gulf of America (b)</t>
  </si>
  <si>
    <t>Fuel ethanol</t>
  </si>
  <si>
    <t>See “Petroleum for Administration Defense District” in EIA’s Energy Glossary (http://www.eia.gov/glossary/index.html) for a list of States in each region.</t>
  </si>
  <si>
    <r>
      <rPr>
        <b/>
        <sz val="8"/>
        <rFont val="Arial"/>
        <family val="2"/>
      </rPr>
      <t>(a)</t>
    </r>
    <r>
      <rPr>
        <sz val="8"/>
        <rFont val="Arial"/>
        <family val="2"/>
      </rPr>
      <t xml:space="preserve"> For a list of states in each region see "Census division" in EIA’s Energy Glossary (http://www.eia.gov/glossary/index.html).</t>
    </r>
  </si>
  <si>
    <t>See "Census division" in EIA’s Energy Glossary (http://www.eia.gov/glossary/index.html) for a list of States in each region.</t>
  </si>
  <si>
    <t>Historical data: Latest data available from U.S. Department of Commerce, NOAA).</t>
  </si>
  <si>
    <t>WNEPGEN_NE</t>
  </si>
  <si>
    <t>SOEPGEN_NE</t>
  </si>
  <si>
    <t xml:space="preserve">Other energy sources (d) </t>
  </si>
  <si>
    <t xml:space="preserve">Net energy for load (e) </t>
  </si>
  <si>
    <t>WNEPGEN_NY</t>
  </si>
  <si>
    <t>SOEPGEN_NY</t>
  </si>
  <si>
    <t>WNEPGEN_PJ</t>
  </si>
  <si>
    <t>SOEPGEN_PJ</t>
  </si>
  <si>
    <t>WNEPGEN_SE</t>
  </si>
  <si>
    <t>SOEPGEN_SE</t>
  </si>
  <si>
    <t>WNEPGEN_FL</t>
  </si>
  <si>
    <t>SOEPGEN_FL</t>
  </si>
  <si>
    <r>
      <rPr>
        <b/>
        <sz val="8"/>
        <rFont val="Arial"/>
        <family val="2"/>
      </rPr>
      <t>(a)</t>
    </r>
    <r>
      <rPr>
        <sz val="8"/>
        <rFont val="Arial"/>
        <family val="2"/>
      </rPr>
      <t xml:space="preserve"> Generation from utility-scale solar photovoltaic and solar thermal power plants. Excludes generation from small-scale solar photovoltaic systems (see Table 7a).</t>
    </r>
  </si>
  <si>
    <r>
      <rPr>
        <b/>
        <sz val="8"/>
        <rFont val="Arial"/>
        <family val="2"/>
      </rPr>
      <t>(d)</t>
    </r>
    <r>
      <rPr>
        <sz val="8"/>
        <rFont val="Arial"/>
        <family val="2"/>
      </rPr>
      <t xml:space="preserve"> Pumped storage hydroelectric, biomass, geothermal, petroleum, other fossil gases, batteries, and other nonrenewable fuels. See notes (b) and (c).</t>
    </r>
  </si>
  <si>
    <r>
      <rPr>
        <b/>
        <sz val="8"/>
        <rFont val="Arial"/>
        <family val="2"/>
      </rPr>
      <t>(e)</t>
    </r>
    <r>
      <rPr>
        <sz val="8"/>
        <rFont val="Arial"/>
        <family val="2"/>
      </rPr>
      <t xml:space="preserve"> Includes regional generation from power plants operated by electric power sector, plus net energy receipts from neighboring regions (see Figure 36 for STEO electricity supply regions).</t>
    </r>
  </si>
  <si>
    <t>The electric power sector includes utility-scale generating power plants (total capacity is larger than 1 megawatt) operated by electric utilities and independent power producers.</t>
  </si>
  <si>
    <t>WNEPGEN_MW</t>
  </si>
  <si>
    <t>SOEPGEN_MW</t>
  </si>
  <si>
    <t>WNEPGEN_SP</t>
  </si>
  <si>
    <t>SOEPGEN_SP</t>
  </si>
  <si>
    <t>WNEPGEN_TX</t>
  </si>
  <si>
    <t>SOEPGEN_TX</t>
  </si>
  <si>
    <t>WNEPGEN_NW</t>
  </si>
  <si>
    <t>SOEPGEN_NW</t>
  </si>
  <si>
    <t>WNEPGEN_SW</t>
  </si>
  <si>
    <t>SOEPGEN_SW</t>
  </si>
  <si>
    <t>WNEPGEN_CA</t>
  </si>
  <si>
    <t>SOEPGEN_CA</t>
  </si>
  <si>
    <r>
      <rPr>
        <b/>
        <sz val="8"/>
        <rFont val="Arial"/>
        <family val="2"/>
      </rPr>
      <t>(e)</t>
    </r>
    <r>
      <rPr>
        <sz val="8"/>
        <rFont val="Arial"/>
        <family val="2"/>
      </rPr>
      <t xml:space="preserve"> Series temporarily suspended.</t>
    </r>
  </si>
  <si>
    <r>
      <rPr>
        <b/>
        <sz val="8"/>
        <rFont val="Arial"/>
        <family val="2"/>
      </rPr>
      <t>(a)</t>
    </r>
    <r>
      <rPr>
        <sz val="8"/>
        <rFont val="Arial"/>
        <family val="2"/>
      </rPr>
      <t xml:space="preserve"> The U.S. Bureau of Labor Statistics did not publish October 2025 data for the Civilian Unemployment Rate and the Consumer Price Index.</t>
    </r>
  </si>
  <si>
    <t>Total Energy (d)</t>
  </si>
  <si>
    <t>Coal-weighted manufacturing (b)</t>
  </si>
  <si>
    <t>Distillate-weighted manufacturing (b)</t>
  </si>
  <si>
    <t>Electricity-weighted manufacturing (b)</t>
  </si>
  <si>
    <t>Natural Gas-weighted manufacturing (b)</t>
  </si>
  <si>
    <t>Vehicle Miles Traveled (c)</t>
  </si>
  <si>
    <t>Civilian Unemployment Rate (a)</t>
  </si>
  <si>
    <t>Consumer Price Index (all urban consumers) (a)</t>
  </si>
  <si>
    <r>
      <t xml:space="preserve">Historical data: Latest data available from Energy Information Administration databases supporting the following reports: </t>
    </r>
    <r>
      <rPr>
        <i/>
        <sz val="8"/>
        <rFont val="Arial"/>
        <family val="2"/>
      </rPr>
      <t>Petroleum Supply Monthl</t>
    </r>
    <r>
      <rPr>
        <sz val="8"/>
        <rFont val="Arial"/>
        <family val="2"/>
      </rPr>
      <t>y;</t>
    </r>
  </si>
  <si>
    <r>
      <t xml:space="preserve">Historical data: Latest data available from Energy Information Administration databases supporting the following reports: </t>
    </r>
    <r>
      <rPr>
        <i/>
        <sz val="8"/>
        <rFont val="Arial"/>
        <family val="2"/>
      </rPr>
      <t>Petroleum Marketing Monthly</t>
    </r>
    <r>
      <rPr>
        <sz val="8"/>
        <rFont val="Arial"/>
        <family val="2"/>
      </rPr>
      <t xml:space="preserve">; </t>
    </r>
  </si>
  <si>
    <r>
      <t xml:space="preserve">Historical data: Latest data available from Energy Information Administration databases supporting the following reports: </t>
    </r>
    <r>
      <rPr>
        <i/>
        <sz val="8"/>
        <rFont val="Arial"/>
        <family val="2"/>
      </rPr>
      <t>Petroleum Supply Monthly</t>
    </r>
    <r>
      <rPr>
        <sz val="8"/>
        <rFont val="Arial"/>
        <family val="2"/>
      </rPr>
      <t xml:space="preserve">; </t>
    </r>
  </si>
  <si>
    <r>
      <t xml:space="preserve">Historical data: Latest data available from Energy Information Administration databases supporting the following reports: </t>
    </r>
    <r>
      <rPr>
        <i/>
        <sz val="8"/>
        <rFont val="Arial"/>
        <family val="2"/>
      </rPr>
      <t xml:space="preserve">Petroleum Supply Monthly; Petroleum Supply Annual; </t>
    </r>
    <r>
      <rPr>
        <sz val="8"/>
        <rFont val="Arial"/>
        <family val="2"/>
      </rPr>
      <t xml:space="preserve">and </t>
    </r>
    <r>
      <rPr>
        <i/>
        <sz val="8"/>
        <rFont val="Arial"/>
        <family val="2"/>
      </rPr>
      <t>Weekly Petroleum Status Repor</t>
    </r>
    <r>
      <rPr>
        <sz val="8"/>
        <rFont val="Arial"/>
        <family val="2"/>
      </rPr>
      <t xml:space="preserve">t. </t>
    </r>
  </si>
  <si>
    <r>
      <t xml:space="preserve">Historical data:  Latest data available from Energy Information Administration databases supporting the following reports: </t>
    </r>
    <r>
      <rPr>
        <i/>
        <sz val="8"/>
        <rFont val="Arial"/>
        <family val="2"/>
      </rPr>
      <t xml:space="preserve">Petroleum Supply Monthly; Petroleum Supply Annual; </t>
    </r>
    <r>
      <rPr>
        <sz val="8"/>
        <rFont val="Arial"/>
        <family val="2"/>
      </rPr>
      <t xml:space="preserve">and </t>
    </r>
    <r>
      <rPr>
        <i/>
        <sz val="8"/>
        <rFont val="Arial"/>
        <family val="2"/>
      </rPr>
      <t xml:space="preserve">Weekly Petroleum Status Report. </t>
    </r>
  </si>
  <si>
    <r>
      <t xml:space="preserve">Historical data: Latest data available from Energy Information Administration databases supporting the following reports: </t>
    </r>
    <r>
      <rPr>
        <i/>
        <sz val="8"/>
        <rFont val="Arial"/>
        <family val="2"/>
      </rPr>
      <t xml:space="preserve">Natural Gas Monthly; </t>
    </r>
    <r>
      <rPr>
        <sz val="8"/>
        <rFont val="Arial"/>
        <family val="2"/>
      </rPr>
      <t xml:space="preserve">and </t>
    </r>
    <r>
      <rPr>
        <i/>
        <sz val="8"/>
        <rFont val="Arial"/>
        <family val="2"/>
      </rPr>
      <t>Electric Power Monthly.</t>
    </r>
  </si>
  <si>
    <r>
      <t xml:space="preserve">Historical data: Latest data available from Energy Information Administration databases supporting the </t>
    </r>
    <r>
      <rPr>
        <i/>
        <sz val="8"/>
        <rFont val="Arial"/>
        <family val="2"/>
      </rPr>
      <t>Natural Gas Monthl</t>
    </r>
    <r>
      <rPr>
        <sz val="8"/>
        <rFont val="Arial"/>
        <family val="2"/>
      </rPr>
      <t>y. Henry Hub spot price is from Refinitiv,an LSEG company, via EIA (https://www.eia.gov/dnav/pet/pet_pri_spt_s1_d.htm).</t>
    </r>
  </si>
  <si>
    <r>
      <t xml:space="preserve">Historical data: Latest data available from Energy Information Administration databases supporting the following reports: </t>
    </r>
    <r>
      <rPr>
        <i/>
        <sz val="8"/>
        <rFont val="Arial"/>
        <family val="2"/>
      </rPr>
      <t xml:space="preserve">Quarterly Coal Report </t>
    </r>
    <r>
      <rPr>
        <sz val="8"/>
        <rFont val="Arial"/>
        <family val="2"/>
      </rPr>
      <t>and</t>
    </r>
    <r>
      <rPr>
        <i/>
        <sz val="8"/>
        <rFont val="Arial"/>
        <family val="2"/>
      </rPr>
      <t xml:space="preserve"> Electric Power Monthly</t>
    </r>
    <r>
      <rPr>
        <sz val="8"/>
        <rFont val="Arial"/>
        <family val="2"/>
      </rPr>
      <t>.</t>
    </r>
  </si>
  <si>
    <r>
      <t xml:space="preserve">Historical data: Latest data available from EIA databases supporting the following reports: </t>
    </r>
    <r>
      <rPr>
        <i/>
        <sz val="8"/>
        <rFont val="Arial"/>
        <family val="2"/>
      </rPr>
      <t xml:space="preserve">Electric Power Monthly </t>
    </r>
    <r>
      <rPr>
        <sz val="8"/>
        <rFont val="Arial"/>
        <family val="2"/>
      </rPr>
      <t xml:space="preserve">and </t>
    </r>
    <r>
      <rPr>
        <i/>
        <sz val="8"/>
        <rFont val="Arial"/>
        <family val="2"/>
      </rPr>
      <t xml:space="preserve">Electric Power Annual </t>
    </r>
    <r>
      <rPr>
        <sz val="8"/>
        <rFont val="Arial"/>
        <family val="2"/>
      </rPr>
      <t>(electricity supply and 
consumption, fuel inventories and costs, and retail electricity prices); regional transmission organizations and independent system operators (wholesale electricity prices).</t>
    </r>
  </si>
  <si>
    <r>
      <t xml:space="preserve">Historical data: Latest data available from EIA databases supporting the following reports: </t>
    </r>
    <r>
      <rPr>
        <i/>
        <sz val="8"/>
        <rFont val="Arial"/>
        <family val="2"/>
      </rPr>
      <t xml:space="preserve">Electric Power Monthly </t>
    </r>
    <r>
      <rPr>
        <sz val="8"/>
        <rFont val="Arial"/>
        <family val="2"/>
      </rPr>
      <t>and</t>
    </r>
    <r>
      <rPr>
        <i/>
        <sz val="8"/>
        <rFont val="Arial"/>
        <family val="2"/>
      </rPr>
      <t xml:space="preserve"> Electric Power Annual.</t>
    </r>
  </si>
  <si>
    <r>
      <t>Historical data: Latest data available from EIA databases supporting the following reports:</t>
    </r>
    <r>
      <rPr>
        <i/>
        <sz val="8"/>
        <rFont val="Arial"/>
        <family val="2"/>
      </rPr>
      <t xml:space="preserve"> Electric Power Monthly </t>
    </r>
    <r>
      <rPr>
        <sz val="8"/>
        <rFont val="Arial"/>
        <family val="2"/>
      </rPr>
      <t>and</t>
    </r>
    <r>
      <rPr>
        <i/>
        <sz val="8"/>
        <rFont val="Arial"/>
        <family val="2"/>
      </rPr>
      <t xml:space="preserve"> Electric Power Annual.</t>
    </r>
  </si>
  <si>
    <r>
      <t xml:space="preserve">Historical data: Latest data available from EIA databases supporting the following reports: </t>
    </r>
    <r>
      <rPr>
        <i/>
        <sz val="8"/>
        <rFont val="Arial"/>
        <family val="2"/>
      </rPr>
      <t xml:space="preserve">Electric Power Monthly, Electric Power Annual, Monthly Energy Review, </t>
    </r>
    <r>
      <rPr>
        <sz val="8"/>
        <rFont val="Arial"/>
        <family val="2"/>
      </rPr>
      <t xml:space="preserve">and </t>
    </r>
    <r>
      <rPr>
        <i/>
        <sz val="8"/>
        <rFont val="Arial"/>
        <family val="2"/>
      </rPr>
      <t>Petroleum Supply Monthly.</t>
    </r>
  </si>
  <si>
    <t xml:space="preserve">Forecasts: EIA Short-Term Integrated Forecasting System. Regional macroeconomic forecasts are based on the S&amp;P Global model of the U.S. Economy. </t>
  </si>
  <si>
    <t>SERC index, Into Southern</t>
  </si>
  <si>
    <t>FRCC index, Florida Reliability</t>
  </si>
  <si>
    <t>Northwest index, Mid-Columbia</t>
  </si>
  <si>
    <t>Southwest index, Palo Verde</t>
  </si>
  <si>
    <r>
      <rPr>
        <b/>
        <sz val="8"/>
        <rFont val="Arial"/>
        <family val="2"/>
      </rPr>
      <t>(c)</t>
    </r>
    <r>
      <rPr>
        <sz val="8"/>
        <rFont val="Arial"/>
        <family val="2"/>
      </rPr>
      <t xml:space="preserve"> OPEC = Organization of the Petroleum Exporting Countries: Algeria, Congo (Brazzaville), Equatorial Guinea, Gabon, Iran, Iraq, Kuwait, Libya, Nigeria, Saudi Arabia, and Venezuela.</t>
    </r>
  </si>
  <si>
    <r>
      <rPr>
        <b/>
        <sz val="8"/>
        <rFont val="Arial"/>
        <family val="2"/>
      </rPr>
      <t>(b)</t>
    </r>
    <r>
      <rPr>
        <sz val="8"/>
        <rFont val="Arial"/>
        <family val="2"/>
      </rPr>
      <t xml:space="preserve"> OPEC = Organization of the Petroleum Exporting Countries: Algeria, Congo (Brazzaville), Equatorial Guinea, Gabon, Iran, Iraq, Kuwait, Libya, Nigeria, Saudi Arabia, and Venezuela.</t>
    </r>
  </si>
  <si>
    <t>`</t>
  </si>
  <si>
    <t>October 2026</t>
  </si>
  <si>
    <t xml:space="preserve">-  </t>
  </si>
</sst>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13"/>
  <sheetViews>
    <sheetView workbookViewId="0">
      <selection activeCell="G6" sqref="G6"/>
    </sheetView>
  </sheetViews>
  <sheetFormatPr defaultRowHeight="13.2" x14ac:dyDescent="0.25"/>
  <cols>
    <col min="1" max="1" width="6.44140625" customWidth="1"/>
    <col min="2" max="2" width="14" customWidth="1"/>
    <col min="3" max="3" width="10.5546875" customWidth="1"/>
    <col min="4" max="4" width="8.5546875" customWidth="1"/>
  </cols>
  <sheetData>
    <row r="1" spans="1:74" x14ac:dyDescent="0.25">
      <c r="A1" s="110" t="s">
        <v>136</v>
      </c>
      <c r="D1" s="969" t="s">
        <v>1611</v>
      </c>
      <c r="E1" s="969"/>
      <c r="F1" s="969"/>
    </row>
    <row r="2" spans="1:74" x14ac:dyDescent="0.25">
      <c r="A2" s="310" t="s">
        <v>745</v>
      </c>
      <c r="D2" s="968">
        <v>46296</v>
      </c>
      <c r="E2" s="968"/>
      <c r="F2" s="968"/>
      <c r="G2" s="312" t="str">
        <f>"EIA completed modeling and analysis for this report on "&amp;TEXT(Dates!$D$2,"dddd, mmmm d, yyyy")&amp;"."</f>
        <v>EIA completed modeling and analysis for this report on Thursday, October 1, 2026.</v>
      </c>
      <c r="H2" s="312"/>
      <c r="I2" s="312"/>
      <c r="J2" s="312"/>
      <c r="K2" s="312"/>
      <c r="L2" s="312"/>
      <c r="M2" s="312"/>
    </row>
    <row r="3" spans="1:74" x14ac:dyDescent="0.25">
      <c r="A3" t="s">
        <v>62</v>
      </c>
      <c r="D3" s="290">
        <f>YEAR(D1)-4</f>
        <v>2022</v>
      </c>
      <c r="G3" s="311"/>
      <c r="H3" s="7"/>
      <c r="I3" s="7"/>
      <c r="J3" s="7"/>
      <c r="K3" s="7"/>
      <c r="L3" s="7"/>
      <c r="M3" s="7"/>
    </row>
    <row r="4" spans="1:74" x14ac:dyDescent="0.25">
      <c r="D4" s="109"/>
    </row>
    <row r="5" spans="1:74" x14ac:dyDescent="0.25">
      <c r="A5" t="s">
        <v>555</v>
      </c>
      <c r="D5" s="109">
        <f>+D3*100+1</f>
        <v>202201</v>
      </c>
    </row>
    <row r="7" spans="1:74" x14ac:dyDescent="0.25">
      <c r="A7" t="s">
        <v>557</v>
      </c>
      <c r="D7" s="109">
        <f>IF(MONTH(D1)&gt;1,100*YEAR(D1)+MONTH(D1)-1,100*(YEAR(D1)-1)+12)</f>
        <v>202609</v>
      </c>
    </row>
    <row r="9" spans="1:74" x14ac:dyDescent="0.25">
      <c r="A9" t="s">
        <v>807</v>
      </c>
      <c r="D9" s="967">
        <v>46296.72284722222</v>
      </c>
      <c r="E9" s="967"/>
    </row>
    <row r="10" spans="1:74" s="117" customFormat="1" x14ac:dyDescent="0.25">
      <c r="A10" s="117" t="s">
        <v>137</v>
      </c>
    </row>
    <row r="11" spans="1:74" s="7" customFormat="1" ht="10.199999999999999" x14ac:dyDescent="0.2">
      <c r="A11" s="20"/>
      <c r="B11" s="21" t="s">
        <v>440</v>
      </c>
      <c r="C11" s="18">
        <f>+D5</f>
        <v>202201</v>
      </c>
      <c r="D11" s="22">
        <f>C11+1</f>
        <v>202202</v>
      </c>
      <c r="E11" s="22">
        <f>D11+1</f>
        <v>202203</v>
      </c>
      <c r="F11" s="23">
        <f>E11+1</f>
        <v>202204</v>
      </c>
      <c r="G11" s="23">
        <f t="shared" ref="G11:BR11" si="0">F11+1</f>
        <v>202205</v>
      </c>
      <c r="H11" s="23">
        <f t="shared" si="0"/>
        <v>202206</v>
      </c>
      <c r="I11" s="23">
        <f t="shared" si="0"/>
        <v>202207</v>
      </c>
      <c r="J11" s="23">
        <f t="shared" si="0"/>
        <v>202208</v>
      </c>
      <c r="K11" s="23">
        <f t="shared" si="0"/>
        <v>202209</v>
      </c>
      <c r="L11" s="23">
        <f t="shared" si="0"/>
        <v>202210</v>
      </c>
      <c r="M11" s="23">
        <f t="shared" si="0"/>
        <v>202211</v>
      </c>
      <c r="N11" s="23">
        <f t="shared" si="0"/>
        <v>202212</v>
      </c>
      <c r="O11" s="23">
        <f>+C11+100</f>
        <v>202301</v>
      </c>
      <c r="P11" s="23">
        <f t="shared" si="0"/>
        <v>202302</v>
      </c>
      <c r="Q11" s="23">
        <f t="shared" si="0"/>
        <v>202303</v>
      </c>
      <c r="R11" s="23">
        <f t="shared" si="0"/>
        <v>202304</v>
      </c>
      <c r="S11" s="23">
        <f t="shared" si="0"/>
        <v>202305</v>
      </c>
      <c r="T11" s="23">
        <f t="shared" si="0"/>
        <v>202306</v>
      </c>
      <c r="U11" s="23">
        <f t="shared" si="0"/>
        <v>202307</v>
      </c>
      <c r="V11" s="23">
        <f t="shared" si="0"/>
        <v>202308</v>
      </c>
      <c r="W11" s="23">
        <f t="shared" si="0"/>
        <v>202309</v>
      </c>
      <c r="X11" s="23">
        <f t="shared" si="0"/>
        <v>202310</v>
      </c>
      <c r="Y11" s="23">
        <f t="shared" si="0"/>
        <v>202311</v>
      </c>
      <c r="Z11" s="23">
        <f t="shared" si="0"/>
        <v>202312</v>
      </c>
      <c r="AA11" s="23">
        <f>+O11+100</f>
        <v>202401</v>
      </c>
      <c r="AB11" s="23">
        <f t="shared" si="0"/>
        <v>202402</v>
      </c>
      <c r="AC11" s="23">
        <f t="shared" si="0"/>
        <v>202403</v>
      </c>
      <c r="AD11" s="23">
        <f t="shared" si="0"/>
        <v>202404</v>
      </c>
      <c r="AE11" s="23">
        <f t="shared" si="0"/>
        <v>202405</v>
      </c>
      <c r="AF11" s="23">
        <f t="shared" si="0"/>
        <v>202406</v>
      </c>
      <c r="AG11" s="23">
        <f t="shared" si="0"/>
        <v>202407</v>
      </c>
      <c r="AH11" s="23">
        <f t="shared" si="0"/>
        <v>202408</v>
      </c>
      <c r="AI11" s="23">
        <f t="shared" si="0"/>
        <v>202409</v>
      </c>
      <c r="AJ11" s="23">
        <f t="shared" si="0"/>
        <v>202410</v>
      </c>
      <c r="AK11" s="23">
        <f t="shared" si="0"/>
        <v>202411</v>
      </c>
      <c r="AL11" s="23">
        <f t="shared" si="0"/>
        <v>202412</v>
      </c>
      <c r="AM11" s="23">
        <f>+AA11+100</f>
        <v>202501</v>
      </c>
      <c r="AN11" s="23">
        <f t="shared" si="0"/>
        <v>202502</v>
      </c>
      <c r="AO11" s="23">
        <f t="shared" si="0"/>
        <v>202503</v>
      </c>
      <c r="AP11" s="23">
        <f t="shared" si="0"/>
        <v>202504</v>
      </c>
      <c r="AQ11" s="23">
        <f t="shared" si="0"/>
        <v>202505</v>
      </c>
      <c r="AR11" s="23">
        <f t="shared" si="0"/>
        <v>202506</v>
      </c>
      <c r="AS11" s="23">
        <f t="shared" si="0"/>
        <v>202507</v>
      </c>
      <c r="AT11" s="23">
        <f t="shared" si="0"/>
        <v>202508</v>
      </c>
      <c r="AU11" s="23">
        <f t="shared" si="0"/>
        <v>202509</v>
      </c>
      <c r="AV11" s="23">
        <f t="shared" si="0"/>
        <v>202510</v>
      </c>
      <c r="AW11" s="23">
        <f t="shared" si="0"/>
        <v>202511</v>
      </c>
      <c r="AX11" s="23">
        <f t="shared" si="0"/>
        <v>202512</v>
      </c>
      <c r="AY11" s="23">
        <f>+AM11+100</f>
        <v>202601</v>
      </c>
      <c r="AZ11" s="23">
        <f t="shared" si="0"/>
        <v>202602</v>
      </c>
      <c r="BA11" s="23">
        <f t="shared" si="0"/>
        <v>202603</v>
      </c>
      <c r="BB11" s="23">
        <f t="shared" si="0"/>
        <v>202604</v>
      </c>
      <c r="BC11" s="23">
        <f t="shared" si="0"/>
        <v>202605</v>
      </c>
      <c r="BD11" s="23">
        <f t="shared" si="0"/>
        <v>202606</v>
      </c>
      <c r="BE11" s="23">
        <f t="shared" si="0"/>
        <v>202607</v>
      </c>
      <c r="BF11" s="23">
        <f t="shared" si="0"/>
        <v>202608</v>
      </c>
      <c r="BG11" s="23">
        <f t="shared" si="0"/>
        <v>202609</v>
      </c>
      <c r="BH11" s="23">
        <f t="shared" si="0"/>
        <v>202610</v>
      </c>
      <c r="BI11" s="23">
        <f t="shared" si="0"/>
        <v>202611</v>
      </c>
      <c r="BJ11" s="23">
        <f t="shared" si="0"/>
        <v>202612</v>
      </c>
      <c r="BK11" s="23">
        <f>+AY11+100</f>
        <v>202701</v>
      </c>
      <c r="BL11" s="23">
        <f t="shared" si="0"/>
        <v>202702</v>
      </c>
      <c r="BM11" s="23">
        <f t="shared" si="0"/>
        <v>202703</v>
      </c>
      <c r="BN11" s="23">
        <f t="shared" si="0"/>
        <v>202704</v>
      </c>
      <c r="BO11" s="23">
        <f t="shared" si="0"/>
        <v>202705</v>
      </c>
      <c r="BP11" s="23">
        <f t="shared" si="0"/>
        <v>202706</v>
      </c>
      <c r="BQ11" s="23">
        <f t="shared" si="0"/>
        <v>202707</v>
      </c>
      <c r="BR11" s="23">
        <f t="shared" si="0"/>
        <v>202708</v>
      </c>
      <c r="BS11" s="23">
        <f>BR11+1</f>
        <v>202709</v>
      </c>
      <c r="BT11" s="23">
        <f>BS11+1</f>
        <v>202710</v>
      </c>
      <c r="BU11" s="23">
        <f>BT11+1</f>
        <v>202711</v>
      </c>
      <c r="BV11" s="23">
        <f>BU11+1</f>
        <v>202712</v>
      </c>
    </row>
    <row r="12" spans="1:74" s="7" customFormat="1" ht="10.199999999999999" x14ac:dyDescent="0.2">
      <c r="A12" s="20"/>
      <c r="B12" s="24" t="s">
        <v>140</v>
      </c>
      <c r="C12" s="25">
        <v>337</v>
      </c>
      <c r="D12" s="25">
        <v>338</v>
      </c>
      <c r="E12" s="25">
        <v>339</v>
      </c>
      <c r="F12" s="25">
        <v>340</v>
      </c>
      <c r="G12" s="25">
        <v>341</v>
      </c>
      <c r="H12" s="25">
        <v>342</v>
      </c>
      <c r="I12" s="25">
        <v>343</v>
      </c>
      <c r="J12" s="25">
        <v>344</v>
      </c>
      <c r="K12" s="25">
        <v>345</v>
      </c>
      <c r="L12" s="25">
        <v>346</v>
      </c>
      <c r="M12" s="25">
        <v>347</v>
      </c>
      <c r="N12" s="25">
        <v>348</v>
      </c>
      <c r="O12" s="25">
        <v>349</v>
      </c>
      <c r="P12" s="25">
        <v>350</v>
      </c>
      <c r="Q12" s="25">
        <v>351</v>
      </c>
      <c r="R12" s="25">
        <v>352</v>
      </c>
      <c r="S12" s="25">
        <v>353</v>
      </c>
      <c r="T12" s="25">
        <v>354</v>
      </c>
      <c r="U12" s="25">
        <v>355</v>
      </c>
      <c r="V12" s="25">
        <v>356</v>
      </c>
      <c r="W12" s="25">
        <v>357</v>
      </c>
      <c r="X12" s="25">
        <v>358</v>
      </c>
      <c r="Y12" s="25">
        <v>359</v>
      </c>
      <c r="Z12" s="25">
        <v>360</v>
      </c>
      <c r="AA12" s="25">
        <v>361</v>
      </c>
      <c r="AB12" s="25">
        <v>362</v>
      </c>
      <c r="AC12" s="25">
        <v>363</v>
      </c>
      <c r="AD12" s="25">
        <v>364</v>
      </c>
      <c r="AE12" s="25">
        <v>365</v>
      </c>
      <c r="AF12" s="25">
        <v>366</v>
      </c>
      <c r="AG12" s="25">
        <v>367</v>
      </c>
      <c r="AH12" s="25">
        <v>368</v>
      </c>
      <c r="AI12" s="25">
        <v>369</v>
      </c>
      <c r="AJ12" s="25">
        <v>370</v>
      </c>
      <c r="AK12" s="25">
        <v>371</v>
      </c>
      <c r="AL12" s="25">
        <v>372</v>
      </c>
      <c r="AM12" s="25">
        <v>373</v>
      </c>
      <c r="AN12" s="25">
        <v>374</v>
      </c>
      <c r="AO12" s="25">
        <v>375</v>
      </c>
      <c r="AP12" s="25">
        <v>376</v>
      </c>
      <c r="AQ12" s="25">
        <v>377</v>
      </c>
      <c r="AR12" s="25">
        <v>378</v>
      </c>
      <c r="AS12" s="25">
        <v>379</v>
      </c>
      <c r="AT12" s="25">
        <v>380</v>
      </c>
      <c r="AU12" s="25">
        <v>381</v>
      </c>
      <c r="AV12" s="25">
        <v>382</v>
      </c>
      <c r="AW12" s="25">
        <v>383</v>
      </c>
      <c r="AX12" s="25">
        <v>384</v>
      </c>
      <c r="AY12" s="25">
        <v>385</v>
      </c>
      <c r="AZ12" s="25">
        <v>386</v>
      </c>
      <c r="BA12" s="25">
        <v>387</v>
      </c>
      <c r="BB12" s="25">
        <v>388</v>
      </c>
      <c r="BC12" s="25">
        <v>389</v>
      </c>
      <c r="BD12" s="25">
        <v>390</v>
      </c>
      <c r="BE12" s="25">
        <v>391</v>
      </c>
      <c r="BF12" s="25">
        <v>392</v>
      </c>
      <c r="BG12" s="25">
        <v>393</v>
      </c>
      <c r="BH12" s="25">
        <v>394</v>
      </c>
      <c r="BI12" s="25">
        <v>395</v>
      </c>
      <c r="BJ12" s="25">
        <v>396</v>
      </c>
      <c r="BK12" s="25">
        <v>397</v>
      </c>
      <c r="BL12" s="25">
        <v>398</v>
      </c>
      <c r="BM12" s="25">
        <v>399</v>
      </c>
      <c r="BN12" s="25">
        <v>400</v>
      </c>
      <c r="BO12" s="25">
        <v>401</v>
      </c>
      <c r="BP12" s="25">
        <v>402</v>
      </c>
      <c r="BQ12" s="25">
        <v>403</v>
      </c>
      <c r="BR12" s="25">
        <v>404</v>
      </c>
      <c r="BS12" s="25">
        <v>405</v>
      </c>
      <c r="BT12" s="25">
        <v>406</v>
      </c>
      <c r="BU12" s="25">
        <v>407</v>
      </c>
      <c r="BV12" s="25">
        <v>408</v>
      </c>
    </row>
    <row r="13" spans="1:74" s="117" customFormat="1" x14ac:dyDescent="0.25">
      <c r="B13" s="24" t="s">
        <v>556</v>
      </c>
      <c r="C13" s="25">
        <f>IF(C11&lt;=$D$7,1,0)</f>
        <v>1</v>
      </c>
      <c r="D13" s="25">
        <f t="shared" ref="D13:BO13" si="1">IF(D11&lt;=$D$7,1,0)</f>
        <v>1</v>
      </c>
      <c r="E13" s="25">
        <f t="shared" si="1"/>
        <v>1</v>
      </c>
      <c r="F13" s="25">
        <f t="shared" si="1"/>
        <v>1</v>
      </c>
      <c r="G13" s="25">
        <f t="shared" si="1"/>
        <v>1</v>
      </c>
      <c r="H13" s="25">
        <f t="shared" si="1"/>
        <v>1</v>
      </c>
      <c r="I13" s="25">
        <f t="shared" si="1"/>
        <v>1</v>
      </c>
      <c r="J13" s="25">
        <f t="shared" si="1"/>
        <v>1</v>
      </c>
      <c r="K13" s="25">
        <f t="shared" si="1"/>
        <v>1</v>
      </c>
      <c r="L13" s="25">
        <f t="shared" si="1"/>
        <v>1</v>
      </c>
      <c r="M13" s="25">
        <f t="shared" si="1"/>
        <v>1</v>
      </c>
      <c r="N13" s="25">
        <f t="shared" si="1"/>
        <v>1</v>
      </c>
      <c r="O13" s="25">
        <f t="shared" si="1"/>
        <v>1</v>
      </c>
      <c r="P13" s="25">
        <f t="shared" si="1"/>
        <v>1</v>
      </c>
      <c r="Q13" s="25">
        <f t="shared" si="1"/>
        <v>1</v>
      </c>
      <c r="R13" s="25">
        <f t="shared" si="1"/>
        <v>1</v>
      </c>
      <c r="S13" s="25">
        <f t="shared" si="1"/>
        <v>1</v>
      </c>
      <c r="T13" s="25">
        <f t="shared" si="1"/>
        <v>1</v>
      </c>
      <c r="U13" s="25">
        <f t="shared" si="1"/>
        <v>1</v>
      </c>
      <c r="V13" s="25">
        <f t="shared" si="1"/>
        <v>1</v>
      </c>
      <c r="W13" s="25">
        <f t="shared" si="1"/>
        <v>1</v>
      </c>
      <c r="X13" s="25">
        <f t="shared" si="1"/>
        <v>1</v>
      </c>
      <c r="Y13" s="25">
        <f t="shared" si="1"/>
        <v>1</v>
      </c>
      <c r="Z13" s="25">
        <f t="shared" si="1"/>
        <v>1</v>
      </c>
      <c r="AA13" s="25">
        <f t="shared" si="1"/>
        <v>1</v>
      </c>
      <c r="AB13" s="25">
        <f t="shared" si="1"/>
        <v>1</v>
      </c>
      <c r="AC13" s="25">
        <f t="shared" si="1"/>
        <v>1</v>
      </c>
      <c r="AD13" s="25">
        <f t="shared" si="1"/>
        <v>1</v>
      </c>
      <c r="AE13" s="25">
        <f t="shared" si="1"/>
        <v>1</v>
      </c>
      <c r="AF13" s="25">
        <f t="shared" si="1"/>
        <v>1</v>
      </c>
      <c r="AG13" s="25">
        <f t="shared" si="1"/>
        <v>1</v>
      </c>
      <c r="AH13" s="25">
        <f t="shared" si="1"/>
        <v>1</v>
      </c>
      <c r="AI13" s="25">
        <f t="shared" si="1"/>
        <v>1</v>
      </c>
      <c r="AJ13" s="25">
        <f t="shared" si="1"/>
        <v>1</v>
      </c>
      <c r="AK13" s="25">
        <f t="shared" si="1"/>
        <v>1</v>
      </c>
      <c r="AL13" s="25">
        <f t="shared" si="1"/>
        <v>1</v>
      </c>
      <c r="AM13" s="25">
        <f t="shared" si="1"/>
        <v>1</v>
      </c>
      <c r="AN13" s="25">
        <f t="shared" si="1"/>
        <v>1</v>
      </c>
      <c r="AO13" s="25">
        <f t="shared" si="1"/>
        <v>1</v>
      </c>
      <c r="AP13" s="25">
        <f t="shared" si="1"/>
        <v>1</v>
      </c>
      <c r="AQ13" s="25">
        <f t="shared" si="1"/>
        <v>1</v>
      </c>
      <c r="AR13" s="25">
        <f t="shared" si="1"/>
        <v>1</v>
      </c>
      <c r="AS13" s="25">
        <f t="shared" si="1"/>
        <v>1</v>
      </c>
      <c r="AT13" s="25">
        <f t="shared" si="1"/>
        <v>1</v>
      </c>
      <c r="AU13" s="25">
        <f t="shared" si="1"/>
        <v>1</v>
      </c>
      <c r="AV13" s="25">
        <f t="shared" si="1"/>
        <v>1</v>
      </c>
      <c r="AW13" s="25">
        <f t="shared" si="1"/>
        <v>1</v>
      </c>
      <c r="AX13" s="25">
        <f t="shared" si="1"/>
        <v>1</v>
      </c>
      <c r="AY13" s="25">
        <f t="shared" si="1"/>
        <v>1</v>
      </c>
      <c r="AZ13" s="25">
        <f t="shared" si="1"/>
        <v>1</v>
      </c>
      <c r="BA13" s="25">
        <f t="shared" si="1"/>
        <v>1</v>
      </c>
      <c r="BB13" s="25">
        <f t="shared" si="1"/>
        <v>1</v>
      </c>
      <c r="BC13" s="25">
        <f t="shared" si="1"/>
        <v>1</v>
      </c>
      <c r="BD13" s="25">
        <f t="shared" si="1"/>
        <v>1</v>
      </c>
      <c r="BE13" s="25">
        <f t="shared" si="1"/>
        <v>1</v>
      </c>
      <c r="BF13" s="25">
        <f t="shared" si="1"/>
        <v>1</v>
      </c>
      <c r="BG13" s="25">
        <f t="shared" si="1"/>
        <v>1</v>
      </c>
      <c r="BH13" s="25">
        <f t="shared" si="1"/>
        <v>0</v>
      </c>
      <c r="BI13" s="25">
        <f t="shared" si="1"/>
        <v>0</v>
      </c>
      <c r="BJ13" s="25">
        <f t="shared" si="1"/>
        <v>0</v>
      </c>
      <c r="BK13" s="25">
        <f t="shared" si="1"/>
        <v>0</v>
      </c>
      <c r="BL13" s="25">
        <f t="shared" si="1"/>
        <v>0</v>
      </c>
      <c r="BM13" s="25">
        <f t="shared" si="1"/>
        <v>0</v>
      </c>
      <c r="BN13" s="25">
        <f t="shared" si="1"/>
        <v>0</v>
      </c>
      <c r="BO13" s="25">
        <f t="shared" si="1"/>
        <v>0</v>
      </c>
      <c r="BP13" s="25">
        <f t="shared" ref="BP13:BV13" si="2">IF(BP11&lt;=$D$7,1,0)</f>
        <v>0</v>
      </c>
      <c r="BQ13" s="25">
        <f t="shared" si="2"/>
        <v>0</v>
      </c>
      <c r="BR13" s="25">
        <f t="shared" si="2"/>
        <v>0</v>
      </c>
      <c r="BS13" s="25">
        <f t="shared" si="2"/>
        <v>0</v>
      </c>
      <c r="BT13" s="25">
        <f t="shared" si="2"/>
        <v>0</v>
      </c>
      <c r="BU13" s="25">
        <f t="shared" si="2"/>
        <v>0</v>
      </c>
      <c r="BV13" s="25">
        <f t="shared" si="2"/>
        <v>0</v>
      </c>
    </row>
  </sheetData>
  <mergeCells count="3">
    <mergeCell ref="D9:E9"/>
    <mergeCell ref="D2:F2"/>
    <mergeCell ref="D1:F1"/>
  </mergeCells>
  <phoneticPr fontId="4"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transitionEntry="1" codeName="Sheet1">
    <pageSetUpPr fitToPage="1"/>
  </sheetPr>
  <dimension ref="A1:BV144"/>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BF26" sqref="BF26"/>
    </sheetView>
  </sheetViews>
  <sheetFormatPr defaultColWidth="9.5546875" defaultRowHeight="10.199999999999999" x14ac:dyDescent="0.2"/>
  <cols>
    <col min="1" max="1" width="10.5546875" style="8" customWidth="1"/>
    <col min="2" max="2" width="40.44140625" style="8" customWidth="1"/>
    <col min="3" max="3" width="6.88671875" style="8" customWidth="1"/>
    <col min="4" max="50" width="6.5546875" style="8" customWidth="1"/>
    <col min="51" max="55" width="6.5546875" style="821" customWidth="1"/>
    <col min="56" max="58" width="6.5546875" style="327" customWidth="1"/>
    <col min="59" max="61" width="6.5546875" style="821" customWidth="1"/>
    <col min="62" max="62" width="6.5546875" style="152" customWidth="1"/>
    <col min="63" max="74" width="6.5546875" style="8" customWidth="1"/>
    <col min="75" max="16384" width="9.5546875" style="8"/>
  </cols>
  <sheetData>
    <row r="1" spans="1:74" ht="13.35" customHeight="1" x14ac:dyDescent="0.25">
      <c r="A1" s="992" t="s">
        <v>477</v>
      </c>
      <c r="B1" s="998" t="s">
        <v>537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3.2" x14ac:dyDescent="0.25">
      <c r="A2" s="993"/>
      <c r="B2" s="222" t="str">
        <f>"U.S. Energy Information Administration  |  Short-Term Energy Outlook  - "&amp;Dates!D1</f>
        <v>U.S. Energy Information Administration  |  Short-Term Energy Outlook  - October 2026</v>
      </c>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6"/>
      <c r="B5" s="27" t="s">
        <v>929</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877"/>
      <c r="BA5" s="877"/>
      <c r="BB5" s="877"/>
      <c r="BC5" s="877"/>
      <c r="BD5" s="949"/>
      <c r="BE5" s="949"/>
      <c r="BF5" s="949"/>
      <c r="BG5" s="949"/>
      <c r="BH5" s="853"/>
      <c r="BI5" s="853"/>
      <c r="BJ5" s="374"/>
      <c r="BK5" s="374"/>
      <c r="BL5" s="374"/>
      <c r="BM5" s="374"/>
      <c r="BN5" s="374"/>
      <c r="BO5" s="374"/>
      <c r="BP5" s="374"/>
      <c r="BQ5" s="374"/>
      <c r="BR5" s="374"/>
      <c r="BS5" s="374"/>
      <c r="BT5" s="374"/>
      <c r="BU5" s="374"/>
      <c r="BV5" s="374"/>
    </row>
    <row r="6" spans="1:74" ht="11.1" customHeight="1" x14ac:dyDescent="0.2">
      <c r="A6" s="29" t="s">
        <v>252</v>
      </c>
      <c r="B6" s="379" t="s">
        <v>917</v>
      </c>
      <c r="C6" s="341">
        <v>83.22</v>
      </c>
      <c r="D6" s="341">
        <v>91.64</v>
      </c>
      <c r="E6" s="341">
        <v>108.5</v>
      </c>
      <c r="F6" s="341">
        <v>101.78</v>
      </c>
      <c r="G6" s="341">
        <v>109.55</v>
      </c>
      <c r="H6" s="341">
        <v>114.84</v>
      </c>
      <c r="I6" s="341">
        <v>101.62</v>
      </c>
      <c r="J6" s="341">
        <v>93.67</v>
      </c>
      <c r="K6" s="341">
        <v>84.26</v>
      </c>
      <c r="L6" s="341">
        <v>87.55</v>
      </c>
      <c r="M6" s="341">
        <v>84.37</v>
      </c>
      <c r="N6" s="341">
        <v>76.44</v>
      </c>
      <c r="O6" s="341">
        <v>78.12</v>
      </c>
      <c r="P6" s="341">
        <v>76.83</v>
      </c>
      <c r="Q6" s="341">
        <v>73.28</v>
      </c>
      <c r="R6" s="341">
        <v>79.45</v>
      </c>
      <c r="S6" s="341">
        <v>71.58</v>
      </c>
      <c r="T6" s="341">
        <v>70.25</v>
      </c>
      <c r="U6" s="341">
        <v>76.069999999999993</v>
      </c>
      <c r="V6" s="341">
        <v>81.39</v>
      </c>
      <c r="W6" s="341">
        <v>89.43</v>
      </c>
      <c r="X6" s="341">
        <v>85.64</v>
      </c>
      <c r="Y6" s="341">
        <v>77.69</v>
      </c>
      <c r="Z6" s="341">
        <v>71.900000000000006</v>
      </c>
      <c r="AA6" s="341">
        <v>74.150000000000006</v>
      </c>
      <c r="AB6" s="341">
        <v>77.25</v>
      </c>
      <c r="AC6" s="341">
        <v>81.28</v>
      </c>
      <c r="AD6" s="341">
        <v>85.35</v>
      </c>
      <c r="AE6" s="341">
        <v>80.02</v>
      </c>
      <c r="AF6" s="341">
        <v>79.77</v>
      </c>
      <c r="AG6" s="341">
        <v>81.8</v>
      </c>
      <c r="AH6" s="341">
        <v>76.680000000000007</v>
      </c>
      <c r="AI6" s="341">
        <v>70.239999999999995</v>
      </c>
      <c r="AJ6" s="341">
        <v>71.989999999999995</v>
      </c>
      <c r="AK6" s="341">
        <v>69.95</v>
      </c>
      <c r="AL6" s="341">
        <v>70.12</v>
      </c>
      <c r="AM6" s="341">
        <v>75.739999999999995</v>
      </c>
      <c r="AN6" s="341">
        <v>71.53</v>
      </c>
      <c r="AO6" s="341">
        <v>68.239999999999995</v>
      </c>
      <c r="AP6" s="341">
        <v>63.54</v>
      </c>
      <c r="AQ6" s="341">
        <v>62.17</v>
      </c>
      <c r="AR6" s="341">
        <v>68.17</v>
      </c>
      <c r="AS6" s="341">
        <v>68.39</v>
      </c>
      <c r="AT6" s="341">
        <v>64.86</v>
      </c>
      <c r="AU6" s="341">
        <v>63.96</v>
      </c>
      <c r="AV6" s="341">
        <v>60.89</v>
      </c>
      <c r="AW6" s="341">
        <v>60.06</v>
      </c>
      <c r="AX6" s="341">
        <v>57.97</v>
      </c>
      <c r="AY6" s="341">
        <v>60.04</v>
      </c>
      <c r="AZ6" s="867">
        <v>64.510000000000005</v>
      </c>
      <c r="BA6" s="867">
        <v>91.38</v>
      </c>
      <c r="BB6" s="867">
        <v>100.32</v>
      </c>
      <c r="BC6" s="867">
        <v>102.13</v>
      </c>
      <c r="BD6" s="867">
        <v>84.81</v>
      </c>
      <c r="BE6" s="867">
        <v>80.459999999999994</v>
      </c>
      <c r="BF6" s="867">
        <v>83.9</v>
      </c>
      <c r="BG6" s="867">
        <v>97.31</v>
      </c>
      <c r="BH6" s="352">
        <v>100</v>
      </c>
      <c r="BI6" s="352">
        <v>97</v>
      </c>
      <c r="BJ6" s="352">
        <v>94</v>
      </c>
      <c r="BK6" s="352">
        <v>93</v>
      </c>
      <c r="BL6" s="352">
        <v>91</v>
      </c>
      <c r="BM6" s="352">
        <v>89</v>
      </c>
      <c r="BN6" s="352">
        <v>86</v>
      </c>
      <c r="BO6" s="352">
        <v>83</v>
      </c>
      <c r="BP6" s="352">
        <v>80</v>
      </c>
      <c r="BQ6" s="352">
        <v>78</v>
      </c>
      <c r="BR6" s="352">
        <v>76</v>
      </c>
      <c r="BS6" s="352">
        <v>74</v>
      </c>
      <c r="BT6" s="352">
        <v>72</v>
      </c>
      <c r="BU6" s="352">
        <v>70</v>
      </c>
      <c r="BV6" s="352">
        <v>68</v>
      </c>
    </row>
    <row r="7" spans="1:74" ht="11.1" customHeight="1" x14ac:dyDescent="0.2">
      <c r="A7" s="29" t="s">
        <v>54</v>
      </c>
      <c r="B7" s="379" t="s">
        <v>918</v>
      </c>
      <c r="C7" s="341">
        <v>86.51</v>
      </c>
      <c r="D7" s="341">
        <v>97.13</v>
      </c>
      <c r="E7" s="341">
        <v>117.25</v>
      </c>
      <c r="F7" s="341">
        <v>104.58</v>
      </c>
      <c r="G7" s="341">
        <v>113.34</v>
      </c>
      <c r="H7" s="341">
        <v>122.71</v>
      </c>
      <c r="I7" s="341">
        <v>111.93</v>
      </c>
      <c r="J7" s="341">
        <v>100.45</v>
      </c>
      <c r="K7" s="341">
        <v>89.76</v>
      </c>
      <c r="L7" s="341">
        <v>93.33</v>
      </c>
      <c r="M7" s="341">
        <v>91.42</v>
      </c>
      <c r="N7" s="341">
        <v>80.92</v>
      </c>
      <c r="O7" s="341">
        <v>82.5</v>
      </c>
      <c r="P7" s="341">
        <v>82.59</v>
      </c>
      <c r="Q7" s="341">
        <v>78.430000000000007</v>
      </c>
      <c r="R7" s="341">
        <v>84.64</v>
      </c>
      <c r="S7" s="341">
        <v>75.47</v>
      </c>
      <c r="T7" s="341">
        <v>74.84</v>
      </c>
      <c r="U7" s="341">
        <v>80.11</v>
      </c>
      <c r="V7" s="341">
        <v>86.15</v>
      </c>
      <c r="W7" s="341">
        <v>93.72</v>
      </c>
      <c r="X7" s="341">
        <v>90.6</v>
      </c>
      <c r="Y7" s="341">
        <v>82.94</v>
      </c>
      <c r="Z7" s="341">
        <v>77.63</v>
      </c>
      <c r="AA7" s="341">
        <v>80.12</v>
      </c>
      <c r="AB7" s="341">
        <v>83.48</v>
      </c>
      <c r="AC7" s="341">
        <v>85.41</v>
      </c>
      <c r="AD7" s="341">
        <v>89.94</v>
      </c>
      <c r="AE7" s="341">
        <v>81.75</v>
      </c>
      <c r="AF7" s="341">
        <v>82.25</v>
      </c>
      <c r="AG7" s="341">
        <v>85.15</v>
      </c>
      <c r="AH7" s="341">
        <v>80.36</v>
      </c>
      <c r="AI7" s="341">
        <v>74.02</v>
      </c>
      <c r="AJ7" s="341">
        <v>75.63</v>
      </c>
      <c r="AK7" s="341">
        <v>74.349999999999994</v>
      </c>
      <c r="AL7" s="341">
        <v>73.86</v>
      </c>
      <c r="AM7" s="341">
        <v>79.27</v>
      </c>
      <c r="AN7" s="341">
        <v>75.44</v>
      </c>
      <c r="AO7" s="341">
        <v>72.73</v>
      </c>
      <c r="AP7" s="341">
        <v>68.13</v>
      </c>
      <c r="AQ7" s="341">
        <v>64.45</v>
      </c>
      <c r="AR7" s="341">
        <v>71.44</v>
      </c>
      <c r="AS7" s="341">
        <v>71.040000000000006</v>
      </c>
      <c r="AT7" s="341">
        <v>67.87</v>
      </c>
      <c r="AU7" s="341">
        <v>67.989999999999995</v>
      </c>
      <c r="AV7" s="341">
        <v>64.540000000000006</v>
      </c>
      <c r="AW7" s="341">
        <v>63.8</v>
      </c>
      <c r="AX7" s="341">
        <v>62.54</v>
      </c>
      <c r="AY7" s="341">
        <v>66.599999999999994</v>
      </c>
      <c r="AZ7" s="867">
        <v>70.89</v>
      </c>
      <c r="BA7" s="867">
        <v>103.13</v>
      </c>
      <c r="BB7" s="867">
        <v>117.29</v>
      </c>
      <c r="BC7" s="867">
        <v>107.14</v>
      </c>
      <c r="BD7" s="867">
        <v>85.4</v>
      </c>
      <c r="BE7" s="867">
        <v>83.76</v>
      </c>
      <c r="BF7" s="867">
        <v>91.08</v>
      </c>
      <c r="BG7" s="867">
        <v>114.16</v>
      </c>
      <c r="BH7" s="352">
        <v>111</v>
      </c>
      <c r="BI7" s="352">
        <v>104</v>
      </c>
      <c r="BJ7" s="352">
        <v>99</v>
      </c>
      <c r="BK7" s="352">
        <v>97</v>
      </c>
      <c r="BL7" s="352">
        <v>95</v>
      </c>
      <c r="BM7" s="352">
        <v>93</v>
      </c>
      <c r="BN7" s="352">
        <v>90</v>
      </c>
      <c r="BO7" s="352">
        <v>87</v>
      </c>
      <c r="BP7" s="352">
        <v>84</v>
      </c>
      <c r="BQ7" s="352">
        <v>82</v>
      </c>
      <c r="BR7" s="352">
        <v>80</v>
      </c>
      <c r="BS7" s="352">
        <v>78</v>
      </c>
      <c r="BT7" s="352">
        <v>76</v>
      </c>
      <c r="BU7" s="352">
        <v>74</v>
      </c>
      <c r="BV7" s="352">
        <v>72</v>
      </c>
    </row>
    <row r="8" spans="1:74" ht="11.1" customHeight="1" x14ac:dyDescent="0.2">
      <c r="A8" s="29" t="s">
        <v>251</v>
      </c>
      <c r="B8" s="380" t="s">
        <v>919</v>
      </c>
      <c r="C8" s="341">
        <v>76.92</v>
      </c>
      <c r="D8" s="341">
        <v>87.73</v>
      </c>
      <c r="E8" s="341">
        <v>104.39</v>
      </c>
      <c r="F8" s="341">
        <v>102.7</v>
      </c>
      <c r="G8" s="341">
        <v>108.71</v>
      </c>
      <c r="H8" s="341">
        <v>112.06</v>
      </c>
      <c r="I8" s="341">
        <v>99.67</v>
      </c>
      <c r="J8" s="341">
        <v>92.21</v>
      </c>
      <c r="K8" s="341">
        <v>83.3</v>
      </c>
      <c r="L8" s="341">
        <v>84.26</v>
      </c>
      <c r="M8" s="341">
        <v>79.31</v>
      </c>
      <c r="N8" s="341">
        <v>70.89</v>
      </c>
      <c r="O8" s="341">
        <v>70.319999999999993</v>
      </c>
      <c r="P8" s="341">
        <v>69.67</v>
      </c>
      <c r="Q8" s="341">
        <v>68.53</v>
      </c>
      <c r="R8" s="341">
        <v>75.23</v>
      </c>
      <c r="S8" s="341">
        <v>70.05</v>
      </c>
      <c r="T8" s="341">
        <v>69.58</v>
      </c>
      <c r="U8" s="341">
        <v>74.83</v>
      </c>
      <c r="V8" s="341">
        <v>81.099999999999994</v>
      </c>
      <c r="W8" s="341">
        <v>87.14</v>
      </c>
      <c r="X8" s="341">
        <v>83.21</v>
      </c>
      <c r="Y8" s="341">
        <v>76.42</v>
      </c>
      <c r="Z8" s="341">
        <v>68.09</v>
      </c>
      <c r="AA8" s="341">
        <v>69.28</v>
      </c>
      <c r="AB8" s="341">
        <v>72.91</v>
      </c>
      <c r="AC8" s="341">
        <v>75.88</v>
      </c>
      <c r="AD8" s="341">
        <v>81.87</v>
      </c>
      <c r="AE8" s="341">
        <v>78.34</v>
      </c>
      <c r="AF8" s="341">
        <v>78.790000000000006</v>
      </c>
      <c r="AG8" s="341">
        <v>79.67</v>
      </c>
      <c r="AH8" s="341">
        <v>74.67</v>
      </c>
      <c r="AI8" s="341">
        <v>69.61</v>
      </c>
      <c r="AJ8" s="341">
        <v>70.91</v>
      </c>
      <c r="AK8" s="341">
        <v>69.08</v>
      </c>
      <c r="AL8" s="341">
        <v>68.209999999999994</v>
      </c>
      <c r="AM8" s="341">
        <v>72.650000000000006</v>
      </c>
      <c r="AN8" s="341">
        <v>71.14</v>
      </c>
      <c r="AO8" s="341">
        <v>67.48</v>
      </c>
      <c r="AP8" s="341">
        <v>63.53</v>
      </c>
      <c r="AQ8" s="341">
        <v>61.82</v>
      </c>
      <c r="AR8" s="341">
        <v>67.400000000000006</v>
      </c>
      <c r="AS8" s="341">
        <v>68.42</v>
      </c>
      <c r="AT8" s="341">
        <v>65.55</v>
      </c>
      <c r="AU8" s="341">
        <v>64.66</v>
      </c>
      <c r="AV8" s="341">
        <v>60.95</v>
      </c>
      <c r="AW8" s="341">
        <v>59.82</v>
      </c>
      <c r="AX8" s="341">
        <v>57.26</v>
      </c>
      <c r="AY8" s="341">
        <v>59.05</v>
      </c>
      <c r="AZ8" s="867">
        <v>61.43</v>
      </c>
      <c r="BA8" s="867">
        <v>84.81</v>
      </c>
      <c r="BB8" s="867">
        <v>95.97</v>
      </c>
      <c r="BC8" s="867">
        <v>99.01</v>
      </c>
      <c r="BD8" s="867">
        <v>83.77</v>
      </c>
      <c r="BE8" s="867">
        <v>79.94</v>
      </c>
      <c r="BF8" s="867">
        <v>85.15</v>
      </c>
      <c r="BG8" s="867">
        <v>97.81</v>
      </c>
      <c r="BH8" s="352">
        <v>100</v>
      </c>
      <c r="BI8" s="352">
        <v>97</v>
      </c>
      <c r="BJ8" s="352">
        <v>93.75</v>
      </c>
      <c r="BK8" s="352">
        <v>92.5</v>
      </c>
      <c r="BL8" s="352">
        <v>90.5</v>
      </c>
      <c r="BM8" s="352">
        <v>88.5</v>
      </c>
      <c r="BN8" s="352">
        <v>85.5</v>
      </c>
      <c r="BO8" s="352">
        <v>82.5</v>
      </c>
      <c r="BP8" s="352">
        <v>79.5</v>
      </c>
      <c r="BQ8" s="352">
        <v>77.5</v>
      </c>
      <c r="BR8" s="352">
        <v>75.5</v>
      </c>
      <c r="BS8" s="352">
        <v>73.5</v>
      </c>
      <c r="BT8" s="352">
        <v>71.5</v>
      </c>
      <c r="BU8" s="352">
        <v>69.5</v>
      </c>
      <c r="BV8" s="352">
        <v>67.5</v>
      </c>
    </row>
    <row r="9" spans="1:74" ht="11.1" customHeight="1" x14ac:dyDescent="0.2">
      <c r="A9" s="29" t="s">
        <v>467</v>
      </c>
      <c r="B9" s="380" t="s">
        <v>920</v>
      </c>
      <c r="C9" s="341">
        <v>80.260000000000005</v>
      </c>
      <c r="D9" s="341">
        <v>90.21</v>
      </c>
      <c r="E9" s="341">
        <v>106.98</v>
      </c>
      <c r="F9" s="341">
        <v>105.22</v>
      </c>
      <c r="G9" s="341">
        <v>110.43</v>
      </c>
      <c r="H9" s="341">
        <v>114.44</v>
      </c>
      <c r="I9" s="341">
        <v>102.82</v>
      </c>
      <c r="J9" s="341">
        <v>95.8</v>
      </c>
      <c r="K9" s="341">
        <v>86.57</v>
      </c>
      <c r="L9" s="341">
        <v>88.02</v>
      </c>
      <c r="M9" s="341">
        <v>84.57</v>
      </c>
      <c r="N9" s="341">
        <v>76.56</v>
      </c>
      <c r="O9" s="341">
        <v>75.7</v>
      </c>
      <c r="P9" s="341">
        <v>74.86</v>
      </c>
      <c r="Q9" s="341">
        <v>73</v>
      </c>
      <c r="R9" s="341">
        <v>78.53</v>
      </c>
      <c r="S9" s="341">
        <v>72.569999999999993</v>
      </c>
      <c r="T9" s="341">
        <v>71.39</v>
      </c>
      <c r="U9" s="341">
        <v>76.41</v>
      </c>
      <c r="V9" s="341">
        <v>81.78</v>
      </c>
      <c r="W9" s="341">
        <v>89.32</v>
      </c>
      <c r="X9" s="341">
        <v>86.6</v>
      </c>
      <c r="Y9" s="341">
        <v>79.7</v>
      </c>
      <c r="Z9" s="341">
        <v>72.34</v>
      </c>
      <c r="AA9" s="341">
        <v>73.28</v>
      </c>
      <c r="AB9" s="341">
        <v>76.2</v>
      </c>
      <c r="AC9" s="341">
        <v>79.67</v>
      </c>
      <c r="AD9" s="341">
        <v>84.47</v>
      </c>
      <c r="AE9" s="341">
        <v>80.7</v>
      </c>
      <c r="AF9" s="341">
        <v>80.28</v>
      </c>
      <c r="AG9" s="341">
        <v>81.5</v>
      </c>
      <c r="AH9" s="341">
        <v>77.39</v>
      </c>
      <c r="AI9" s="341">
        <v>71.75</v>
      </c>
      <c r="AJ9" s="341">
        <v>72.95</v>
      </c>
      <c r="AK9" s="341">
        <v>70.89</v>
      </c>
      <c r="AL9" s="341">
        <v>70.37</v>
      </c>
      <c r="AM9" s="341">
        <v>74.930000000000007</v>
      </c>
      <c r="AN9" s="341">
        <v>73.040000000000006</v>
      </c>
      <c r="AO9" s="341">
        <v>69.94</v>
      </c>
      <c r="AP9" s="341">
        <v>65.38</v>
      </c>
      <c r="AQ9" s="341">
        <v>63.26</v>
      </c>
      <c r="AR9" s="341">
        <v>68.11</v>
      </c>
      <c r="AS9" s="341">
        <v>69.3</v>
      </c>
      <c r="AT9" s="341">
        <v>66.73</v>
      </c>
      <c r="AU9" s="341">
        <v>65.66</v>
      </c>
      <c r="AV9" s="341">
        <v>62.4</v>
      </c>
      <c r="AW9" s="341">
        <v>61.22</v>
      </c>
      <c r="AX9" s="341">
        <v>59.09</v>
      </c>
      <c r="AY9" s="341">
        <v>60.6</v>
      </c>
      <c r="AZ9" s="867">
        <v>63.69</v>
      </c>
      <c r="BA9" s="867">
        <v>86.95</v>
      </c>
      <c r="BB9" s="867">
        <v>98.52</v>
      </c>
      <c r="BC9" s="867">
        <v>104.62</v>
      </c>
      <c r="BD9" s="867">
        <v>88.3</v>
      </c>
      <c r="BE9" s="867">
        <v>82.25</v>
      </c>
      <c r="BF9" s="867">
        <v>86.15</v>
      </c>
      <c r="BG9" s="867">
        <v>98.81</v>
      </c>
      <c r="BH9" s="352">
        <v>101</v>
      </c>
      <c r="BI9" s="352">
        <v>98</v>
      </c>
      <c r="BJ9" s="352">
        <v>94.75</v>
      </c>
      <c r="BK9" s="352">
        <v>93.5</v>
      </c>
      <c r="BL9" s="352">
        <v>91.5</v>
      </c>
      <c r="BM9" s="352">
        <v>89.5</v>
      </c>
      <c r="BN9" s="352">
        <v>86.5</v>
      </c>
      <c r="BO9" s="352">
        <v>83.5</v>
      </c>
      <c r="BP9" s="352">
        <v>80.5</v>
      </c>
      <c r="BQ9" s="352">
        <v>78.5</v>
      </c>
      <c r="BR9" s="352">
        <v>76.5</v>
      </c>
      <c r="BS9" s="352">
        <v>74.5</v>
      </c>
      <c r="BT9" s="352">
        <v>72.5</v>
      </c>
      <c r="BU9" s="352">
        <v>70.5</v>
      </c>
      <c r="BV9" s="352">
        <v>68.5</v>
      </c>
    </row>
    <row r="10" spans="1:74" ht="11.1" customHeight="1" x14ac:dyDescent="0.2">
      <c r="A10" s="26"/>
      <c r="B10" s="27" t="s">
        <v>1446</v>
      </c>
      <c r="C10" s="371"/>
      <c r="D10" s="371"/>
      <c r="E10" s="371"/>
      <c r="F10" s="371"/>
      <c r="G10" s="371"/>
      <c r="H10" s="371"/>
      <c r="I10" s="371"/>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878"/>
      <c r="BA10" s="878"/>
      <c r="BB10" s="878"/>
      <c r="BC10" s="878"/>
      <c r="BD10" s="878"/>
      <c r="BE10" s="878"/>
      <c r="BF10" s="878"/>
      <c r="BG10" s="878"/>
      <c r="BH10" s="375"/>
      <c r="BI10" s="375"/>
      <c r="BJ10" s="375"/>
      <c r="BK10" s="375"/>
      <c r="BL10" s="375"/>
      <c r="BM10" s="375"/>
      <c r="BN10" s="375"/>
      <c r="BO10" s="375"/>
      <c r="BP10" s="375"/>
      <c r="BQ10" s="375"/>
      <c r="BR10" s="375"/>
      <c r="BS10" s="375"/>
      <c r="BT10" s="375"/>
      <c r="BU10" s="375"/>
      <c r="BV10" s="375"/>
    </row>
    <row r="11" spans="1:74" ht="11.1" customHeight="1" x14ac:dyDescent="0.2">
      <c r="A11" s="321"/>
      <c r="B11" s="381" t="s">
        <v>921</v>
      </c>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878"/>
      <c r="BA11" s="878"/>
      <c r="BB11" s="878"/>
      <c r="BC11" s="878"/>
      <c r="BD11" s="878"/>
      <c r="BE11" s="878"/>
      <c r="BF11" s="878"/>
      <c r="BG11" s="878"/>
      <c r="BH11" s="375"/>
      <c r="BI11" s="375"/>
      <c r="BJ11" s="375"/>
      <c r="BK11" s="375"/>
      <c r="BL11" s="375"/>
      <c r="BM11" s="375"/>
      <c r="BN11" s="375"/>
      <c r="BO11" s="375"/>
      <c r="BP11" s="375"/>
      <c r="BQ11" s="375"/>
      <c r="BR11" s="375"/>
      <c r="BS11" s="375"/>
      <c r="BT11" s="375"/>
      <c r="BU11" s="375"/>
      <c r="BV11" s="375"/>
    </row>
    <row r="12" spans="1:74" ht="11.1" customHeight="1" x14ac:dyDescent="0.2">
      <c r="A12" s="320" t="s">
        <v>1146</v>
      </c>
      <c r="B12" s="383" t="s">
        <v>905</v>
      </c>
      <c r="C12" s="585">
        <v>2.423</v>
      </c>
      <c r="D12" s="585">
        <v>2.6389999999999998</v>
      </c>
      <c r="E12" s="585">
        <v>3.2320000000000002</v>
      </c>
      <c r="F12" s="585">
        <v>3.2595239999999999</v>
      </c>
      <c r="G12" s="585">
        <v>3.8660239999999999</v>
      </c>
      <c r="H12" s="585">
        <v>4.1233839999999997</v>
      </c>
      <c r="I12" s="585">
        <v>3.3764400000000001</v>
      </c>
      <c r="J12" s="585">
        <v>3.0518360000000002</v>
      </c>
      <c r="K12" s="585">
        <v>2.9032450000000001</v>
      </c>
      <c r="L12" s="585">
        <v>3.0013809999999999</v>
      </c>
      <c r="M12" s="585">
        <v>2.703665</v>
      </c>
      <c r="N12" s="585">
        <v>2.2908249999999999</v>
      </c>
      <c r="O12" s="585">
        <v>2.6160230000000002</v>
      </c>
      <c r="P12" s="585">
        <v>2.604257</v>
      </c>
      <c r="Q12" s="585">
        <v>2.6338602764000001</v>
      </c>
      <c r="R12" s="585">
        <v>2.7438575888000001</v>
      </c>
      <c r="S12" s="585">
        <v>2.5814268246999998</v>
      </c>
      <c r="T12" s="585">
        <v>2.6152202756</v>
      </c>
      <c r="U12" s="585">
        <v>2.7934427497000001</v>
      </c>
      <c r="V12" s="585">
        <v>3.0170080000000001</v>
      </c>
      <c r="W12" s="585">
        <v>3.068549</v>
      </c>
      <c r="X12" s="585">
        <v>2.4893019999999999</v>
      </c>
      <c r="Y12" s="585">
        <v>2.2987009999999999</v>
      </c>
      <c r="Z12" s="585">
        <v>2.1982930000000001</v>
      </c>
      <c r="AA12" s="585">
        <v>2.2642827313999998</v>
      </c>
      <c r="AB12" s="585">
        <v>2.4352118486999998</v>
      </c>
      <c r="AC12" s="585">
        <v>2.6523562835000001</v>
      </c>
      <c r="AD12" s="585">
        <v>2.8034567244000002</v>
      </c>
      <c r="AE12" s="585">
        <v>2.5435091390000002</v>
      </c>
      <c r="AF12" s="585">
        <v>2.4114263655000001</v>
      </c>
      <c r="AG12" s="585">
        <v>2.4652095768</v>
      </c>
      <c r="AH12" s="585">
        <v>2.3917494054000001</v>
      </c>
      <c r="AI12" s="585">
        <v>2.1459176799000002</v>
      </c>
      <c r="AJ12" s="585">
        <v>2.1766364573999999</v>
      </c>
      <c r="AK12" s="585">
        <v>2.1050561265000001</v>
      </c>
      <c r="AL12" s="585">
        <v>2.0561834808000001</v>
      </c>
      <c r="AM12" s="585">
        <v>2.1951967254999998</v>
      </c>
      <c r="AN12" s="585">
        <v>2.2283396567999998</v>
      </c>
      <c r="AO12" s="585">
        <v>2.1666084232</v>
      </c>
      <c r="AP12" s="585">
        <v>2.1332112376999999</v>
      </c>
      <c r="AQ12" s="585">
        <v>2.1693844436999998</v>
      </c>
      <c r="AR12" s="585">
        <v>2.1937823868000002</v>
      </c>
      <c r="AS12" s="585">
        <v>2.2164928535000001</v>
      </c>
      <c r="AT12" s="585">
        <v>2.2258000607000001</v>
      </c>
      <c r="AU12" s="585">
        <v>2.2261596049999999</v>
      </c>
      <c r="AV12" s="585">
        <v>2.0748896815000002</v>
      </c>
      <c r="AW12" s="585">
        <v>2.0923868091000002</v>
      </c>
      <c r="AX12" s="585">
        <v>1.8511044743</v>
      </c>
      <c r="AY12" s="585">
        <v>2.1686121374999998</v>
      </c>
      <c r="AZ12" s="879">
        <v>2.1644563648999999</v>
      </c>
      <c r="BA12" s="879">
        <v>3.0289521814999998</v>
      </c>
      <c r="BB12" s="879">
        <v>3.3926398989000002</v>
      </c>
      <c r="BC12" s="879">
        <v>3.6221450204000001</v>
      </c>
      <c r="BD12" s="879">
        <v>3.1255834066000001</v>
      </c>
      <c r="BE12" s="879">
        <v>3.3444167637</v>
      </c>
      <c r="BF12" s="879">
        <v>3.374161</v>
      </c>
      <c r="BG12" s="879">
        <v>3.763112</v>
      </c>
      <c r="BH12" s="590">
        <v>3.6102970000000001</v>
      </c>
      <c r="BI12" s="590">
        <v>3.2753190000000001</v>
      </c>
      <c r="BJ12" s="590">
        <v>2.9172370000000001</v>
      </c>
      <c r="BK12" s="590">
        <v>2.831213</v>
      </c>
      <c r="BL12" s="590">
        <v>2.8034539999999999</v>
      </c>
      <c r="BM12" s="590">
        <v>2.8770850000000001</v>
      </c>
      <c r="BN12" s="590">
        <v>2.8355649999999999</v>
      </c>
      <c r="BO12" s="590">
        <v>2.7802660000000001</v>
      </c>
      <c r="BP12" s="590">
        <v>2.701686</v>
      </c>
      <c r="BQ12" s="590">
        <v>2.6371120000000001</v>
      </c>
      <c r="BR12" s="590">
        <v>2.592892</v>
      </c>
      <c r="BS12" s="590">
        <v>2.4704540000000001</v>
      </c>
      <c r="BT12" s="590">
        <v>2.3532860000000002</v>
      </c>
      <c r="BU12" s="590">
        <v>2.2506469999999998</v>
      </c>
      <c r="BV12" s="590">
        <v>2.1051310000000001</v>
      </c>
    </row>
    <row r="13" spans="1:74" ht="11.1" customHeight="1" x14ac:dyDescent="0.2">
      <c r="A13" s="321" t="s">
        <v>1447</v>
      </c>
      <c r="B13" s="383" t="s">
        <v>906</v>
      </c>
      <c r="C13" s="585">
        <v>2.5499999999999998</v>
      </c>
      <c r="D13" s="585">
        <v>2.83</v>
      </c>
      <c r="E13" s="585">
        <v>3.5819999999999999</v>
      </c>
      <c r="F13" s="585">
        <v>3.9521679999999999</v>
      </c>
      <c r="G13" s="585">
        <v>4.2303040000000003</v>
      </c>
      <c r="H13" s="585">
        <v>4.3541809999999996</v>
      </c>
      <c r="I13" s="585">
        <v>3.687039</v>
      </c>
      <c r="J13" s="585">
        <v>3.5671659999999998</v>
      </c>
      <c r="K13" s="585">
        <v>3.4530249999999998</v>
      </c>
      <c r="L13" s="585">
        <v>4.1377860000000002</v>
      </c>
      <c r="M13" s="585">
        <v>3.6241099999999999</v>
      </c>
      <c r="N13" s="585">
        <v>3.0522079999999998</v>
      </c>
      <c r="O13" s="585">
        <v>3.2591489999999999</v>
      </c>
      <c r="P13" s="585">
        <v>2.8502640000000001</v>
      </c>
      <c r="Q13" s="585">
        <v>2.7421944740000002</v>
      </c>
      <c r="R13" s="585">
        <v>2.5714560627999998</v>
      </c>
      <c r="S13" s="585">
        <v>2.3690454403999999</v>
      </c>
      <c r="T13" s="585">
        <v>2.4273614601000002</v>
      </c>
      <c r="U13" s="585">
        <v>2.6877344390000002</v>
      </c>
      <c r="V13" s="585">
        <v>3.1552606996999999</v>
      </c>
      <c r="W13" s="585">
        <v>3.3905763629000001</v>
      </c>
      <c r="X13" s="585">
        <v>3.1139361444999998</v>
      </c>
      <c r="Y13" s="585">
        <v>2.8301276829000002</v>
      </c>
      <c r="Z13" s="585">
        <v>2.5413233986999999</v>
      </c>
      <c r="AA13" s="585">
        <v>2.6464435544999998</v>
      </c>
      <c r="AB13" s="585">
        <v>2.7776207339000001</v>
      </c>
      <c r="AC13" s="585">
        <v>2.6723150437999998</v>
      </c>
      <c r="AD13" s="585">
        <v>2.6386356820999999</v>
      </c>
      <c r="AE13" s="585">
        <v>2.4383423769000001</v>
      </c>
      <c r="AF13" s="585">
        <v>2.4533054415</v>
      </c>
      <c r="AG13" s="585">
        <v>2.4777910768</v>
      </c>
      <c r="AH13" s="585">
        <v>2.2974442043000001</v>
      </c>
      <c r="AI13" s="585">
        <v>2.1415838194000001</v>
      </c>
      <c r="AJ13" s="585">
        <v>2.2395334019000002</v>
      </c>
      <c r="AK13" s="585">
        <v>2.2342253667</v>
      </c>
      <c r="AL13" s="585">
        <v>2.2120718481999999</v>
      </c>
      <c r="AM13" s="585">
        <v>2.4847999932999998</v>
      </c>
      <c r="AN13" s="585">
        <v>2.4513003317000002</v>
      </c>
      <c r="AO13" s="585">
        <v>2.2489420649</v>
      </c>
      <c r="AP13" s="585">
        <v>2.1503305347000001</v>
      </c>
      <c r="AQ13" s="585">
        <v>2.0942350220999999</v>
      </c>
      <c r="AR13" s="585">
        <v>2.2935677169000002</v>
      </c>
      <c r="AS13" s="585">
        <v>2.4590416375999999</v>
      </c>
      <c r="AT13" s="585">
        <v>2.3019035487999999</v>
      </c>
      <c r="AU13" s="585">
        <v>2.3852202595000001</v>
      </c>
      <c r="AV13" s="585">
        <v>2.3194930287000002</v>
      </c>
      <c r="AW13" s="585">
        <v>2.4826255988999999</v>
      </c>
      <c r="AX13" s="585">
        <v>2.1866895520999998</v>
      </c>
      <c r="AY13" s="585">
        <v>2.2112700600999999</v>
      </c>
      <c r="AZ13" s="879">
        <v>2.4229404200000002</v>
      </c>
      <c r="BA13" s="879">
        <v>3.9229456119999999</v>
      </c>
      <c r="BB13" s="879">
        <v>4.0241645290000001</v>
      </c>
      <c r="BC13" s="879">
        <v>3.9668316928</v>
      </c>
      <c r="BD13" s="879">
        <v>3.4302381658000001</v>
      </c>
      <c r="BE13" s="879">
        <v>3.9358088092000001</v>
      </c>
      <c r="BF13" s="879">
        <v>4.274197</v>
      </c>
      <c r="BG13" s="879">
        <v>4.9663649999999997</v>
      </c>
      <c r="BH13" s="590">
        <v>4.6123659999999997</v>
      </c>
      <c r="BI13" s="590">
        <v>4.2149010000000002</v>
      </c>
      <c r="BJ13" s="590">
        <v>3.8437510000000001</v>
      </c>
      <c r="BK13" s="590">
        <v>3.711694</v>
      </c>
      <c r="BL13" s="590">
        <v>3.5457049999999999</v>
      </c>
      <c r="BM13" s="590">
        <v>3.4415499999999999</v>
      </c>
      <c r="BN13" s="590">
        <v>3.2368830000000002</v>
      </c>
      <c r="BO13" s="590">
        <v>3.119964</v>
      </c>
      <c r="BP13" s="590">
        <v>3.0023049999999998</v>
      </c>
      <c r="BQ13" s="590">
        <v>2.9420739999999999</v>
      </c>
      <c r="BR13" s="590">
        <v>2.9237760000000002</v>
      </c>
      <c r="BS13" s="590">
        <v>2.9021780000000001</v>
      </c>
      <c r="BT13" s="590">
        <v>2.88666</v>
      </c>
      <c r="BU13" s="590">
        <v>2.847998</v>
      </c>
      <c r="BV13" s="590">
        <v>2.718639</v>
      </c>
    </row>
    <row r="14" spans="1:74" ht="11.1" customHeight="1" x14ac:dyDescent="0.2">
      <c r="A14" s="320" t="s">
        <v>1448</v>
      </c>
      <c r="B14" s="383" t="s">
        <v>907</v>
      </c>
      <c r="C14" s="585">
        <v>2.4380000000000002</v>
      </c>
      <c r="D14" s="585">
        <v>2.742</v>
      </c>
      <c r="E14" s="585">
        <v>3.4790000000000001</v>
      </c>
      <c r="F14" s="585">
        <v>3.8647830000000001</v>
      </c>
      <c r="G14" s="585">
        <v>4.4947540000000004</v>
      </c>
      <c r="H14" s="585">
        <v>4.1853199999999999</v>
      </c>
      <c r="I14" s="585">
        <v>3.5915439999999998</v>
      </c>
      <c r="J14" s="585">
        <v>3.412712</v>
      </c>
      <c r="K14" s="585">
        <v>3.3415409999999999</v>
      </c>
      <c r="L14" s="585">
        <v>4.2114419999999999</v>
      </c>
      <c r="M14" s="585">
        <v>3.8268140000000002</v>
      </c>
      <c r="N14" s="585">
        <v>2.957732</v>
      </c>
      <c r="O14" s="585">
        <v>3.0788000000000002</v>
      </c>
      <c r="P14" s="585">
        <v>2.6542219999999999</v>
      </c>
      <c r="Q14" s="585">
        <v>2.5739329999999998</v>
      </c>
      <c r="R14" s="585">
        <v>2.4374449999999999</v>
      </c>
      <c r="S14" s="585">
        <v>2.185012</v>
      </c>
      <c r="T14" s="585">
        <v>2.2877809999999998</v>
      </c>
      <c r="U14" s="585">
        <v>2.5054099999999999</v>
      </c>
      <c r="V14" s="585">
        <v>2.9400909008</v>
      </c>
      <c r="W14" s="585">
        <v>3.1662828101999998</v>
      </c>
      <c r="X14" s="585">
        <v>3.0019169692999998</v>
      </c>
      <c r="Y14" s="585">
        <v>2.8136890320000001</v>
      </c>
      <c r="Z14" s="585">
        <v>2.5459834222</v>
      </c>
      <c r="AA14" s="585">
        <v>2.5953427452</v>
      </c>
      <c r="AB14" s="585">
        <v>2.7072129138999999</v>
      </c>
      <c r="AC14" s="585">
        <v>2.6060086818000001</v>
      </c>
      <c r="AD14" s="585">
        <v>2.5428887201000001</v>
      </c>
      <c r="AE14" s="585">
        <v>2.3542464473</v>
      </c>
      <c r="AF14" s="585">
        <v>2.3597796139999998</v>
      </c>
      <c r="AG14" s="585">
        <v>2.3602564483999999</v>
      </c>
      <c r="AH14" s="585">
        <v>2.1745294744999999</v>
      </c>
      <c r="AI14" s="585">
        <v>1.7110238387000001</v>
      </c>
      <c r="AJ14" s="585">
        <v>1.9201808466000001</v>
      </c>
      <c r="AK14" s="585">
        <v>2.1522056017</v>
      </c>
      <c r="AL14" s="585">
        <v>2.1461987480000002</v>
      </c>
      <c r="AM14" s="585">
        <v>2.4155888239999999</v>
      </c>
      <c r="AN14" s="585">
        <v>2.3550537608000002</v>
      </c>
      <c r="AO14" s="585">
        <v>2.1596368883000001</v>
      </c>
      <c r="AP14" s="585">
        <v>2.0437681681000002</v>
      </c>
      <c r="AQ14" s="585">
        <v>1.9982382451</v>
      </c>
      <c r="AR14" s="585">
        <v>2.1857825287999999</v>
      </c>
      <c r="AS14" s="585">
        <v>2.333659951</v>
      </c>
      <c r="AT14" s="585">
        <v>2.1889564672000001</v>
      </c>
      <c r="AU14" s="585">
        <v>2.2532340054</v>
      </c>
      <c r="AV14" s="585">
        <v>2.2012605240999998</v>
      </c>
      <c r="AW14" s="585">
        <v>2.3846004410999999</v>
      </c>
      <c r="AX14" s="585">
        <v>2.1246105849000001</v>
      </c>
      <c r="AY14" s="585">
        <v>2.1228793457999999</v>
      </c>
      <c r="AZ14" s="879">
        <v>2.3624801015000001</v>
      </c>
      <c r="BA14" s="879">
        <v>3.7970055135999998</v>
      </c>
      <c r="BB14" s="879">
        <v>3.8293963012000001</v>
      </c>
      <c r="BC14" s="879">
        <v>3.7926011695000001</v>
      </c>
      <c r="BD14" s="879">
        <v>3.2980729075999999</v>
      </c>
      <c r="BE14" s="879">
        <v>3.7925204382</v>
      </c>
      <c r="BF14" s="879">
        <v>4.1042480000000001</v>
      </c>
      <c r="BG14" s="879">
        <v>4.7635880000000004</v>
      </c>
      <c r="BH14" s="590">
        <v>4.4637339999999996</v>
      </c>
      <c r="BI14" s="590">
        <v>4.1457680000000003</v>
      </c>
      <c r="BJ14" s="590">
        <v>3.8455170000000001</v>
      </c>
      <c r="BK14" s="590">
        <v>3.7062119999999998</v>
      </c>
      <c r="BL14" s="590">
        <v>3.5373610000000002</v>
      </c>
      <c r="BM14" s="590">
        <v>3.3397770000000002</v>
      </c>
      <c r="BN14" s="590">
        <v>3.1233339999999998</v>
      </c>
      <c r="BO14" s="590">
        <v>3.080527</v>
      </c>
      <c r="BP14" s="590">
        <v>2.9743219999999999</v>
      </c>
      <c r="BQ14" s="590">
        <v>2.8907980000000002</v>
      </c>
      <c r="BR14" s="590">
        <v>2.8522799999999999</v>
      </c>
      <c r="BS14" s="590">
        <v>2.836538</v>
      </c>
      <c r="BT14" s="590">
        <v>2.8248980000000001</v>
      </c>
      <c r="BU14" s="590">
        <v>2.8122410000000002</v>
      </c>
      <c r="BV14" s="590">
        <v>2.7072099999999999</v>
      </c>
    </row>
    <row r="15" spans="1:74" ht="11.1" customHeight="1" x14ac:dyDescent="0.2">
      <c r="A15" s="320" t="s">
        <v>1449</v>
      </c>
      <c r="B15" s="383" t="s">
        <v>908</v>
      </c>
      <c r="C15" s="585">
        <v>2.4510000000000001</v>
      </c>
      <c r="D15" s="585">
        <v>2.653</v>
      </c>
      <c r="E15" s="585">
        <v>3.3260000000000001</v>
      </c>
      <c r="F15" s="585">
        <v>3.9327230000000002</v>
      </c>
      <c r="G15" s="585">
        <v>3.9519989999999998</v>
      </c>
      <c r="H15" s="585">
        <v>4.1108570000000002</v>
      </c>
      <c r="I15" s="585">
        <v>3.5145840000000002</v>
      </c>
      <c r="J15" s="585">
        <v>3.3736920000000001</v>
      </c>
      <c r="K15" s="585">
        <v>3.315124</v>
      </c>
      <c r="L15" s="585">
        <v>3.7915920000000001</v>
      </c>
      <c r="M15" s="585">
        <v>3.2242169999999999</v>
      </c>
      <c r="N15" s="585">
        <v>2.9516</v>
      </c>
      <c r="O15" s="585">
        <v>3.582719</v>
      </c>
      <c r="P15" s="585">
        <v>2.8370449999999998</v>
      </c>
      <c r="Q15" s="585">
        <v>2.7349950000000001</v>
      </c>
      <c r="R15" s="585">
        <v>2.4392420000000001</v>
      </c>
      <c r="S15" s="585">
        <v>2.2401249999999999</v>
      </c>
      <c r="T15" s="585">
        <v>2.3160400000000001</v>
      </c>
      <c r="U15" s="585">
        <v>2.549004</v>
      </c>
      <c r="V15" s="585">
        <v>3.0400180193000002</v>
      </c>
      <c r="W15" s="585">
        <v>3.1691722712999999</v>
      </c>
      <c r="X15" s="585">
        <v>2.9347373522</v>
      </c>
      <c r="Y15" s="585">
        <v>2.7908432182</v>
      </c>
      <c r="Z15" s="585">
        <v>2.4498580078000001</v>
      </c>
      <c r="AA15" s="585">
        <v>2.6446613448999998</v>
      </c>
      <c r="AB15" s="585">
        <v>2.7406133336999998</v>
      </c>
      <c r="AC15" s="585">
        <v>2.6505441031000001</v>
      </c>
      <c r="AD15" s="585">
        <v>2.6639904076000001</v>
      </c>
      <c r="AE15" s="585">
        <v>2.4435652390999998</v>
      </c>
      <c r="AF15" s="585">
        <v>2.4567521875999998</v>
      </c>
      <c r="AG15" s="585">
        <v>2.481847734</v>
      </c>
      <c r="AH15" s="585">
        <v>2.2432840609000002</v>
      </c>
      <c r="AI15" s="585">
        <v>2.0528698727000001</v>
      </c>
      <c r="AJ15" s="585">
        <v>2.1371270145999999</v>
      </c>
      <c r="AK15" s="585">
        <v>2.1344905631</v>
      </c>
      <c r="AL15" s="585">
        <v>2.1657768112000002</v>
      </c>
      <c r="AM15" s="585">
        <v>2.4106396194999999</v>
      </c>
      <c r="AN15" s="585">
        <v>2.3296536477999998</v>
      </c>
      <c r="AO15" s="585">
        <v>2.1380438080999999</v>
      </c>
      <c r="AP15" s="585">
        <v>2.0470011210000001</v>
      </c>
      <c r="AQ15" s="585">
        <v>2.0004993178000001</v>
      </c>
      <c r="AR15" s="585">
        <v>2.1628284288000001</v>
      </c>
      <c r="AS15" s="585">
        <v>2.3102672854000001</v>
      </c>
      <c r="AT15" s="585">
        <v>2.0943900067999999</v>
      </c>
      <c r="AU15" s="585">
        <v>2.1582599534</v>
      </c>
      <c r="AV15" s="585">
        <v>2.2220704782</v>
      </c>
      <c r="AW15" s="585">
        <v>2.3238253594999998</v>
      </c>
      <c r="AX15" s="585">
        <v>2.0364516293000001</v>
      </c>
      <c r="AY15" s="585">
        <v>2.1012555592000002</v>
      </c>
      <c r="AZ15" s="879">
        <v>2.3281571567000001</v>
      </c>
      <c r="BA15" s="879">
        <v>3.7350089377</v>
      </c>
      <c r="BB15" s="879">
        <v>3.9613720417999998</v>
      </c>
      <c r="BC15" s="879">
        <v>3.9754042878</v>
      </c>
      <c r="BD15" s="879">
        <v>3.0920777907999999</v>
      </c>
      <c r="BE15" s="879">
        <v>3.4463972532999998</v>
      </c>
      <c r="BF15" s="879">
        <v>3.7613409999999998</v>
      </c>
      <c r="BG15" s="879">
        <v>4.398873</v>
      </c>
      <c r="BH15" s="590">
        <v>4.1543799999999997</v>
      </c>
      <c r="BI15" s="590">
        <v>3.8578030000000001</v>
      </c>
      <c r="BJ15" s="590">
        <v>3.6262490000000001</v>
      </c>
      <c r="BK15" s="590">
        <v>3.5558070000000002</v>
      </c>
      <c r="BL15" s="590">
        <v>3.4432140000000002</v>
      </c>
      <c r="BM15" s="590">
        <v>3.3283230000000001</v>
      </c>
      <c r="BN15" s="590">
        <v>3.1358030000000001</v>
      </c>
      <c r="BO15" s="590">
        <v>3.0046110000000001</v>
      </c>
      <c r="BP15" s="590">
        <v>2.8851439999999999</v>
      </c>
      <c r="BQ15" s="590">
        <v>2.821733</v>
      </c>
      <c r="BR15" s="590">
        <v>2.780497</v>
      </c>
      <c r="BS15" s="590">
        <v>2.7367490000000001</v>
      </c>
      <c r="BT15" s="590">
        <v>2.749463</v>
      </c>
      <c r="BU15" s="590">
        <v>2.7235550000000002</v>
      </c>
      <c r="BV15" s="590">
        <v>2.618401</v>
      </c>
    </row>
    <row r="16" spans="1:74" ht="11.1" customHeight="1" x14ac:dyDescent="0.2">
      <c r="A16" s="320" t="s">
        <v>1450</v>
      </c>
      <c r="B16" s="383" t="s">
        <v>909</v>
      </c>
      <c r="C16" s="585">
        <v>2.16</v>
      </c>
      <c r="D16" s="585">
        <v>2.4319999999999999</v>
      </c>
      <c r="E16" s="585">
        <v>2.867</v>
      </c>
      <c r="F16" s="585">
        <v>2.5549179999999998</v>
      </c>
      <c r="G16" s="585">
        <v>2.5594209999999999</v>
      </c>
      <c r="H16" s="585">
        <v>2.6375700000000002</v>
      </c>
      <c r="I16" s="585">
        <v>2.4473220000000002</v>
      </c>
      <c r="J16" s="585">
        <v>2.3309310000000001</v>
      </c>
      <c r="K16" s="585">
        <v>2.1199859999999999</v>
      </c>
      <c r="L16" s="585">
        <v>2.069518</v>
      </c>
      <c r="M16" s="585">
        <v>2.0386869999999999</v>
      </c>
      <c r="N16" s="585">
        <v>1.906479</v>
      </c>
      <c r="O16" s="585">
        <v>1.975822</v>
      </c>
      <c r="P16" s="585">
        <v>1.992127</v>
      </c>
      <c r="Q16" s="585">
        <v>1.916112</v>
      </c>
      <c r="R16" s="585">
        <v>1.955614</v>
      </c>
      <c r="S16" s="585">
        <v>1.8873249999999999</v>
      </c>
      <c r="T16" s="585">
        <v>1.844454</v>
      </c>
      <c r="U16" s="585">
        <v>1.8894489999999999</v>
      </c>
      <c r="V16" s="585">
        <v>2.0294469999999998</v>
      </c>
      <c r="W16" s="585">
        <v>2.1734599999999999</v>
      </c>
      <c r="X16" s="585">
        <v>2.1592600000000002</v>
      </c>
      <c r="Y16" s="585">
        <v>2.074986</v>
      </c>
      <c r="Z16" s="585">
        <v>1.9425380000000001</v>
      </c>
      <c r="AA16" s="585">
        <v>1.9349689999999999</v>
      </c>
      <c r="AB16" s="585">
        <v>1.979068</v>
      </c>
      <c r="AC16" s="585">
        <v>2.0226769999999998</v>
      </c>
      <c r="AD16" s="585">
        <v>2.0837140000000001</v>
      </c>
      <c r="AE16" s="585">
        <v>2.0583749999999998</v>
      </c>
      <c r="AF16" s="585">
        <v>2.0488240000000002</v>
      </c>
      <c r="AG16" s="585">
        <v>2.052829</v>
      </c>
      <c r="AH16" s="585">
        <v>2.0241099999999999</v>
      </c>
      <c r="AI16" s="585">
        <v>1.8905670000000001</v>
      </c>
      <c r="AJ16" s="585">
        <v>1.8450310000000001</v>
      </c>
      <c r="AK16" s="585">
        <v>1.8344320000000001</v>
      </c>
      <c r="AL16" s="585">
        <v>1.826336</v>
      </c>
      <c r="AM16" s="585">
        <v>1.917216</v>
      </c>
      <c r="AN16" s="585">
        <v>1.868652</v>
      </c>
      <c r="AO16" s="585">
        <v>1.7990950000000001</v>
      </c>
      <c r="AP16" s="585">
        <v>1.6207180000000001</v>
      </c>
      <c r="AQ16" s="585">
        <v>1.547472</v>
      </c>
      <c r="AR16" s="585">
        <v>1.6540840000000001</v>
      </c>
      <c r="AS16" s="585">
        <v>1.6806950000000001</v>
      </c>
      <c r="AT16" s="585">
        <v>1.6225320000000001</v>
      </c>
      <c r="AU16" s="585">
        <v>1.5871919999999999</v>
      </c>
      <c r="AV16" s="585">
        <v>1.499387</v>
      </c>
      <c r="AW16" s="585">
        <v>1.5308010000000001</v>
      </c>
      <c r="AX16" s="585">
        <v>1.5287200000000001</v>
      </c>
      <c r="AY16" s="585">
        <v>1.5605020000000001</v>
      </c>
      <c r="AZ16" s="879">
        <v>1.6667590000000001</v>
      </c>
      <c r="BA16" s="879">
        <v>2.2334640000000001</v>
      </c>
      <c r="BB16" s="879">
        <v>2.50102</v>
      </c>
      <c r="BC16" s="879">
        <v>2.6108630000000002</v>
      </c>
      <c r="BD16" s="879">
        <v>2.2880609999999999</v>
      </c>
      <c r="BE16" s="879">
        <v>2.1833610000000001</v>
      </c>
      <c r="BF16" s="879">
        <v>2.251722</v>
      </c>
      <c r="BG16" s="879">
        <v>2.484747</v>
      </c>
      <c r="BH16" s="590">
        <v>2.5115069999999999</v>
      </c>
      <c r="BI16" s="590">
        <v>2.4936720000000001</v>
      </c>
      <c r="BJ16" s="590">
        <v>2.457649</v>
      </c>
      <c r="BK16" s="590">
        <v>2.4157829999999998</v>
      </c>
      <c r="BL16" s="590">
        <v>2.3854259999999998</v>
      </c>
      <c r="BM16" s="590">
        <v>2.3544520000000002</v>
      </c>
      <c r="BN16" s="590">
        <v>2.2251759999999998</v>
      </c>
      <c r="BO16" s="590">
        <v>2.1378180000000002</v>
      </c>
      <c r="BP16" s="590">
        <v>2.0716909999999999</v>
      </c>
      <c r="BQ16" s="590">
        <v>2.0321280000000002</v>
      </c>
      <c r="BR16" s="590">
        <v>1.9973890000000001</v>
      </c>
      <c r="BS16" s="590">
        <v>1.9509650000000001</v>
      </c>
      <c r="BT16" s="590">
        <v>1.8886019999999999</v>
      </c>
      <c r="BU16" s="590">
        <v>1.8801680000000001</v>
      </c>
      <c r="BV16" s="590">
        <v>1.8609910000000001</v>
      </c>
    </row>
    <row r="17" spans="1:74" ht="11.1" customHeight="1" x14ac:dyDescent="0.2">
      <c r="A17" s="320" t="s">
        <v>1451</v>
      </c>
      <c r="B17" s="383" t="s">
        <v>1456</v>
      </c>
      <c r="C17" s="585">
        <v>1.169</v>
      </c>
      <c r="D17" s="585">
        <v>1.2829999999999999</v>
      </c>
      <c r="E17" s="585">
        <v>1.448</v>
      </c>
      <c r="F17" s="585">
        <v>1.302</v>
      </c>
      <c r="G17" s="585">
        <v>1.2230000000000001</v>
      </c>
      <c r="H17" s="585">
        <v>1.2190000000000001</v>
      </c>
      <c r="I17" s="585">
        <v>1.1419999999999999</v>
      </c>
      <c r="J17" s="585">
        <v>1.093</v>
      </c>
      <c r="K17" s="585">
        <v>0.99099999999999999</v>
      </c>
      <c r="L17" s="585">
        <v>0.85899999999999999</v>
      </c>
      <c r="M17" s="585">
        <v>0.85199999999999998</v>
      </c>
      <c r="N17" s="585">
        <v>0.69199999999999995</v>
      </c>
      <c r="O17" s="585">
        <v>0.84199999999999997</v>
      </c>
      <c r="P17" s="585">
        <v>0.82799999999999996</v>
      </c>
      <c r="Q17" s="585">
        <v>0.79400000000000004</v>
      </c>
      <c r="R17" s="585">
        <v>0.81100000000000005</v>
      </c>
      <c r="S17" s="585">
        <v>0.66600000000000004</v>
      </c>
      <c r="T17" s="585">
        <v>0.57399999999999995</v>
      </c>
      <c r="U17" s="585">
        <v>0.629</v>
      </c>
      <c r="V17" s="585">
        <v>0.67900000000000005</v>
      </c>
      <c r="W17" s="585">
        <v>0.73</v>
      </c>
      <c r="X17" s="585">
        <v>0.67477272727000004</v>
      </c>
      <c r="Y17" s="585">
        <v>0.63923809523999997</v>
      </c>
      <c r="Z17" s="585">
        <v>0.68705000000000005</v>
      </c>
      <c r="AA17" s="585">
        <v>0.82128571428999997</v>
      </c>
      <c r="AB17" s="585">
        <v>0.90754999999999997</v>
      </c>
      <c r="AC17" s="585">
        <v>0.80289999999999995</v>
      </c>
      <c r="AD17" s="585">
        <v>0.80009090909000002</v>
      </c>
      <c r="AE17" s="585">
        <v>0.69768181817999997</v>
      </c>
      <c r="AF17" s="585">
        <v>0.76200000000000001</v>
      </c>
      <c r="AG17" s="585">
        <v>0.79733333333</v>
      </c>
      <c r="AH17" s="585">
        <v>0.75477272727</v>
      </c>
      <c r="AI17" s="585">
        <v>0.65564999999999996</v>
      </c>
      <c r="AJ17" s="585">
        <v>0.77360869565000001</v>
      </c>
      <c r="AK17" s="585">
        <v>0.80600000000000005</v>
      </c>
      <c r="AL17" s="585">
        <v>0.77266666666999995</v>
      </c>
      <c r="AM17" s="585">
        <v>0.90100000000000002</v>
      </c>
      <c r="AN17" s="585">
        <v>0.92500000000000004</v>
      </c>
      <c r="AO17" s="585">
        <v>0.87</v>
      </c>
      <c r="AP17" s="585">
        <v>0.84599999999999997</v>
      </c>
      <c r="AQ17" s="585">
        <v>0.746</v>
      </c>
      <c r="AR17" s="585">
        <v>0.75600000000000001</v>
      </c>
      <c r="AS17" s="585">
        <v>0.71099999999999997</v>
      </c>
      <c r="AT17" s="585">
        <v>0.66966666666999997</v>
      </c>
      <c r="AU17" s="585">
        <v>0.68828571428999996</v>
      </c>
      <c r="AV17" s="585">
        <v>0.63817391304000004</v>
      </c>
      <c r="AW17" s="585">
        <v>0.60472222222000005</v>
      </c>
      <c r="AX17" s="585">
        <v>0.64571428571</v>
      </c>
      <c r="AY17" s="585">
        <v>0.62178947368000004</v>
      </c>
      <c r="AZ17" s="879">
        <v>0.61399999999999999</v>
      </c>
      <c r="BA17" s="879">
        <v>0.72709090908999996</v>
      </c>
      <c r="BB17" s="879">
        <v>0.76571428571</v>
      </c>
      <c r="BC17" s="879">
        <v>0.83</v>
      </c>
      <c r="BD17" s="879">
        <v>0.755</v>
      </c>
      <c r="BE17" s="879">
        <v>0.70299999999999996</v>
      </c>
      <c r="BF17" s="879">
        <v>0.68833333333000002</v>
      </c>
      <c r="BG17" s="879">
        <v>0.84799999999999998</v>
      </c>
      <c r="BH17" s="590">
        <v>0.82258070000000005</v>
      </c>
      <c r="BI17" s="590">
        <v>0.76935160000000002</v>
      </c>
      <c r="BJ17" s="590">
        <v>0.73967450000000001</v>
      </c>
      <c r="BK17" s="590">
        <v>0.73521879999999995</v>
      </c>
      <c r="BL17" s="590">
        <v>0.74777700000000003</v>
      </c>
      <c r="BM17" s="590">
        <v>0.73666169999999997</v>
      </c>
      <c r="BN17" s="590">
        <v>0.72115600000000002</v>
      </c>
      <c r="BO17" s="590">
        <v>0.71494210000000002</v>
      </c>
      <c r="BP17" s="590">
        <v>0.69578470000000003</v>
      </c>
      <c r="BQ17" s="590">
        <v>0.70232360000000005</v>
      </c>
      <c r="BR17" s="590">
        <v>0.68948869999999995</v>
      </c>
      <c r="BS17" s="590">
        <v>0.67807700000000004</v>
      </c>
      <c r="BT17" s="590">
        <v>0.65051680000000001</v>
      </c>
      <c r="BU17" s="590">
        <v>0.63541579999999998</v>
      </c>
      <c r="BV17" s="590">
        <v>0.63580040000000004</v>
      </c>
    </row>
    <row r="18" spans="1:74" ht="11.1" customHeight="1" x14ac:dyDescent="0.2">
      <c r="A18" s="321"/>
      <c r="B18" s="381" t="s">
        <v>923</v>
      </c>
      <c r="C18" s="585"/>
      <c r="D18" s="585"/>
      <c r="E18" s="585"/>
      <c r="F18" s="585"/>
      <c r="G18" s="585"/>
      <c r="H18" s="585"/>
      <c r="I18" s="585"/>
      <c r="J18" s="585"/>
      <c r="K18" s="585"/>
      <c r="L18" s="585"/>
      <c r="M18" s="585"/>
      <c r="N18" s="585"/>
      <c r="O18" s="585"/>
      <c r="P18" s="585"/>
      <c r="Q18" s="585"/>
      <c r="R18" s="585"/>
      <c r="S18" s="585"/>
      <c r="T18" s="585"/>
      <c r="U18" s="585"/>
      <c r="V18" s="585"/>
      <c r="W18" s="585"/>
      <c r="X18" s="585"/>
      <c r="Y18" s="585"/>
      <c r="Z18" s="585"/>
      <c r="AA18" s="585"/>
      <c r="AB18" s="585"/>
      <c r="AC18" s="585"/>
      <c r="AD18" s="585"/>
      <c r="AE18" s="585"/>
      <c r="AF18" s="585"/>
      <c r="AG18" s="585"/>
      <c r="AH18" s="585"/>
      <c r="AI18" s="585"/>
      <c r="AJ18" s="585"/>
      <c r="AK18" s="585"/>
      <c r="AL18" s="585"/>
      <c r="AM18" s="585"/>
      <c r="AN18" s="585"/>
      <c r="AO18" s="585"/>
      <c r="AP18" s="585"/>
      <c r="AQ18" s="585"/>
      <c r="AR18" s="585"/>
      <c r="AS18" s="585"/>
      <c r="AT18" s="585"/>
      <c r="AU18" s="585"/>
      <c r="AV18" s="585"/>
      <c r="AW18" s="585"/>
      <c r="AX18" s="585"/>
      <c r="AY18" s="585"/>
      <c r="AZ18" s="879"/>
      <c r="BA18" s="879"/>
      <c r="BB18" s="879"/>
      <c r="BC18" s="879"/>
      <c r="BD18" s="879"/>
      <c r="BE18" s="879"/>
      <c r="BF18" s="879"/>
      <c r="BG18" s="879"/>
      <c r="BH18" s="590"/>
      <c r="BI18" s="590"/>
      <c r="BJ18" s="590"/>
      <c r="BK18" s="590"/>
      <c r="BL18" s="590"/>
      <c r="BM18" s="590"/>
      <c r="BN18" s="590"/>
      <c r="BO18" s="590"/>
      <c r="BP18" s="590"/>
      <c r="BQ18" s="590"/>
      <c r="BR18" s="590"/>
      <c r="BS18" s="590"/>
      <c r="BT18" s="590"/>
      <c r="BU18" s="590"/>
      <c r="BV18" s="590"/>
    </row>
    <row r="19" spans="1:74" ht="11.1" customHeight="1" x14ac:dyDescent="0.2">
      <c r="A19" s="320" t="s">
        <v>1151</v>
      </c>
      <c r="B19" s="383" t="s">
        <v>910</v>
      </c>
      <c r="C19" s="585">
        <v>3.3146</v>
      </c>
      <c r="D19" s="585">
        <v>3.5172500000000002</v>
      </c>
      <c r="E19" s="585">
        <v>4.2217500000000001</v>
      </c>
      <c r="F19" s="585">
        <v>4.1085000000000003</v>
      </c>
      <c r="G19" s="585">
        <v>4.4436</v>
      </c>
      <c r="H19" s="585">
        <v>4.9290000000000003</v>
      </c>
      <c r="I19" s="585">
        <v>4.5592499999999996</v>
      </c>
      <c r="J19" s="585">
        <v>3.9750000000000001</v>
      </c>
      <c r="K19" s="585">
        <v>3.70025</v>
      </c>
      <c r="L19" s="585">
        <v>3.8151999999999999</v>
      </c>
      <c r="M19" s="585">
        <v>3.6850000000000001</v>
      </c>
      <c r="N19" s="585">
        <v>3.21</v>
      </c>
      <c r="O19" s="585">
        <v>3.3391999999999999</v>
      </c>
      <c r="P19" s="585">
        <v>3.3887499999999999</v>
      </c>
      <c r="Q19" s="585">
        <v>3.4220000000000002</v>
      </c>
      <c r="R19" s="585">
        <v>3.6030000000000002</v>
      </c>
      <c r="S19" s="585">
        <v>3.5548000000000002</v>
      </c>
      <c r="T19" s="585">
        <v>3.5710000000000002</v>
      </c>
      <c r="U19" s="585">
        <v>3.597</v>
      </c>
      <c r="V19" s="585">
        <v>3.83975</v>
      </c>
      <c r="W19" s="585">
        <v>3.8359999999999999</v>
      </c>
      <c r="X19" s="585">
        <v>3.6128</v>
      </c>
      <c r="Y19" s="585">
        <v>3.3180000000000001</v>
      </c>
      <c r="Z19" s="585">
        <v>3.1339999999999999</v>
      </c>
      <c r="AA19" s="585">
        <v>3.0754000000000001</v>
      </c>
      <c r="AB19" s="585">
        <v>3.2115</v>
      </c>
      <c r="AC19" s="585">
        <v>3.4255</v>
      </c>
      <c r="AD19" s="585">
        <v>3.6114000000000002</v>
      </c>
      <c r="AE19" s="585">
        <v>3.6030000000000002</v>
      </c>
      <c r="AF19" s="585">
        <v>3.4544999999999999</v>
      </c>
      <c r="AG19" s="585">
        <v>3.4838</v>
      </c>
      <c r="AH19" s="585">
        <v>3.3892500000000001</v>
      </c>
      <c r="AI19" s="585">
        <v>3.2138</v>
      </c>
      <c r="AJ19" s="585">
        <v>3.137</v>
      </c>
      <c r="AK19" s="585">
        <v>3.0527500000000001</v>
      </c>
      <c r="AL19" s="585">
        <v>3.0175999999999998</v>
      </c>
      <c r="AM19" s="585">
        <v>3.0754999999999999</v>
      </c>
      <c r="AN19" s="585">
        <v>3.1207500000000001</v>
      </c>
      <c r="AO19" s="585">
        <v>3.0964</v>
      </c>
      <c r="AP19" s="585">
        <v>3.1712500000000001</v>
      </c>
      <c r="AQ19" s="585">
        <v>3.15</v>
      </c>
      <c r="AR19" s="585">
        <v>3.1501999999999999</v>
      </c>
      <c r="AS19" s="585">
        <v>3.1247500000000001</v>
      </c>
      <c r="AT19" s="585">
        <v>3.1324999999999998</v>
      </c>
      <c r="AU19" s="585">
        <v>3.1656</v>
      </c>
      <c r="AV19" s="585">
        <v>3.0597500000000002</v>
      </c>
      <c r="AW19" s="585">
        <v>3.0495000000000001</v>
      </c>
      <c r="AX19" s="585">
        <v>2.8944000000000001</v>
      </c>
      <c r="AY19" s="585">
        <v>2.8085</v>
      </c>
      <c r="AZ19" s="879">
        <v>2.9075000000000002</v>
      </c>
      <c r="BA19" s="879">
        <v>3.6375999999999999</v>
      </c>
      <c r="BB19" s="879">
        <v>4.1025</v>
      </c>
      <c r="BC19" s="879">
        <v>4.4792500000000004</v>
      </c>
      <c r="BD19" s="879">
        <v>4.0495999999999999</v>
      </c>
      <c r="BE19" s="879">
        <v>3.9322499999999998</v>
      </c>
      <c r="BF19" s="879">
        <v>4.0579999999999998</v>
      </c>
      <c r="BG19" s="879">
        <v>4.3547500000000001</v>
      </c>
      <c r="BH19" s="590">
        <v>4.4044850000000002</v>
      </c>
      <c r="BI19" s="590">
        <v>4.1965430000000001</v>
      </c>
      <c r="BJ19" s="590">
        <v>3.8570730000000002</v>
      </c>
      <c r="BK19" s="590">
        <v>3.7209099999999999</v>
      </c>
      <c r="BL19" s="590">
        <v>3.6510500000000001</v>
      </c>
      <c r="BM19" s="590">
        <v>3.737781</v>
      </c>
      <c r="BN19" s="590">
        <v>3.776932</v>
      </c>
      <c r="BO19" s="590">
        <v>3.7662819999999999</v>
      </c>
      <c r="BP19" s="590">
        <v>3.7229739999999998</v>
      </c>
      <c r="BQ19" s="590">
        <v>3.6498840000000001</v>
      </c>
      <c r="BR19" s="590">
        <v>3.5694859999999999</v>
      </c>
      <c r="BS19" s="590">
        <v>3.4503780000000002</v>
      </c>
      <c r="BT19" s="590">
        <v>3.367397</v>
      </c>
      <c r="BU19" s="590">
        <v>3.2545459999999999</v>
      </c>
      <c r="BV19" s="590">
        <v>3.1078079999999999</v>
      </c>
    </row>
    <row r="20" spans="1:74" ht="11.1" customHeight="1" x14ac:dyDescent="0.2">
      <c r="A20" s="320" t="s">
        <v>1149</v>
      </c>
      <c r="B20" s="383" t="s">
        <v>911</v>
      </c>
      <c r="C20" s="585">
        <v>3.4127999999999998</v>
      </c>
      <c r="D20" s="585">
        <v>3.6110000000000002</v>
      </c>
      <c r="E20" s="585">
        <v>4.3217499999999998</v>
      </c>
      <c r="F20" s="585">
        <v>4.2127499999999998</v>
      </c>
      <c r="G20" s="585">
        <v>4.5449999999999999</v>
      </c>
      <c r="H20" s="585">
        <v>5.0322500000000003</v>
      </c>
      <c r="I20" s="585">
        <v>4.6680000000000001</v>
      </c>
      <c r="J20" s="585">
        <v>4.0873999999999997</v>
      </c>
      <c r="K20" s="585">
        <v>3.8167499999999999</v>
      </c>
      <c r="L20" s="585">
        <v>3.9354</v>
      </c>
      <c r="M20" s="585">
        <v>3.7992499999999998</v>
      </c>
      <c r="N20" s="585">
        <v>3.3235000000000001</v>
      </c>
      <c r="O20" s="585">
        <v>3.4451999999999998</v>
      </c>
      <c r="P20" s="585">
        <v>3.5012500000000002</v>
      </c>
      <c r="Q20" s="585">
        <v>3.5350000000000001</v>
      </c>
      <c r="R20" s="585">
        <v>3.71075</v>
      </c>
      <c r="S20" s="585">
        <v>3.6661999999999999</v>
      </c>
      <c r="T20" s="585">
        <v>3.68425</v>
      </c>
      <c r="U20" s="585">
        <v>3.7124000000000001</v>
      </c>
      <c r="V20" s="585">
        <v>3.95425</v>
      </c>
      <c r="W20" s="585">
        <v>3.9575</v>
      </c>
      <c r="X20" s="585">
        <v>3.742</v>
      </c>
      <c r="Y20" s="585">
        <v>3.4424999999999999</v>
      </c>
      <c r="Z20" s="585">
        <v>3.2570000000000001</v>
      </c>
      <c r="AA20" s="585">
        <v>3.1968000000000001</v>
      </c>
      <c r="AB20" s="585">
        <v>3.3282500000000002</v>
      </c>
      <c r="AC20" s="585">
        <v>3.5415000000000001</v>
      </c>
      <c r="AD20" s="585">
        <v>3.7334000000000001</v>
      </c>
      <c r="AE20" s="585">
        <v>3.72525</v>
      </c>
      <c r="AF20" s="585">
        <v>3.5754999999999999</v>
      </c>
      <c r="AG20" s="585">
        <v>3.6004</v>
      </c>
      <c r="AH20" s="585">
        <v>3.5065</v>
      </c>
      <c r="AI20" s="585">
        <v>3.3384</v>
      </c>
      <c r="AJ20" s="585">
        <v>3.2605</v>
      </c>
      <c r="AK20" s="585">
        <v>3.1752500000000001</v>
      </c>
      <c r="AL20" s="585">
        <v>3.1394000000000002</v>
      </c>
      <c r="AM20" s="585">
        <v>3.19625</v>
      </c>
      <c r="AN20" s="585">
        <v>3.2472500000000002</v>
      </c>
      <c r="AO20" s="585">
        <v>3.2229999999999999</v>
      </c>
      <c r="AP20" s="585">
        <v>3.2985000000000002</v>
      </c>
      <c r="AQ20" s="585">
        <v>3.278</v>
      </c>
      <c r="AR20" s="585">
        <v>3.2764000000000002</v>
      </c>
      <c r="AS20" s="585">
        <v>3.2494999999999998</v>
      </c>
      <c r="AT20" s="585">
        <v>3.2577500000000001</v>
      </c>
      <c r="AU20" s="585">
        <v>3.2934000000000001</v>
      </c>
      <c r="AV20" s="585">
        <v>3.1902499999999998</v>
      </c>
      <c r="AW20" s="585">
        <v>3.1792500000000001</v>
      </c>
      <c r="AX20" s="585">
        <v>3.0238</v>
      </c>
      <c r="AY20" s="585">
        <v>2.9362499999999998</v>
      </c>
      <c r="AZ20" s="879">
        <v>3.03925</v>
      </c>
      <c r="BA20" s="879">
        <v>3.7713999999999999</v>
      </c>
      <c r="BB20" s="879">
        <v>4.2357500000000003</v>
      </c>
      <c r="BC20" s="879">
        <v>4.6087499999999997</v>
      </c>
      <c r="BD20" s="879">
        <v>4.1837999999999997</v>
      </c>
      <c r="BE20" s="879">
        <v>4.0642500000000004</v>
      </c>
      <c r="BF20" s="879">
        <v>4.1917999999999997</v>
      </c>
      <c r="BG20" s="879">
        <v>4.4907500000000002</v>
      </c>
      <c r="BH20" s="590">
        <v>4.5431460000000001</v>
      </c>
      <c r="BI20" s="590">
        <v>4.3366040000000003</v>
      </c>
      <c r="BJ20" s="590">
        <v>3.9979439999999999</v>
      </c>
      <c r="BK20" s="590">
        <v>3.8610850000000001</v>
      </c>
      <c r="BL20" s="590">
        <v>3.7893270000000001</v>
      </c>
      <c r="BM20" s="590">
        <v>3.8748200000000002</v>
      </c>
      <c r="BN20" s="590">
        <v>3.9155030000000002</v>
      </c>
      <c r="BO20" s="590">
        <v>3.9036420000000001</v>
      </c>
      <c r="BP20" s="590">
        <v>3.859254</v>
      </c>
      <c r="BQ20" s="590">
        <v>3.7880150000000001</v>
      </c>
      <c r="BR20" s="590">
        <v>3.7086320000000002</v>
      </c>
      <c r="BS20" s="590">
        <v>3.5911270000000002</v>
      </c>
      <c r="BT20" s="590">
        <v>3.5104250000000001</v>
      </c>
      <c r="BU20" s="590">
        <v>3.3986260000000001</v>
      </c>
      <c r="BV20" s="590">
        <v>3.2524160000000002</v>
      </c>
    </row>
    <row r="21" spans="1:74" ht="11.1" customHeight="1" x14ac:dyDescent="0.2">
      <c r="A21" s="320" t="s">
        <v>1452</v>
      </c>
      <c r="B21" s="383" t="s">
        <v>912</v>
      </c>
      <c r="C21" s="585">
        <v>3.7242000000000002</v>
      </c>
      <c r="D21" s="585">
        <v>4.0322500000000003</v>
      </c>
      <c r="E21" s="585">
        <v>5.1044999999999998</v>
      </c>
      <c r="F21" s="585">
        <v>5.1195000000000004</v>
      </c>
      <c r="G21" s="585">
        <v>5.5709999999999997</v>
      </c>
      <c r="H21" s="585">
        <v>5.7534999999999998</v>
      </c>
      <c r="I21" s="585">
        <v>5.4857500000000003</v>
      </c>
      <c r="J21" s="585">
        <v>5.0132000000000003</v>
      </c>
      <c r="K21" s="585">
        <v>4.9924999999999997</v>
      </c>
      <c r="L21" s="585">
        <v>5.2114000000000003</v>
      </c>
      <c r="M21" s="585">
        <v>5.2549999999999999</v>
      </c>
      <c r="N21" s="585">
        <v>4.7134999999999998</v>
      </c>
      <c r="O21" s="585">
        <v>4.5763999999999996</v>
      </c>
      <c r="P21" s="585">
        <v>4.4132499999999997</v>
      </c>
      <c r="Q21" s="585">
        <v>4.2104999999999997</v>
      </c>
      <c r="R21" s="585">
        <v>4.0990000000000002</v>
      </c>
      <c r="S21" s="585">
        <v>3.915</v>
      </c>
      <c r="T21" s="585">
        <v>3.8017500000000002</v>
      </c>
      <c r="U21" s="585">
        <v>3.8822000000000001</v>
      </c>
      <c r="V21" s="585">
        <v>4.3702500000000004</v>
      </c>
      <c r="W21" s="585">
        <v>4.5627500000000003</v>
      </c>
      <c r="X21" s="585">
        <v>4.5068000000000001</v>
      </c>
      <c r="Y21" s="585">
        <v>4.2537500000000001</v>
      </c>
      <c r="Z21" s="585">
        <v>3.9717500000000001</v>
      </c>
      <c r="AA21" s="585">
        <v>3.8544</v>
      </c>
      <c r="AB21" s="585">
        <v>4.0437500000000002</v>
      </c>
      <c r="AC21" s="585">
        <v>4.0220000000000002</v>
      </c>
      <c r="AD21" s="585">
        <v>4.0022000000000002</v>
      </c>
      <c r="AE21" s="585">
        <v>3.8222499999999999</v>
      </c>
      <c r="AF21" s="585">
        <v>3.722</v>
      </c>
      <c r="AG21" s="585">
        <v>3.8102</v>
      </c>
      <c r="AH21" s="585">
        <v>3.6995</v>
      </c>
      <c r="AI21" s="585">
        <v>3.5577999999999999</v>
      </c>
      <c r="AJ21" s="585">
        <v>3.5852499999999998</v>
      </c>
      <c r="AK21" s="585">
        <v>3.5217499999999999</v>
      </c>
      <c r="AL21" s="585">
        <v>3.4942000000000002</v>
      </c>
      <c r="AM21" s="585">
        <v>3.6342500000000002</v>
      </c>
      <c r="AN21" s="585">
        <v>3.67475</v>
      </c>
      <c r="AO21" s="585">
        <v>3.585</v>
      </c>
      <c r="AP21" s="585">
        <v>3.5665</v>
      </c>
      <c r="AQ21" s="585">
        <v>3.4990000000000001</v>
      </c>
      <c r="AR21" s="585">
        <v>3.5990000000000002</v>
      </c>
      <c r="AS21" s="585">
        <v>3.7785000000000002</v>
      </c>
      <c r="AT21" s="585">
        <v>3.7437499999999999</v>
      </c>
      <c r="AU21" s="585">
        <v>3.7484000000000002</v>
      </c>
      <c r="AV21" s="585">
        <v>3.6785000000000001</v>
      </c>
      <c r="AW21" s="585">
        <v>3.8222499999999999</v>
      </c>
      <c r="AX21" s="585">
        <v>3.6147999999999998</v>
      </c>
      <c r="AY21" s="585">
        <v>3.5225</v>
      </c>
      <c r="AZ21" s="879">
        <v>3.7222499999999998</v>
      </c>
      <c r="BA21" s="879">
        <v>4.9206000000000003</v>
      </c>
      <c r="BB21" s="879">
        <v>5.5012499999999998</v>
      </c>
      <c r="BC21" s="879">
        <v>5.5994999999999999</v>
      </c>
      <c r="BD21" s="879">
        <v>5.0237999999999996</v>
      </c>
      <c r="BE21" s="879">
        <v>4.9552500000000004</v>
      </c>
      <c r="BF21" s="879">
        <v>5.4619999999999997</v>
      </c>
      <c r="BG21" s="879">
        <v>6.2907500000000001</v>
      </c>
      <c r="BH21" s="590">
        <v>6.2697289999999999</v>
      </c>
      <c r="BI21" s="590">
        <v>5.7882870000000004</v>
      </c>
      <c r="BJ21" s="590">
        <v>5.3353520000000003</v>
      </c>
      <c r="BK21" s="590">
        <v>5.0589959999999996</v>
      </c>
      <c r="BL21" s="590">
        <v>4.9062979999999996</v>
      </c>
      <c r="BM21" s="590">
        <v>4.7981910000000001</v>
      </c>
      <c r="BN21" s="590">
        <v>4.6719970000000002</v>
      </c>
      <c r="BO21" s="590">
        <v>4.5810050000000002</v>
      </c>
      <c r="BP21" s="590">
        <v>4.4514050000000003</v>
      </c>
      <c r="BQ21" s="590">
        <v>4.3597210000000004</v>
      </c>
      <c r="BR21" s="590">
        <v>4.2825449999999998</v>
      </c>
      <c r="BS21" s="590">
        <v>4.2524699999999998</v>
      </c>
      <c r="BT21" s="590">
        <v>4.221095</v>
      </c>
      <c r="BU21" s="590">
        <v>4.2119609999999996</v>
      </c>
      <c r="BV21" s="590">
        <v>4.1073620000000002</v>
      </c>
    </row>
    <row r="22" spans="1:74" ht="11.1" customHeight="1" x14ac:dyDescent="0.2">
      <c r="A22" s="320" t="s">
        <v>1453</v>
      </c>
      <c r="B22" s="383" t="s">
        <v>913</v>
      </c>
      <c r="C22" s="585">
        <v>3.7759999999999998</v>
      </c>
      <c r="D22" s="585">
        <v>4.0579999999999998</v>
      </c>
      <c r="E22" s="585">
        <v>4.9279999999999999</v>
      </c>
      <c r="F22" s="585">
        <v>5.1429999999999998</v>
      </c>
      <c r="G22" s="585">
        <v>5.9729999999999999</v>
      </c>
      <c r="H22" s="585">
        <v>5.8630000000000004</v>
      </c>
      <c r="I22" s="585">
        <v>5.2560000000000002</v>
      </c>
      <c r="J22" s="585">
        <v>4.9530000000000003</v>
      </c>
      <c r="K22" s="585">
        <v>4.8150000000000004</v>
      </c>
      <c r="L22" s="585">
        <v>5.7859999999999996</v>
      </c>
      <c r="M22" s="585">
        <v>5.24</v>
      </c>
      <c r="N22" s="585">
        <v>4.3440000000000003</v>
      </c>
      <c r="O22" s="585">
        <v>4.3129999999999997</v>
      </c>
      <c r="P22" s="585">
        <v>3.988</v>
      </c>
      <c r="Q22" s="585">
        <v>3.8660000000000001</v>
      </c>
      <c r="R22" s="585">
        <v>3.7090000000000001</v>
      </c>
      <c r="S22" s="585">
        <v>3.423</v>
      </c>
      <c r="T22" s="585">
        <v>3.395</v>
      </c>
      <c r="U22" s="585">
        <v>3.472</v>
      </c>
      <c r="V22" s="585">
        <v>3.819</v>
      </c>
      <c r="W22" s="585">
        <v>4.1509999999999998</v>
      </c>
      <c r="X22" s="585">
        <v>4.0890000000000004</v>
      </c>
      <c r="Y22" s="585">
        <v>4.0110000000000001</v>
      </c>
      <c r="Z22" s="585">
        <v>3.8210000000000002</v>
      </c>
      <c r="AA22" s="585">
        <v>3.766</v>
      </c>
      <c r="AB22" s="585">
        <v>3.8279999999999998</v>
      </c>
      <c r="AC22" s="585">
        <v>3.774</v>
      </c>
      <c r="AD22" s="585">
        <v>3.706</v>
      </c>
      <c r="AE22" s="585">
        <v>3.694</v>
      </c>
      <c r="AF22" s="585">
        <v>3.5760000000000001</v>
      </c>
      <c r="AG22" s="585">
        <v>3.6829999999999998</v>
      </c>
      <c r="AH22" s="585">
        <v>3.5449999999999999</v>
      </c>
      <c r="AI22" s="585">
        <v>3.3940000000000001</v>
      </c>
      <c r="AJ22" s="585">
        <v>3.427</v>
      </c>
      <c r="AK22" s="585">
        <v>3.41</v>
      </c>
      <c r="AL22" s="585">
        <v>3.4580000000000002</v>
      </c>
      <c r="AM22" s="585">
        <v>3.7930000000000001</v>
      </c>
      <c r="AN22" s="585">
        <v>3.827</v>
      </c>
      <c r="AO22" s="585">
        <v>3.625</v>
      </c>
      <c r="AP22" s="585">
        <v>3.5059999999999998</v>
      </c>
      <c r="AQ22" s="585">
        <v>3.4329999999999998</v>
      </c>
      <c r="AR22" s="585">
        <v>3.4630000000000001</v>
      </c>
      <c r="AS22" s="585">
        <v>3.6269999999999998</v>
      </c>
      <c r="AT22" s="585">
        <v>3.58</v>
      </c>
      <c r="AU22" s="585">
        <v>3.5920000000000001</v>
      </c>
      <c r="AV22" s="585">
        <v>3.6595</v>
      </c>
      <c r="AW22" s="585">
        <v>3.7269999999999999</v>
      </c>
      <c r="AX22" s="585">
        <v>3.66</v>
      </c>
      <c r="AY22" s="585">
        <v>3.5790000000000002</v>
      </c>
      <c r="AZ22" s="879">
        <v>3.99</v>
      </c>
      <c r="BA22" s="879">
        <v>5.0449999999999999</v>
      </c>
      <c r="BB22" s="879">
        <v>5.2910000000000004</v>
      </c>
      <c r="BC22" s="879">
        <v>5.2930000000000001</v>
      </c>
      <c r="BD22" s="879">
        <v>4.7130000000000001</v>
      </c>
      <c r="BE22" s="879">
        <v>4.7990000000000004</v>
      </c>
      <c r="BF22" s="879">
        <v>5.1449999999999996</v>
      </c>
      <c r="BG22" s="879">
        <v>5.9686579999999996</v>
      </c>
      <c r="BH22" s="590">
        <v>6.1459580000000003</v>
      </c>
      <c r="BI22" s="590">
        <v>5.7915710000000002</v>
      </c>
      <c r="BJ22" s="590">
        <v>5.4550830000000001</v>
      </c>
      <c r="BK22" s="590">
        <v>5.2560539999999998</v>
      </c>
      <c r="BL22" s="590">
        <v>5.0622259999999999</v>
      </c>
      <c r="BM22" s="590">
        <v>4.8447420000000001</v>
      </c>
      <c r="BN22" s="590">
        <v>4.5605000000000002</v>
      </c>
      <c r="BO22" s="590">
        <v>4.4515440000000002</v>
      </c>
      <c r="BP22" s="590">
        <v>4.2843159999999996</v>
      </c>
      <c r="BQ22" s="590">
        <v>4.1705909999999999</v>
      </c>
      <c r="BR22" s="590">
        <v>4.1050570000000004</v>
      </c>
      <c r="BS22" s="590">
        <v>4.1519979999999999</v>
      </c>
      <c r="BT22" s="590">
        <v>4.1790609999999999</v>
      </c>
      <c r="BU22" s="590">
        <v>4.1450870000000002</v>
      </c>
      <c r="BV22" s="590">
        <v>4.0525690000000001</v>
      </c>
    </row>
    <row r="23" spans="1:74" ht="11.1" customHeight="1" x14ac:dyDescent="0.2">
      <c r="A23" s="320" t="s">
        <v>1458</v>
      </c>
      <c r="B23" s="383" t="s">
        <v>1457</v>
      </c>
      <c r="C23" s="585">
        <v>2.7370000000000001</v>
      </c>
      <c r="D23" s="585">
        <v>2.8460000000000001</v>
      </c>
      <c r="E23" s="585">
        <v>2.9925000000000002</v>
      </c>
      <c r="F23" s="585" t="s">
        <v>1612</v>
      </c>
      <c r="G23" s="585" t="s">
        <v>1612</v>
      </c>
      <c r="H23" s="585" t="s">
        <v>1612</v>
      </c>
      <c r="I23" s="585" t="s">
        <v>1612</v>
      </c>
      <c r="J23" s="585" t="s">
        <v>1612</v>
      </c>
      <c r="K23" s="585">
        <v>2.661</v>
      </c>
      <c r="L23" s="585">
        <v>2.6637499999999998</v>
      </c>
      <c r="M23" s="585">
        <v>2.6753999999999998</v>
      </c>
      <c r="N23" s="585">
        <v>2.6807500000000002</v>
      </c>
      <c r="O23" s="585">
        <v>2.7007500000000002</v>
      </c>
      <c r="P23" s="585">
        <v>2.7029999999999998</v>
      </c>
      <c r="Q23" s="585">
        <v>2.6840000000000002</v>
      </c>
      <c r="R23" s="585" t="s">
        <v>1612</v>
      </c>
      <c r="S23" s="585" t="s">
        <v>1612</v>
      </c>
      <c r="T23" s="585" t="s">
        <v>1612</v>
      </c>
      <c r="U23" s="585" t="s">
        <v>1612</v>
      </c>
      <c r="V23" s="585" t="s">
        <v>1612</v>
      </c>
      <c r="W23" s="585">
        <v>2.379</v>
      </c>
      <c r="X23" s="585">
        <v>2.3944999999999999</v>
      </c>
      <c r="Y23" s="585">
        <v>2.4247999999999998</v>
      </c>
      <c r="Z23" s="585">
        <v>2.4634999999999998</v>
      </c>
      <c r="AA23" s="585">
        <v>2.5590000000000002</v>
      </c>
      <c r="AB23" s="585">
        <v>2.6077499999999998</v>
      </c>
      <c r="AC23" s="585">
        <v>2.5826666666999998</v>
      </c>
      <c r="AD23" s="585">
        <v>2.5670000000000002</v>
      </c>
      <c r="AE23" s="585">
        <v>2.4750000000000001</v>
      </c>
      <c r="AF23" s="585">
        <v>2.4119999999999999</v>
      </c>
      <c r="AG23" s="585">
        <v>2.3940000000000001</v>
      </c>
      <c r="AH23" s="585">
        <v>2.371</v>
      </c>
      <c r="AI23" s="585">
        <v>2.3690000000000002</v>
      </c>
      <c r="AJ23" s="585">
        <v>2.427</v>
      </c>
      <c r="AK23" s="585">
        <v>2.48325</v>
      </c>
      <c r="AL23" s="585">
        <v>2.5182500000000001</v>
      </c>
      <c r="AM23" s="585">
        <v>2.6812</v>
      </c>
      <c r="AN23" s="585">
        <v>2.7482500000000001</v>
      </c>
      <c r="AO23" s="585">
        <v>2.7136666667</v>
      </c>
      <c r="AP23" s="585">
        <v>2.640946</v>
      </c>
      <c r="AQ23" s="585">
        <v>2.5202239999999998</v>
      </c>
      <c r="AR23" s="585" t="s">
        <v>1612</v>
      </c>
      <c r="AS23" s="585" t="s">
        <v>1612</v>
      </c>
      <c r="AT23" s="585" t="s">
        <v>1612</v>
      </c>
      <c r="AU23" s="585" t="s">
        <v>1612</v>
      </c>
      <c r="AV23" s="585">
        <v>2.4308000000000001</v>
      </c>
      <c r="AW23" s="585">
        <v>2.4624999999999999</v>
      </c>
      <c r="AX23" s="585">
        <v>2.5369999999999999</v>
      </c>
      <c r="AY23" s="585">
        <v>2.5882499999999999</v>
      </c>
      <c r="AZ23" s="879">
        <v>2.6589999999999998</v>
      </c>
      <c r="BA23" s="879">
        <v>2.6716666667000002</v>
      </c>
      <c r="BB23" s="879" t="s">
        <v>1612</v>
      </c>
      <c r="BC23" s="879" t="s">
        <v>1612</v>
      </c>
      <c r="BD23" s="879" t="s">
        <v>1612</v>
      </c>
      <c r="BE23" s="879" t="s">
        <v>1612</v>
      </c>
      <c r="BF23" s="879" t="s">
        <v>1612</v>
      </c>
      <c r="BG23" s="879" t="s">
        <v>1612</v>
      </c>
      <c r="BH23" s="590">
        <v>2.5110389999999998</v>
      </c>
      <c r="BI23" s="590">
        <v>2.5138569999999998</v>
      </c>
      <c r="BJ23" s="590">
        <v>2.5190899999999998</v>
      </c>
      <c r="BK23" s="590">
        <v>2.5233449999999999</v>
      </c>
      <c r="BL23" s="590">
        <v>2.5255619999999999</v>
      </c>
      <c r="BM23" s="590">
        <v>2.5172460000000001</v>
      </c>
      <c r="BN23" s="590" t="s">
        <v>1612</v>
      </c>
      <c r="BO23" s="590" t="s">
        <v>1612</v>
      </c>
      <c r="BP23" s="590" t="s">
        <v>1612</v>
      </c>
      <c r="BQ23" s="590" t="s">
        <v>1612</v>
      </c>
      <c r="BR23" s="590" t="s">
        <v>1612</v>
      </c>
      <c r="BS23" s="590" t="s">
        <v>1612</v>
      </c>
      <c r="BT23" s="590">
        <v>2.3522750000000001</v>
      </c>
      <c r="BU23" s="590">
        <v>2.3442370000000001</v>
      </c>
      <c r="BV23" s="590">
        <v>2.3504559999999999</v>
      </c>
    </row>
    <row r="24" spans="1:74" ht="11.1" customHeight="1" x14ac:dyDescent="0.2">
      <c r="A24" s="26"/>
      <c r="B24" s="30" t="s">
        <v>68</v>
      </c>
      <c r="C24" s="372"/>
      <c r="D24" s="372"/>
      <c r="E24" s="372"/>
      <c r="F24" s="372"/>
      <c r="G24" s="372"/>
      <c r="H24" s="372"/>
      <c r="I24" s="372"/>
      <c r="J24" s="372"/>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880"/>
      <c r="BA24" s="880"/>
      <c r="BB24" s="880"/>
      <c r="BC24" s="880"/>
      <c r="BD24" s="880"/>
      <c r="BE24" s="880"/>
      <c r="BF24" s="880"/>
      <c r="BG24" s="880"/>
      <c r="BH24" s="376"/>
      <c r="BI24" s="376"/>
      <c r="BJ24" s="376"/>
      <c r="BK24" s="377"/>
      <c r="BL24" s="376"/>
      <c r="BM24" s="376"/>
      <c r="BN24" s="376"/>
      <c r="BO24" s="376"/>
      <c r="BP24" s="376"/>
      <c r="BQ24" s="376"/>
      <c r="BR24" s="376"/>
      <c r="BS24" s="376"/>
      <c r="BT24" s="376"/>
      <c r="BU24" s="376"/>
      <c r="BV24" s="376"/>
    </row>
    <row r="25" spans="1:74" ht="11.1" customHeight="1" x14ac:dyDescent="0.2">
      <c r="A25" s="29" t="s">
        <v>428</v>
      </c>
      <c r="B25" s="379" t="s">
        <v>924</v>
      </c>
      <c r="C25" s="341">
        <v>4.5464399999999996</v>
      </c>
      <c r="D25" s="341">
        <v>4.86822</v>
      </c>
      <c r="E25" s="341">
        <v>5.0861999999999998</v>
      </c>
      <c r="F25" s="341">
        <v>6.8507999999999996</v>
      </c>
      <c r="G25" s="341">
        <v>8.4493200000000002</v>
      </c>
      <c r="H25" s="341">
        <v>7.9926000000000004</v>
      </c>
      <c r="I25" s="341">
        <v>7.5566399999999998</v>
      </c>
      <c r="J25" s="341">
        <v>9.1447800000000008</v>
      </c>
      <c r="K25" s="341">
        <v>8.1794399999999996</v>
      </c>
      <c r="L25" s="341">
        <v>5.8750799999999996</v>
      </c>
      <c r="M25" s="341">
        <v>5.6570999999999998</v>
      </c>
      <c r="N25" s="341">
        <v>5.7401400000000002</v>
      </c>
      <c r="O25" s="341">
        <v>3.3942600000000001</v>
      </c>
      <c r="P25" s="341">
        <v>2.47044</v>
      </c>
      <c r="Q25" s="341">
        <v>2.39778</v>
      </c>
      <c r="R25" s="341">
        <v>2.2420800000000001</v>
      </c>
      <c r="S25" s="341">
        <v>2.2317</v>
      </c>
      <c r="T25" s="341">
        <v>2.2628400000000002</v>
      </c>
      <c r="U25" s="341">
        <v>2.6469</v>
      </c>
      <c r="V25" s="341">
        <v>2.6780400000000002</v>
      </c>
      <c r="W25" s="341">
        <v>2.7403200000000001</v>
      </c>
      <c r="X25" s="341">
        <v>3.0932400000000002</v>
      </c>
      <c r="Y25" s="341">
        <v>2.81298</v>
      </c>
      <c r="Z25" s="341">
        <v>2.6157599999999999</v>
      </c>
      <c r="AA25" s="341">
        <v>3.30402</v>
      </c>
      <c r="AB25" s="341">
        <v>1.78708</v>
      </c>
      <c r="AC25" s="341">
        <v>1.5481100000000001</v>
      </c>
      <c r="AD25" s="341">
        <v>1.6624000000000001</v>
      </c>
      <c r="AE25" s="341">
        <v>2.20268</v>
      </c>
      <c r="AF25" s="341">
        <v>2.6390600000000002</v>
      </c>
      <c r="AG25" s="341">
        <v>2.1507299999999998</v>
      </c>
      <c r="AH25" s="341">
        <v>2.0676100000000002</v>
      </c>
      <c r="AI25" s="341">
        <v>2.3689200000000001</v>
      </c>
      <c r="AJ25" s="341">
        <v>2.2858000000000001</v>
      </c>
      <c r="AK25" s="341">
        <v>2.20268</v>
      </c>
      <c r="AL25" s="341">
        <v>3.1273900000000001</v>
      </c>
      <c r="AM25" s="341">
        <v>4.2910700000000004</v>
      </c>
      <c r="AN25" s="341">
        <v>4.3534100000000002</v>
      </c>
      <c r="AO25" s="341">
        <v>4.2806800000000003</v>
      </c>
      <c r="AP25" s="341">
        <v>3.5533800000000002</v>
      </c>
      <c r="AQ25" s="341">
        <v>3.2416800000000001</v>
      </c>
      <c r="AR25" s="341">
        <v>3.1377799999999998</v>
      </c>
      <c r="AS25" s="341">
        <v>3.3248000000000002</v>
      </c>
      <c r="AT25" s="341">
        <v>3.0234899999999998</v>
      </c>
      <c r="AU25" s="341">
        <v>3.0858300000000001</v>
      </c>
      <c r="AV25" s="341">
        <v>3.3144100000000001</v>
      </c>
      <c r="AW25" s="341">
        <v>3.9378099999999998</v>
      </c>
      <c r="AX25" s="341">
        <v>4.4261400000000002</v>
      </c>
      <c r="AY25" s="341">
        <v>8.0210799999999995</v>
      </c>
      <c r="AZ25" s="867">
        <v>3.76118</v>
      </c>
      <c r="BA25" s="867">
        <v>3.15856</v>
      </c>
      <c r="BB25" s="867">
        <v>2.8780299999999999</v>
      </c>
      <c r="BC25" s="867">
        <v>3.0546600000000002</v>
      </c>
      <c r="BD25" s="867">
        <v>3.27285</v>
      </c>
      <c r="BE25" s="867">
        <v>3.00271</v>
      </c>
      <c r="BF25" s="867">
        <v>2.88842</v>
      </c>
      <c r="BG25" s="867">
        <v>3.0650499999999998</v>
      </c>
      <c r="BH25" s="352">
        <v>3.2699099999999999</v>
      </c>
      <c r="BI25" s="352">
        <v>3.3708049999999998</v>
      </c>
      <c r="BJ25" s="352">
        <v>3.6364299999999998</v>
      </c>
      <c r="BK25" s="352">
        <v>4.161397</v>
      </c>
      <c r="BL25" s="352">
        <v>3.6419049999999999</v>
      </c>
      <c r="BM25" s="352">
        <v>3.0168849999999998</v>
      </c>
      <c r="BN25" s="352">
        <v>2.6959080000000002</v>
      </c>
      <c r="BO25" s="352">
        <v>2.6853889999999998</v>
      </c>
      <c r="BP25" s="352">
        <v>2.858136</v>
      </c>
      <c r="BQ25" s="352">
        <v>3.0609440000000001</v>
      </c>
      <c r="BR25" s="352">
        <v>3.1989909999999999</v>
      </c>
      <c r="BS25" s="352">
        <v>3.2301099999999998</v>
      </c>
      <c r="BT25" s="352">
        <v>3.2598159999999998</v>
      </c>
      <c r="BU25" s="352">
        <v>3.5619269999999998</v>
      </c>
      <c r="BV25" s="352">
        <v>4.0544919999999998</v>
      </c>
    </row>
    <row r="26" spans="1:74" ht="11.1" customHeight="1" x14ac:dyDescent="0.2">
      <c r="A26" s="29" t="s">
        <v>69</v>
      </c>
      <c r="B26" s="379" t="s">
        <v>925</v>
      </c>
      <c r="C26" s="341">
        <v>4.38</v>
      </c>
      <c r="D26" s="341">
        <v>4.6900000000000004</v>
      </c>
      <c r="E26" s="341">
        <v>4.9000000000000004</v>
      </c>
      <c r="F26" s="341">
        <v>6.6</v>
      </c>
      <c r="G26" s="341">
        <v>8.14</v>
      </c>
      <c r="H26" s="341">
        <v>7.7</v>
      </c>
      <c r="I26" s="341">
        <v>7.28</v>
      </c>
      <c r="J26" s="341">
        <v>8.81</v>
      </c>
      <c r="K26" s="341">
        <v>7.88</v>
      </c>
      <c r="L26" s="341">
        <v>5.66</v>
      </c>
      <c r="M26" s="341">
        <v>5.45</v>
      </c>
      <c r="N26" s="341">
        <v>5.53</v>
      </c>
      <c r="O26" s="341">
        <v>3.27</v>
      </c>
      <c r="P26" s="341">
        <v>2.38</v>
      </c>
      <c r="Q26" s="341">
        <v>2.31</v>
      </c>
      <c r="R26" s="341">
        <v>2.16</v>
      </c>
      <c r="S26" s="341">
        <v>2.15</v>
      </c>
      <c r="T26" s="341">
        <v>2.1800000000000002</v>
      </c>
      <c r="U26" s="341">
        <v>2.5499999999999998</v>
      </c>
      <c r="V26" s="341">
        <v>2.58</v>
      </c>
      <c r="W26" s="341">
        <v>2.64</v>
      </c>
      <c r="X26" s="341">
        <v>2.98</v>
      </c>
      <c r="Y26" s="341">
        <v>2.71</v>
      </c>
      <c r="Z26" s="341">
        <v>2.52</v>
      </c>
      <c r="AA26" s="341">
        <v>3.18</v>
      </c>
      <c r="AB26" s="341">
        <v>1.72</v>
      </c>
      <c r="AC26" s="341">
        <v>1.49</v>
      </c>
      <c r="AD26" s="341">
        <v>1.6</v>
      </c>
      <c r="AE26" s="341">
        <v>2.12</v>
      </c>
      <c r="AF26" s="341">
        <v>2.54</v>
      </c>
      <c r="AG26" s="341">
        <v>2.0699999999999998</v>
      </c>
      <c r="AH26" s="341">
        <v>1.99</v>
      </c>
      <c r="AI26" s="341">
        <v>2.2799999999999998</v>
      </c>
      <c r="AJ26" s="341">
        <v>2.2000000000000002</v>
      </c>
      <c r="AK26" s="341">
        <v>2.12</v>
      </c>
      <c r="AL26" s="341">
        <v>3.01</v>
      </c>
      <c r="AM26" s="341">
        <v>4.13</v>
      </c>
      <c r="AN26" s="341">
        <v>4.1900000000000004</v>
      </c>
      <c r="AO26" s="341">
        <v>4.12</v>
      </c>
      <c r="AP26" s="341">
        <v>3.42</v>
      </c>
      <c r="AQ26" s="341">
        <v>3.12</v>
      </c>
      <c r="AR26" s="341">
        <v>3.02</v>
      </c>
      <c r="AS26" s="341">
        <v>3.2</v>
      </c>
      <c r="AT26" s="341">
        <v>2.91</v>
      </c>
      <c r="AU26" s="341">
        <v>2.97</v>
      </c>
      <c r="AV26" s="341">
        <v>3.19</v>
      </c>
      <c r="AW26" s="341">
        <v>3.79</v>
      </c>
      <c r="AX26" s="341">
        <v>4.26</v>
      </c>
      <c r="AY26" s="341">
        <v>7.72</v>
      </c>
      <c r="AZ26" s="867">
        <v>3.62</v>
      </c>
      <c r="BA26" s="867">
        <v>3.04</v>
      </c>
      <c r="BB26" s="867">
        <v>2.77</v>
      </c>
      <c r="BC26" s="867">
        <v>2.94</v>
      </c>
      <c r="BD26" s="867">
        <v>3.15</v>
      </c>
      <c r="BE26" s="867">
        <v>2.89</v>
      </c>
      <c r="BF26" s="867">
        <v>2.78</v>
      </c>
      <c r="BG26" s="867">
        <v>2.95</v>
      </c>
      <c r="BH26" s="352">
        <v>3.1471710000000002</v>
      </c>
      <c r="BI26" s="352">
        <v>3.2442790000000001</v>
      </c>
      <c r="BJ26" s="352">
        <v>3.499933</v>
      </c>
      <c r="BK26" s="352">
        <v>4.0051949999999996</v>
      </c>
      <c r="BL26" s="352">
        <v>3.5052029999999998</v>
      </c>
      <c r="BM26" s="352">
        <v>2.9036430000000002</v>
      </c>
      <c r="BN26" s="352">
        <v>2.5947140000000002</v>
      </c>
      <c r="BO26" s="352">
        <v>2.5845899999999999</v>
      </c>
      <c r="BP26" s="352">
        <v>2.7508530000000002</v>
      </c>
      <c r="BQ26" s="352">
        <v>2.9460480000000002</v>
      </c>
      <c r="BR26" s="352">
        <v>3.0789140000000002</v>
      </c>
      <c r="BS26" s="352">
        <v>3.1088640000000001</v>
      </c>
      <c r="BT26" s="352">
        <v>3.1374550000000001</v>
      </c>
      <c r="BU26" s="352">
        <v>3.4282270000000001</v>
      </c>
      <c r="BV26" s="352">
        <v>3.9023029999999999</v>
      </c>
    </row>
    <row r="27" spans="1:74" ht="11.1" customHeight="1" x14ac:dyDescent="0.2">
      <c r="A27" s="29"/>
      <c r="B27" s="382" t="s">
        <v>926</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344"/>
      <c r="AN27" s="344"/>
      <c r="AO27" s="344"/>
      <c r="AP27" s="344"/>
      <c r="AQ27" s="344"/>
      <c r="AR27" s="344"/>
      <c r="AS27" s="344"/>
      <c r="AT27" s="344"/>
      <c r="AU27" s="344"/>
      <c r="AV27" s="344"/>
      <c r="AW27" s="344"/>
      <c r="AX27" s="344"/>
      <c r="AY27" s="344"/>
      <c r="AZ27" s="870"/>
      <c r="BA27" s="870"/>
      <c r="BB27" s="870"/>
      <c r="BC27" s="870"/>
      <c r="BD27" s="870"/>
      <c r="BE27" s="870"/>
      <c r="BF27" s="870"/>
      <c r="BG27" s="870"/>
      <c r="BH27" s="355"/>
      <c r="BI27" s="355"/>
      <c r="BJ27" s="355"/>
      <c r="BK27" s="355"/>
      <c r="BL27" s="355"/>
      <c r="BM27" s="355"/>
      <c r="BN27" s="355"/>
      <c r="BO27" s="355"/>
      <c r="BP27" s="355"/>
      <c r="BQ27" s="355"/>
      <c r="BR27" s="355"/>
      <c r="BS27" s="355"/>
      <c r="BT27" s="355"/>
      <c r="BU27" s="355"/>
      <c r="BV27" s="355"/>
    </row>
    <row r="28" spans="1:74" ht="11.1" customHeight="1" x14ac:dyDescent="0.2">
      <c r="A28" s="29" t="s">
        <v>380</v>
      </c>
      <c r="B28" s="384" t="s">
        <v>20</v>
      </c>
      <c r="C28" s="341">
        <v>6.49</v>
      </c>
      <c r="D28" s="341">
        <v>7.34</v>
      </c>
      <c r="E28" s="341">
        <v>6.2</v>
      </c>
      <c r="F28" s="341">
        <v>6.7</v>
      </c>
      <c r="G28" s="341">
        <v>8.11</v>
      </c>
      <c r="H28" s="341">
        <v>9.34</v>
      </c>
      <c r="I28" s="341">
        <v>7.89</v>
      </c>
      <c r="J28" s="341">
        <v>9.44</v>
      </c>
      <c r="K28" s="341">
        <v>9.6199999999999992</v>
      </c>
      <c r="L28" s="341">
        <v>7.18</v>
      </c>
      <c r="M28" s="341">
        <v>6.76</v>
      </c>
      <c r="N28" s="341">
        <v>8.08</v>
      </c>
      <c r="O28" s="341">
        <v>7.2</v>
      </c>
      <c r="P28" s="341">
        <v>5.94</v>
      </c>
      <c r="Q28" s="341">
        <v>5</v>
      </c>
      <c r="R28" s="341">
        <v>4.03</v>
      </c>
      <c r="S28" s="341">
        <v>3.54</v>
      </c>
      <c r="T28" s="341">
        <v>3.53</v>
      </c>
      <c r="U28" s="341">
        <v>3.84</v>
      </c>
      <c r="V28" s="341">
        <v>3.79</v>
      </c>
      <c r="W28" s="341">
        <v>3.84</v>
      </c>
      <c r="X28" s="341">
        <v>4.0599999999999996</v>
      </c>
      <c r="Y28" s="341">
        <v>4.3499999999999996</v>
      </c>
      <c r="Z28" s="341">
        <v>4.4800000000000004</v>
      </c>
      <c r="AA28" s="341">
        <v>5.24</v>
      </c>
      <c r="AB28" s="341">
        <v>4.97</v>
      </c>
      <c r="AC28" s="341">
        <v>3.9</v>
      </c>
      <c r="AD28" s="341">
        <v>3.48</v>
      </c>
      <c r="AE28" s="341">
        <v>3.31</v>
      </c>
      <c r="AF28" s="341">
        <v>3.85</v>
      </c>
      <c r="AG28" s="341">
        <v>3.74</v>
      </c>
      <c r="AH28" s="341">
        <v>3.22</v>
      </c>
      <c r="AI28" s="341">
        <v>3.4</v>
      </c>
      <c r="AJ28" s="341">
        <v>3.94</v>
      </c>
      <c r="AK28" s="341">
        <v>4.04</v>
      </c>
      <c r="AL28" s="341">
        <v>5.21</v>
      </c>
      <c r="AM28" s="341">
        <v>6.03</v>
      </c>
      <c r="AN28" s="341">
        <v>5.92</v>
      </c>
      <c r="AO28" s="341">
        <v>5.68</v>
      </c>
      <c r="AP28" s="341">
        <v>5.31</v>
      </c>
      <c r="AQ28" s="341">
        <v>4.6900000000000004</v>
      </c>
      <c r="AR28" s="341">
        <v>4.66</v>
      </c>
      <c r="AS28" s="341">
        <v>4.6399999999999997</v>
      </c>
      <c r="AT28" s="341">
        <v>4.47</v>
      </c>
      <c r="AU28" s="341">
        <v>4.42</v>
      </c>
      <c r="AV28" s="341">
        <v>4.55</v>
      </c>
      <c r="AW28" s="341">
        <v>5.33</v>
      </c>
      <c r="AX28" s="341">
        <v>6.37</v>
      </c>
      <c r="AY28" s="341">
        <v>7.2</v>
      </c>
      <c r="AZ28" s="867">
        <v>8.43</v>
      </c>
      <c r="BA28" s="867">
        <v>5.27</v>
      </c>
      <c r="BB28" s="867">
        <v>4.8</v>
      </c>
      <c r="BC28" s="867">
        <v>4.1900000000000004</v>
      </c>
      <c r="BD28" s="867">
        <v>4.3600000000000003</v>
      </c>
      <c r="BE28" s="867">
        <v>4.58</v>
      </c>
      <c r="BF28" s="867">
        <v>3.669638</v>
      </c>
      <c r="BG28" s="867">
        <v>3.765838</v>
      </c>
      <c r="BH28" s="352">
        <v>3.8894739999999999</v>
      </c>
      <c r="BI28" s="352">
        <v>4.1300569999999999</v>
      </c>
      <c r="BJ28" s="352">
        <v>4.7311740000000002</v>
      </c>
      <c r="BK28" s="352">
        <v>5.1963119999999998</v>
      </c>
      <c r="BL28" s="352">
        <v>5.0998239999999999</v>
      </c>
      <c r="BM28" s="352">
        <v>3.9653309999999999</v>
      </c>
      <c r="BN28" s="352">
        <v>3.5117769999999999</v>
      </c>
      <c r="BO28" s="352">
        <v>3.3392360000000001</v>
      </c>
      <c r="BP28" s="352">
        <v>3.5980660000000002</v>
      </c>
      <c r="BQ28" s="352">
        <v>3.5951270000000002</v>
      </c>
      <c r="BR28" s="352">
        <v>3.6820789999999999</v>
      </c>
      <c r="BS28" s="352">
        <v>3.8361200000000002</v>
      </c>
      <c r="BT28" s="352">
        <v>3.8547150000000001</v>
      </c>
      <c r="BU28" s="352">
        <v>4.2480029999999998</v>
      </c>
      <c r="BV28" s="352">
        <v>5.0399240000000001</v>
      </c>
    </row>
    <row r="29" spans="1:74" ht="11.1" customHeight="1" x14ac:dyDescent="0.2">
      <c r="A29" s="29" t="s">
        <v>370</v>
      </c>
      <c r="B29" s="384" t="s">
        <v>4</v>
      </c>
      <c r="C29" s="341">
        <v>9.7799999999999994</v>
      </c>
      <c r="D29" s="341">
        <v>10.039999999999999</v>
      </c>
      <c r="E29" s="341">
        <v>10.220000000000001</v>
      </c>
      <c r="F29" s="341">
        <v>10.61</v>
      </c>
      <c r="G29" s="341">
        <v>12.09</v>
      </c>
      <c r="H29" s="341">
        <v>13.44</v>
      </c>
      <c r="I29" s="341">
        <v>13.51</v>
      </c>
      <c r="J29" s="341">
        <v>14.14</v>
      </c>
      <c r="K29" s="341">
        <v>14.55</v>
      </c>
      <c r="L29" s="341">
        <v>12.85</v>
      </c>
      <c r="M29" s="341">
        <v>11.89</v>
      </c>
      <c r="N29" s="341">
        <v>11.97</v>
      </c>
      <c r="O29" s="341">
        <v>12.56</v>
      </c>
      <c r="P29" s="341">
        <v>12.11</v>
      </c>
      <c r="Q29" s="341">
        <v>11.05</v>
      </c>
      <c r="R29" s="341">
        <v>10.51</v>
      </c>
      <c r="S29" s="341">
        <v>10.56</v>
      </c>
      <c r="T29" s="341">
        <v>10.81</v>
      </c>
      <c r="U29" s="341">
        <v>10.98</v>
      </c>
      <c r="V29" s="341">
        <v>11.19</v>
      </c>
      <c r="W29" s="341">
        <v>11</v>
      </c>
      <c r="X29" s="341">
        <v>10.18</v>
      </c>
      <c r="Y29" s="341">
        <v>9.76</v>
      </c>
      <c r="Z29" s="341">
        <v>9.91</v>
      </c>
      <c r="AA29" s="341">
        <v>9.5</v>
      </c>
      <c r="AB29" s="341">
        <v>10.029999999999999</v>
      </c>
      <c r="AC29" s="341">
        <v>9.99</v>
      </c>
      <c r="AD29" s="341">
        <v>9.93</v>
      </c>
      <c r="AE29" s="341">
        <v>10.35</v>
      </c>
      <c r="AF29" s="341">
        <v>10.7</v>
      </c>
      <c r="AG29" s="341">
        <v>11.08</v>
      </c>
      <c r="AH29" s="341">
        <v>10.75</v>
      </c>
      <c r="AI29" s="341">
        <v>10.78</v>
      </c>
      <c r="AJ29" s="341">
        <v>10.43</v>
      </c>
      <c r="AK29" s="341">
        <v>10.1</v>
      </c>
      <c r="AL29" s="341">
        <v>9.82</v>
      </c>
      <c r="AM29" s="341">
        <v>9.8800000000000008</v>
      </c>
      <c r="AN29" s="341">
        <v>10.32</v>
      </c>
      <c r="AO29" s="341">
        <v>11.12</v>
      </c>
      <c r="AP29" s="341">
        <v>11.48</v>
      </c>
      <c r="AQ29" s="341">
        <v>11.82</v>
      </c>
      <c r="AR29" s="341">
        <v>12.18</v>
      </c>
      <c r="AS29" s="341">
        <v>12.77</v>
      </c>
      <c r="AT29" s="341">
        <v>12.55</v>
      </c>
      <c r="AU29" s="341">
        <v>12.13</v>
      </c>
      <c r="AV29" s="341">
        <v>11.27</v>
      </c>
      <c r="AW29" s="341">
        <v>10.75</v>
      </c>
      <c r="AX29" s="341">
        <v>10.95</v>
      </c>
      <c r="AY29" s="341">
        <v>11.26</v>
      </c>
      <c r="AZ29" s="867">
        <v>12.34</v>
      </c>
      <c r="BA29" s="867">
        <v>12.26</v>
      </c>
      <c r="BB29" s="867">
        <v>12.21</v>
      </c>
      <c r="BC29" s="867">
        <v>12.17</v>
      </c>
      <c r="BD29" s="867">
        <v>12.71</v>
      </c>
      <c r="BE29" s="867">
        <v>13.03</v>
      </c>
      <c r="BF29" s="867">
        <v>12.456329999999999</v>
      </c>
      <c r="BG29" s="867">
        <v>12.094569999999999</v>
      </c>
      <c r="BH29" s="352">
        <v>10.75839</v>
      </c>
      <c r="BI29" s="352">
        <v>10.01158</v>
      </c>
      <c r="BJ29" s="352">
        <v>9.8151960000000003</v>
      </c>
      <c r="BK29" s="352">
        <v>9.7852060000000005</v>
      </c>
      <c r="BL29" s="352">
        <v>9.7150649999999992</v>
      </c>
      <c r="BM29" s="352">
        <v>9.6592859999999998</v>
      </c>
      <c r="BN29" s="352">
        <v>9.5904330000000009</v>
      </c>
      <c r="BO29" s="352">
        <v>9.9756450000000001</v>
      </c>
      <c r="BP29" s="352">
        <v>10.31645</v>
      </c>
      <c r="BQ29" s="352">
        <v>10.27971</v>
      </c>
      <c r="BR29" s="352">
        <v>10.311719999999999</v>
      </c>
      <c r="BS29" s="352">
        <v>10.229900000000001</v>
      </c>
      <c r="BT29" s="352">
        <v>9.3525530000000003</v>
      </c>
      <c r="BU29" s="352">
        <v>8.8520070000000004</v>
      </c>
      <c r="BV29" s="352">
        <v>8.9399010000000008</v>
      </c>
    </row>
    <row r="30" spans="1:74" ht="11.1" customHeight="1" x14ac:dyDescent="0.2">
      <c r="A30" s="29" t="s">
        <v>256</v>
      </c>
      <c r="B30" s="384" t="s">
        <v>3</v>
      </c>
      <c r="C30" s="341">
        <v>12.04</v>
      </c>
      <c r="D30" s="341">
        <v>12.15</v>
      </c>
      <c r="E30" s="341">
        <v>12.94</v>
      </c>
      <c r="F30" s="341">
        <v>13.97</v>
      </c>
      <c r="G30" s="341">
        <v>17.68</v>
      </c>
      <c r="H30" s="341">
        <v>22.41</v>
      </c>
      <c r="I30" s="341">
        <v>24.57</v>
      </c>
      <c r="J30" s="341">
        <v>25.39</v>
      </c>
      <c r="K30" s="341">
        <v>24.52</v>
      </c>
      <c r="L30" s="341">
        <v>18.62</v>
      </c>
      <c r="M30" s="341">
        <v>15.56</v>
      </c>
      <c r="N30" s="341">
        <v>14.66</v>
      </c>
      <c r="O30" s="341">
        <v>15.56</v>
      </c>
      <c r="P30" s="341">
        <v>15.15</v>
      </c>
      <c r="Q30" s="341">
        <v>13.88</v>
      </c>
      <c r="R30" s="341">
        <v>14.54</v>
      </c>
      <c r="S30" s="341">
        <v>16.86</v>
      </c>
      <c r="T30" s="341">
        <v>20.309999999999999</v>
      </c>
      <c r="U30" s="341">
        <v>22.18</v>
      </c>
      <c r="V30" s="341">
        <v>23.41</v>
      </c>
      <c r="W30" s="341">
        <v>22.05</v>
      </c>
      <c r="X30" s="341">
        <v>16.850000000000001</v>
      </c>
      <c r="Y30" s="341">
        <v>13.47</v>
      </c>
      <c r="Z30" s="341">
        <v>13.03</v>
      </c>
      <c r="AA30" s="341">
        <v>11.89</v>
      </c>
      <c r="AB30" s="341">
        <v>13.14</v>
      </c>
      <c r="AC30" s="341">
        <v>13.66</v>
      </c>
      <c r="AD30" s="341">
        <v>14.32</v>
      </c>
      <c r="AE30" s="341">
        <v>17.670000000000002</v>
      </c>
      <c r="AF30" s="341">
        <v>20.72</v>
      </c>
      <c r="AG30" s="341">
        <v>22.78</v>
      </c>
      <c r="AH30" s="341">
        <v>23.22</v>
      </c>
      <c r="AI30" s="341">
        <v>22.46</v>
      </c>
      <c r="AJ30" s="341">
        <v>18.38</v>
      </c>
      <c r="AK30" s="341">
        <v>14.79</v>
      </c>
      <c r="AL30" s="341">
        <v>12.85</v>
      </c>
      <c r="AM30" s="341">
        <v>12.44</v>
      </c>
      <c r="AN30" s="341">
        <v>12.97</v>
      </c>
      <c r="AO30" s="341">
        <v>14.62</v>
      </c>
      <c r="AP30" s="341">
        <v>16.170000000000002</v>
      </c>
      <c r="AQ30" s="341">
        <v>19.260000000000002</v>
      </c>
      <c r="AR30" s="341">
        <v>23.21</v>
      </c>
      <c r="AS30" s="341">
        <v>25.44</v>
      </c>
      <c r="AT30" s="341">
        <v>26.26</v>
      </c>
      <c r="AU30" s="341">
        <v>24.7</v>
      </c>
      <c r="AV30" s="341">
        <v>19.34</v>
      </c>
      <c r="AW30" s="341">
        <v>15.07</v>
      </c>
      <c r="AX30" s="341">
        <v>14.09</v>
      </c>
      <c r="AY30" s="341">
        <v>13.96</v>
      </c>
      <c r="AZ30" s="867">
        <v>14.95</v>
      </c>
      <c r="BA30" s="867">
        <v>16.16</v>
      </c>
      <c r="BB30" s="867">
        <v>18.04</v>
      </c>
      <c r="BC30" s="867">
        <v>19.73</v>
      </c>
      <c r="BD30" s="867">
        <v>24.09</v>
      </c>
      <c r="BE30" s="867">
        <v>26.45</v>
      </c>
      <c r="BF30" s="867">
        <v>26.108529999999998</v>
      </c>
      <c r="BG30" s="867">
        <v>23.99755</v>
      </c>
      <c r="BH30" s="352">
        <v>18.290669999999999</v>
      </c>
      <c r="BI30" s="352">
        <v>14.43695</v>
      </c>
      <c r="BJ30" s="352">
        <v>13.32436</v>
      </c>
      <c r="BK30" s="352">
        <v>12.70758</v>
      </c>
      <c r="BL30" s="352">
        <v>13.32643</v>
      </c>
      <c r="BM30" s="352">
        <v>13.805580000000001</v>
      </c>
      <c r="BN30" s="352">
        <v>14.47218</v>
      </c>
      <c r="BO30" s="352">
        <v>16.461179999999999</v>
      </c>
      <c r="BP30" s="352">
        <v>19.643329999999999</v>
      </c>
      <c r="BQ30" s="352">
        <v>21.20412</v>
      </c>
      <c r="BR30" s="352">
        <v>21.898849999999999</v>
      </c>
      <c r="BS30" s="352">
        <v>20.604600000000001</v>
      </c>
      <c r="BT30" s="352">
        <v>16.08915</v>
      </c>
      <c r="BU30" s="352">
        <v>13.004049999999999</v>
      </c>
      <c r="BV30" s="352">
        <v>12.240259999999999</v>
      </c>
    </row>
    <row r="31" spans="1:74" ht="11.1" customHeight="1" x14ac:dyDescent="0.2">
      <c r="A31" s="26"/>
      <c r="B31" s="30" t="s">
        <v>538</v>
      </c>
      <c r="C31" s="372"/>
      <c r="D31" s="372"/>
      <c r="E31" s="372"/>
      <c r="F31" s="372"/>
      <c r="G31" s="372"/>
      <c r="H31" s="372"/>
      <c r="I31" s="372"/>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880"/>
      <c r="BA31" s="880"/>
      <c r="BB31" s="880"/>
      <c r="BC31" s="880"/>
      <c r="BD31" s="880"/>
      <c r="BE31" s="880"/>
      <c r="BF31" s="880"/>
      <c r="BG31" s="880"/>
      <c r="BH31" s="376"/>
      <c r="BI31" s="376"/>
      <c r="BJ31" s="376"/>
      <c r="BK31" s="376"/>
      <c r="BL31" s="376"/>
      <c r="BM31" s="376"/>
      <c r="BN31" s="376"/>
      <c r="BO31" s="376"/>
      <c r="BP31" s="376"/>
      <c r="BQ31" s="376"/>
      <c r="BR31" s="376"/>
      <c r="BS31" s="376"/>
      <c r="BT31" s="376"/>
      <c r="BU31" s="376"/>
      <c r="BV31" s="376"/>
    </row>
    <row r="32" spans="1:74" ht="11.1" customHeight="1" x14ac:dyDescent="0.2">
      <c r="A32" s="26"/>
      <c r="B32" s="381" t="s">
        <v>927</v>
      </c>
      <c r="C32" s="372"/>
      <c r="D32" s="372"/>
      <c r="E32" s="372"/>
      <c r="F32" s="372"/>
      <c r="G32" s="372"/>
      <c r="H32" s="372"/>
      <c r="I32" s="372"/>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880"/>
      <c r="BA32" s="880"/>
      <c r="BB32" s="880"/>
      <c r="BC32" s="880"/>
      <c r="BD32" s="880"/>
      <c r="BE32" s="880"/>
      <c r="BF32" s="880"/>
      <c r="BG32" s="880"/>
      <c r="BH32" s="376"/>
      <c r="BI32" s="376"/>
      <c r="BJ32" s="376"/>
      <c r="BK32" s="376"/>
      <c r="BL32" s="376"/>
      <c r="BM32" s="376"/>
      <c r="BN32" s="376"/>
      <c r="BO32" s="376"/>
      <c r="BP32" s="376"/>
      <c r="BQ32" s="376"/>
      <c r="BR32" s="376"/>
      <c r="BS32" s="376"/>
      <c r="BT32" s="376"/>
      <c r="BU32" s="376"/>
      <c r="BV32" s="376"/>
    </row>
    <row r="33" spans="1:74" ht="11.1" customHeight="1" x14ac:dyDescent="0.2">
      <c r="A33" s="29" t="s">
        <v>253</v>
      </c>
      <c r="B33" s="383" t="s">
        <v>472</v>
      </c>
      <c r="C33" s="341">
        <v>2.1999997519000001</v>
      </c>
      <c r="D33" s="341">
        <v>2.1699923609999998</v>
      </c>
      <c r="E33" s="341">
        <v>2.1519612245999999</v>
      </c>
      <c r="F33" s="341">
        <v>2.1814958866</v>
      </c>
      <c r="G33" s="341">
        <v>2.2321288404000001</v>
      </c>
      <c r="H33" s="341">
        <v>2.3155552371999999</v>
      </c>
      <c r="I33" s="341">
        <v>2.4693298204</v>
      </c>
      <c r="J33" s="341">
        <v>2.5065243406</v>
      </c>
      <c r="K33" s="341">
        <v>2.5078223408000002</v>
      </c>
      <c r="L33" s="341">
        <v>2.4609091750999998</v>
      </c>
      <c r="M33" s="341">
        <v>2.4777312747</v>
      </c>
      <c r="N33" s="341">
        <v>2.6450427794000002</v>
      </c>
      <c r="O33" s="341">
        <v>2.5903686218000002</v>
      </c>
      <c r="P33" s="341">
        <v>2.5892527438999999</v>
      </c>
      <c r="Q33" s="341">
        <v>2.4979914435000001</v>
      </c>
      <c r="R33" s="341">
        <v>2.4713572313999999</v>
      </c>
      <c r="S33" s="341">
        <v>2.5092990619000002</v>
      </c>
      <c r="T33" s="341">
        <v>2.4623011391</v>
      </c>
      <c r="U33" s="341">
        <v>2.4738063500999998</v>
      </c>
      <c r="V33" s="341">
        <v>2.4908998937</v>
      </c>
      <c r="W33" s="341">
        <v>2.5303277523999999</v>
      </c>
      <c r="X33" s="341">
        <v>2.5308087511999999</v>
      </c>
      <c r="Y33" s="341">
        <v>2.5057355774999999</v>
      </c>
      <c r="Z33" s="341">
        <v>2.4743834294</v>
      </c>
      <c r="AA33" s="341">
        <v>2.4806339994000002</v>
      </c>
      <c r="AB33" s="341">
        <v>2.4818840379</v>
      </c>
      <c r="AC33" s="341">
        <v>2.4990102975999999</v>
      </c>
      <c r="AD33" s="341">
        <v>2.5358311646999998</v>
      </c>
      <c r="AE33" s="341">
        <v>2.5624787641000002</v>
      </c>
      <c r="AF33" s="341">
        <v>2.5077763424000001</v>
      </c>
      <c r="AG33" s="341">
        <v>2.4719804123000002</v>
      </c>
      <c r="AH33" s="341">
        <v>2.4424824922999999</v>
      </c>
      <c r="AI33" s="341">
        <v>2.4158504054000001</v>
      </c>
      <c r="AJ33" s="341">
        <v>2.4734106157000002</v>
      </c>
      <c r="AK33" s="341">
        <v>2.4189353316000002</v>
      </c>
      <c r="AL33" s="341">
        <v>2.4001598331</v>
      </c>
      <c r="AM33" s="341">
        <v>2.4074516031000002</v>
      </c>
      <c r="AN33" s="341">
        <v>2.4218919803999999</v>
      </c>
      <c r="AO33" s="341">
        <v>2.4480426473999999</v>
      </c>
      <c r="AP33" s="341">
        <v>2.4750664440999999</v>
      </c>
      <c r="AQ33" s="341">
        <v>2.4976897628999999</v>
      </c>
      <c r="AR33" s="341">
        <v>2.4556935038000001</v>
      </c>
      <c r="AS33" s="341">
        <v>2.4038538293</v>
      </c>
      <c r="AT33" s="341">
        <v>2.4052350316000002</v>
      </c>
      <c r="AU33" s="341">
        <v>2.4085215382</v>
      </c>
      <c r="AV33" s="341">
        <v>2.3886597709999999</v>
      </c>
      <c r="AW33" s="341">
        <v>2.3943675542</v>
      </c>
      <c r="AX33" s="341">
        <v>2.3848649649999998</v>
      </c>
      <c r="AY33" s="341">
        <v>2.4454179549999999</v>
      </c>
      <c r="AZ33" s="867">
        <v>2.3940255168000002</v>
      </c>
      <c r="BA33" s="867">
        <v>2.4122786872000002</v>
      </c>
      <c r="BB33" s="867">
        <v>2.4173443012</v>
      </c>
      <c r="BC33" s="867">
        <v>2.4327200469000001</v>
      </c>
      <c r="BD33" s="867">
        <v>2.5142710737999998</v>
      </c>
      <c r="BE33" s="867">
        <v>2.4901709418000002</v>
      </c>
      <c r="BF33" s="867">
        <v>2.4768309999999998</v>
      </c>
      <c r="BG33" s="867">
        <v>2.4638469999999999</v>
      </c>
      <c r="BH33" s="352">
        <v>2.4485760000000001</v>
      </c>
      <c r="BI33" s="352">
        <v>2.4558779999999998</v>
      </c>
      <c r="BJ33" s="352">
        <v>2.4745720000000002</v>
      </c>
      <c r="BK33" s="352">
        <v>2.4801090000000001</v>
      </c>
      <c r="BL33" s="352">
        <v>2.4731800000000002</v>
      </c>
      <c r="BM33" s="352">
        <v>2.4752679999999998</v>
      </c>
      <c r="BN33" s="352">
        <v>2.4816500000000001</v>
      </c>
      <c r="BO33" s="352">
        <v>2.4858920000000002</v>
      </c>
      <c r="BP33" s="352">
        <v>2.465773</v>
      </c>
      <c r="BQ33" s="352">
        <v>2.464159</v>
      </c>
      <c r="BR33" s="352">
        <v>2.4659309999999999</v>
      </c>
      <c r="BS33" s="352">
        <v>2.456321</v>
      </c>
      <c r="BT33" s="352">
        <v>2.4406409999999998</v>
      </c>
      <c r="BU33" s="352">
        <v>2.437408</v>
      </c>
      <c r="BV33" s="352">
        <v>2.4486340000000002</v>
      </c>
    </row>
    <row r="34" spans="1:74" ht="11.1" customHeight="1" x14ac:dyDescent="0.2">
      <c r="A34" s="29" t="s">
        <v>255</v>
      </c>
      <c r="B34" s="383" t="s">
        <v>914</v>
      </c>
      <c r="C34" s="341">
        <v>6.5615685707000004</v>
      </c>
      <c r="D34" s="341">
        <v>5.9972804982000003</v>
      </c>
      <c r="E34" s="341">
        <v>5.0999950249000001</v>
      </c>
      <c r="F34" s="341">
        <v>6.2112152114999999</v>
      </c>
      <c r="G34" s="341">
        <v>7.5658022316000002</v>
      </c>
      <c r="H34" s="341">
        <v>8.0109598412</v>
      </c>
      <c r="I34" s="341">
        <v>7.5251204563999998</v>
      </c>
      <c r="J34" s="341">
        <v>9.0036781665000003</v>
      </c>
      <c r="K34" s="341">
        <v>8.1459769853000008</v>
      </c>
      <c r="L34" s="341">
        <v>5.8016812475000004</v>
      </c>
      <c r="M34" s="341">
        <v>5.7086230943</v>
      </c>
      <c r="N34" s="341">
        <v>8.9206060783000005</v>
      </c>
      <c r="O34" s="341">
        <v>7.0480798877000002</v>
      </c>
      <c r="P34" s="341">
        <v>4.3766906663</v>
      </c>
      <c r="Q34" s="341">
        <v>3.3688401705</v>
      </c>
      <c r="R34" s="341">
        <v>2.6996565491000002</v>
      </c>
      <c r="S34" s="341">
        <v>2.5466016362000001</v>
      </c>
      <c r="T34" s="341">
        <v>2.5965598186999999</v>
      </c>
      <c r="U34" s="341">
        <v>2.9999010815</v>
      </c>
      <c r="V34" s="341">
        <v>2.9442115459</v>
      </c>
      <c r="W34" s="341">
        <v>2.8748364672000002</v>
      </c>
      <c r="X34" s="341">
        <v>2.9244336025000002</v>
      </c>
      <c r="Y34" s="341">
        <v>3.3889108793</v>
      </c>
      <c r="Z34" s="341">
        <v>3.2818352851000001</v>
      </c>
      <c r="AA34" s="341">
        <v>4.8608804644000001</v>
      </c>
      <c r="AB34" s="341">
        <v>2.9022368507</v>
      </c>
      <c r="AC34" s="341">
        <v>2.1884128342000002</v>
      </c>
      <c r="AD34" s="341">
        <v>2.047106334</v>
      </c>
      <c r="AE34" s="341">
        <v>2.2880624256000002</v>
      </c>
      <c r="AF34" s="341">
        <v>2.6821510191</v>
      </c>
      <c r="AG34" s="341">
        <v>2.5068160717999999</v>
      </c>
      <c r="AH34" s="341">
        <v>2.2496043330000002</v>
      </c>
      <c r="AI34" s="341">
        <v>2.3651181378000001</v>
      </c>
      <c r="AJ34" s="341">
        <v>2.6065868264000001</v>
      </c>
      <c r="AK34" s="341">
        <v>2.633446819</v>
      </c>
      <c r="AL34" s="341">
        <v>3.8545030258000001</v>
      </c>
      <c r="AM34" s="341">
        <v>5.8751660674000004</v>
      </c>
      <c r="AN34" s="341">
        <v>4.8104435451000001</v>
      </c>
      <c r="AO34" s="341">
        <v>4.1730048768000003</v>
      </c>
      <c r="AP34" s="341">
        <v>3.5806145393</v>
      </c>
      <c r="AQ34" s="341">
        <v>3.2834531185000002</v>
      </c>
      <c r="AR34" s="341">
        <v>3.3355905506000001</v>
      </c>
      <c r="AS34" s="341">
        <v>3.5245461805999998</v>
      </c>
      <c r="AT34" s="341">
        <v>3.1676547364999998</v>
      </c>
      <c r="AU34" s="341">
        <v>3.0409609649</v>
      </c>
      <c r="AV34" s="341">
        <v>3.0820126627</v>
      </c>
      <c r="AW34" s="341">
        <v>3.8880261140000001</v>
      </c>
      <c r="AX34" s="341">
        <v>5.0377258979999997</v>
      </c>
      <c r="AY34" s="341">
        <v>9.8066621323999996</v>
      </c>
      <c r="AZ34" s="867">
        <v>6.2766332887000003</v>
      </c>
      <c r="BA34" s="867">
        <v>3.1079722656</v>
      </c>
      <c r="BB34" s="867">
        <v>2.7849866711</v>
      </c>
      <c r="BC34" s="867">
        <v>2.7515764697999998</v>
      </c>
      <c r="BD34" s="867">
        <v>3.1656973361</v>
      </c>
      <c r="BE34" s="867">
        <v>3.3545949149999998</v>
      </c>
      <c r="BF34" s="867">
        <v>2.9290440000000002</v>
      </c>
      <c r="BG34" s="867">
        <v>2.9269759999999998</v>
      </c>
      <c r="BH34" s="352">
        <v>3.2603070000000001</v>
      </c>
      <c r="BI34" s="352">
        <v>3.4737</v>
      </c>
      <c r="BJ34" s="352">
        <v>3.892388</v>
      </c>
      <c r="BK34" s="352">
        <v>4.5412160000000004</v>
      </c>
      <c r="BL34" s="352">
        <v>3.997166</v>
      </c>
      <c r="BM34" s="352">
        <v>3.2266780000000002</v>
      </c>
      <c r="BN34" s="352">
        <v>2.8180420000000002</v>
      </c>
      <c r="BO34" s="352">
        <v>2.7159659999999999</v>
      </c>
      <c r="BP34" s="352">
        <v>2.7563909999999998</v>
      </c>
      <c r="BQ34" s="352">
        <v>2.9473370000000001</v>
      </c>
      <c r="BR34" s="352">
        <v>3.082379</v>
      </c>
      <c r="BS34" s="352">
        <v>3.0712269999999999</v>
      </c>
      <c r="BT34" s="352">
        <v>3.2433879999999999</v>
      </c>
      <c r="BU34" s="352">
        <v>3.637616</v>
      </c>
      <c r="BV34" s="352">
        <v>4.2790600000000003</v>
      </c>
    </row>
    <row r="35" spans="1:74" ht="11.1" customHeight="1" x14ac:dyDescent="0.2">
      <c r="A35" s="29" t="s">
        <v>254</v>
      </c>
      <c r="B35" s="383" t="s">
        <v>915</v>
      </c>
      <c r="C35" s="341">
        <v>15.49</v>
      </c>
      <c r="D35" s="341">
        <v>16.489999999999998</v>
      </c>
      <c r="E35" s="341">
        <v>20.329999999999998</v>
      </c>
      <c r="F35" s="341">
        <v>25.06</v>
      </c>
      <c r="G35" s="341">
        <v>26.15</v>
      </c>
      <c r="H35" s="341">
        <v>26.3</v>
      </c>
      <c r="I35" s="341">
        <v>30.36</v>
      </c>
      <c r="J35" s="341">
        <v>25.72</v>
      </c>
      <c r="K35" s="341">
        <v>23.76</v>
      </c>
      <c r="L35" s="341">
        <v>21.76</v>
      </c>
      <c r="M35" s="341">
        <v>23.74</v>
      </c>
      <c r="N35" s="341">
        <v>19.86</v>
      </c>
      <c r="O35" s="341">
        <v>19.440000000000001</v>
      </c>
      <c r="P35" s="341">
        <v>18.559999999999999</v>
      </c>
      <c r="Q35" s="341">
        <v>19.920000000000002</v>
      </c>
      <c r="R35" s="341">
        <v>18.77</v>
      </c>
      <c r="S35" s="341">
        <v>18.11</v>
      </c>
      <c r="T35" s="341">
        <v>16.82</v>
      </c>
      <c r="U35" s="341">
        <v>16.739999999999998</v>
      </c>
      <c r="V35" s="341">
        <v>19.03</v>
      </c>
      <c r="W35" s="341">
        <v>22.2</v>
      </c>
      <c r="X35" s="341">
        <v>21.47</v>
      </c>
      <c r="Y35" s="341">
        <v>20.75</v>
      </c>
      <c r="Z35" s="341">
        <v>20.25</v>
      </c>
      <c r="AA35" s="341">
        <v>18.22</v>
      </c>
      <c r="AB35" s="341">
        <v>18.940000000000001</v>
      </c>
      <c r="AC35" s="341">
        <v>19.670000000000002</v>
      </c>
      <c r="AD35" s="341">
        <v>19.239999999999998</v>
      </c>
      <c r="AE35" s="341">
        <v>18.809999999999999</v>
      </c>
      <c r="AF35" s="341">
        <v>17.68</v>
      </c>
      <c r="AG35" s="341">
        <v>18.149999999999999</v>
      </c>
      <c r="AH35" s="341">
        <v>18.23</v>
      </c>
      <c r="AI35" s="341">
        <v>17.079999999999998</v>
      </c>
      <c r="AJ35" s="341">
        <v>15.76</v>
      </c>
      <c r="AK35" s="341">
        <v>16.25</v>
      </c>
      <c r="AL35" s="341">
        <v>16.43</v>
      </c>
      <c r="AM35" s="341">
        <v>16.07</v>
      </c>
      <c r="AN35" s="341">
        <v>17.059999999999999</v>
      </c>
      <c r="AO35" s="341">
        <v>15.83</v>
      </c>
      <c r="AP35" s="341">
        <v>15.6</v>
      </c>
      <c r="AQ35" s="341">
        <v>15.05</v>
      </c>
      <c r="AR35" s="341">
        <v>15.04</v>
      </c>
      <c r="AS35" s="341">
        <v>16.16</v>
      </c>
      <c r="AT35" s="341">
        <v>16.12</v>
      </c>
      <c r="AU35" s="341">
        <v>15.34</v>
      </c>
      <c r="AV35" s="341">
        <v>15.67</v>
      </c>
      <c r="AW35" s="341">
        <v>15.41</v>
      </c>
      <c r="AX35" s="341">
        <v>15.02</v>
      </c>
      <c r="AY35" s="341">
        <v>13.99</v>
      </c>
      <c r="AZ35" s="867">
        <v>13.38</v>
      </c>
      <c r="BA35" s="867">
        <v>17.93</v>
      </c>
      <c r="BB35" s="867">
        <v>26.96</v>
      </c>
      <c r="BC35" s="867">
        <v>28.72</v>
      </c>
      <c r="BD35" s="867">
        <v>24.72294308</v>
      </c>
      <c r="BE35" s="867">
        <v>22.078559952999999</v>
      </c>
      <c r="BF35" s="867">
        <v>20.26397</v>
      </c>
      <c r="BG35" s="867">
        <v>21.057649999999999</v>
      </c>
      <c r="BH35" s="352">
        <v>22.436430000000001</v>
      </c>
      <c r="BI35" s="352">
        <v>22.202809999999999</v>
      </c>
      <c r="BJ35" s="352">
        <v>21.548780000000001</v>
      </c>
      <c r="BK35" s="352">
        <v>20.601880000000001</v>
      </c>
      <c r="BL35" s="352">
        <v>19.51952</v>
      </c>
      <c r="BM35" s="352">
        <v>19.26324</v>
      </c>
      <c r="BN35" s="352">
        <v>19.300560000000001</v>
      </c>
      <c r="BO35" s="352">
        <v>18.28567</v>
      </c>
      <c r="BP35" s="352">
        <v>18.070540000000001</v>
      </c>
      <c r="BQ35" s="352">
        <v>17.091059999999999</v>
      </c>
      <c r="BR35" s="352">
        <v>16.306719999999999</v>
      </c>
      <c r="BS35" s="352">
        <v>15.768079999999999</v>
      </c>
      <c r="BT35" s="352">
        <v>15.39264</v>
      </c>
      <c r="BU35" s="352">
        <v>15.102460000000001</v>
      </c>
      <c r="BV35" s="352">
        <v>15.176159999999999</v>
      </c>
    </row>
    <row r="36" spans="1:74" ht="11.1" customHeight="1" x14ac:dyDescent="0.2">
      <c r="A36" s="29" t="s">
        <v>7</v>
      </c>
      <c r="B36" s="383" t="s">
        <v>916</v>
      </c>
      <c r="C36" s="341">
        <v>20.100000000000001</v>
      </c>
      <c r="D36" s="341">
        <v>20.79</v>
      </c>
      <c r="E36" s="341">
        <v>25.68</v>
      </c>
      <c r="F36" s="341">
        <v>28.32</v>
      </c>
      <c r="G36" s="341">
        <v>30.12</v>
      </c>
      <c r="H36" s="341">
        <v>33.020000000000003</v>
      </c>
      <c r="I36" s="341">
        <v>27.38</v>
      </c>
      <c r="J36" s="341">
        <v>26.9</v>
      </c>
      <c r="K36" s="341">
        <v>25.57</v>
      </c>
      <c r="L36" s="341">
        <v>27.81</v>
      </c>
      <c r="M36" s="341">
        <v>29.28</v>
      </c>
      <c r="N36" s="341">
        <v>23.17</v>
      </c>
      <c r="O36" s="341">
        <v>24.09</v>
      </c>
      <c r="P36" s="341">
        <v>23.1</v>
      </c>
      <c r="Q36" s="341">
        <v>21.42</v>
      </c>
      <c r="R36" s="341">
        <v>20.9</v>
      </c>
      <c r="S36" s="341">
        <v>19.87</v>
      </c>
      <c r="T36" s="341">
        <v>19.21</v>
      </c>
      <c r="U36" s="341">
        <v>19.84</v>
      </c>
      <c r="V36" s="341">
        <v>23</v>
      </c>
      <c r="W36" s="341">
        <v>24.18</v>
      </c>
      <c r="X36" s="341">
        <v>24.23</v>
      </c>
      <c r="Y36" s="341">
        <v>21.75</v>
      </c>
      <c r="Z36" s="341">
        <v>20.74</v>
      </c>
      <c r="AA36" s="341">
        <v>19.64</v>
      </c>
      <c r="AB36" s="341">
        <v>20.84</v>
      </c>
      <c r="AC36" s="341">
        <v>20.6</v>
      </c>
      <c r="AD36" s="341">
        <v>20.84</v>
      </c>
      <c r="AE36" s="341">
        <v>19.440000000000001</v>
      </c>
      <c r="AF36" s="341">
        <v>18.62</v>
      </c>
      <c r="AG36" s="341">
        <v>19.57</v>
      </c>
      <c r="AH36" s="341">
        <v>18.37</v>
      </c>
      <c r="AI36" s="341">
        <v>17.79</v>
      </c>
      <c r="AJ36" s="341">
        <v>17.32</v>
      </c>
      <c r="AK36" s="341">
        <v>18.850000000000001</v>
      </c>
      <c r="AL36" s="341">
        <v>17.670000000000002</v>
      </c>
      <c r="AM36" s="341">
        <v>18.899999999999999</v>
      </c>
      <c r="AN36" s="341">
        <v>18.420000000000002</v>
      </c>
      <c r="AO36" s="341">
        <v>17.420000000000002</v>
      </c>
      <c r="AP36" s="341">
        <v>17.899999999999999</v>
      </c>
      <c r="AQ36" s="341">
        <v>16.75</v>
      </c>
      <c r="AR36" s="341">
        <v>17.64</v>
      </c>
      <c r="AS36" s="341">
        <v>18.39</v>
      </c>
      <c r="AT36" s="341">
        <v>17.809999999999999</v>
      </c>
      <c r="AU36" s="341">
        <v>18.13</v>
      </c>
      <c r="AV36" s="341">
        <v>18.07</v>
      </c>
      <c r="AW36" s="341">
        <v>18.3</v>
      </c>
      <c r="AX36" s="341">
        <v>17.329999999999998</v>
      </c>
      <c r="AY36" s="341">
        <v>17.73</v>
      </c>
      <c r="AZ36" s="867">
        <v>17.690000000000001</v>
      </c>
      <c r="BA36" s="867">
        <v>23.17</v>
      </c>
      <c r="BB36" s="867">
        <v>31.5</v>
      </c>
      <c r="BC36" s="867">
        <v>32.26</v>
      </c>
      <c r="BD36" s="867">
        <v>24.916677117999999</v>
      </c>
      <c r="BE36" s="867">
        <v>24.922234284000002</v>
      </c>
      <c r="BF36" s="867">
        <v>30.523510000000002</v>
      </c>
      <c r="BG36" s="867">
        <v>35.634799999999998</v>
      </c>
      <c r="BH36" s="352">
        <v>34.9223</v>
      </c>
      <c r="BI36" s="352">
        <v>32.899299999999997</v>
      </c>
      <c r="BJ36" s="352">
        <v>30.062919999999998</v>
      </c>
      <c r="BK36" s="352">
        <v>28.633970000000001</v>
      </c>
      <c r="BL36" s="352">
        <v>27.4239</v>
      </c>
      <c r="BM36" s="352">
        <v>26.740960000000001</v>
      </c>
      <c r="BN36" s="352">
        <v>25.16216</v>
      </c>
      <c r="BO36" s="352">
        <v>23.993690000000001</v>
      </c>
      <c r="BP36" s="352">
        <v>23.297779999999999</v>
      </c>
      <c r="BQ36" s="352">
        <v>22.880189999999999</v>
      </c>
      <c r="BR36" s="352">
        <v>22.31765</v>
      </c>
      <c r="BS36" s="352">
        <v>22.023710000000001</v>
      </c>
      <c r="BT36" s="352">
        <v>21.96388</v>
      </c>
      <c r="BU36" s="352">
        <v>22.138030000000001</v>
      </c>
      <c r="BV36" s="352">
        <v>21.197179999999999</v>
      </c>
    </row>
    <row r="37" spans="1:74" ht="11.1" customHeight="1" x14ac:dyDescent="0.2">
      <c r="A37" s="29"/>
      <c r="B37" s="381" t="s">
        <v>928</v>
      </c>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c r="AW37" s="344"/>
      <c r="AX37" s="344"/>
      <c r="AY37" s="344"/>
      <c r="AZ37" s="870"/>
      <c r="BA37" s="870"/>
      <c r="BB37" s="870"/>
      <c r="BC37" s="870"/>
      <c r="BD37" s="870"/>
      <c r="BE37" s="870"/>
      <c r="BF37" s="870"/>
      <c r="BG37" s="870"/>
      <c r="BH37" s="355"/>
      <c r="BI37" s="355"/>
      <c r="BJ37" s="355"/>
      <c r="BK37" s="355"/>
      <c r="BL37" s="355"/>
      <c r="BM37" s="355"/>
      <c r="BN37" s="355"/>
      <c r="BO37" s="355"/>
      <c r="BP37" s="355"/>
      <c r="BQ37" s="355"/>
      <c r="BR37" s="355"/>
      <c r="BS37" s="355"/>
      <c r="BT37" s="355"/>
      <c r="BU37" s="355"/>
      <c r="BV37" s="355"/>
    </row>
    <row r="38" spans="1:74" ht="11.1" customHeight="1" x14ac:dyDescent="0.2">
      <c r="A38" s="29" t="s">
        <v>1</v>
      </c>
      <c r="B38" s="384" t="s">
        <v>20</v>
      </c>
      <c r="C38" s="341">
        <v>7.19</v>
      </c>
      <c r="D38" s="341">
        <v>7.28</v>
      </c>
      <c r="E38" s="341">
        <v>7.37</v>
      </c>
      <c r="F38" s="341">
        <v>7.7</v>
      </c>
      <c r="G38" s="341">
        <v>8.25</v>
      </c>
      <c r="H38" s="341">
        <v>8.85</v>
      </c>
      <c r="I38" s="341">
        <v>9.31</v>
      </c>
      <c r="J38" s="341">
        <v>9.3800000000000008</v>
      </c>
      <c r="K38" s="341">
        <v>9.06</v>
      </c>
      <c r="L38" s="341">
        <v>8.4499999999999993</v>
      </c>
      <c r="M38" s="341">
        <v>8.14</v>
      </c>
      <c r="N38" s="341">
        <v>8.5</v>
      </c>
      <c r="O38" s="341">
        <v>8.18</v>
      </c>
      <c r="P38" s="341">
        <v>8.01</v>
      </c>
      <c r="Q38" s="341">
        <v>7.8</v>
      </c>
      <c r="R38" s="341">
        <v>7.51</v>
      </c>
      <c r="S38" s="341">
        <v>7.64</v>
      </c>
      <c r="T38" s="341">
        <v>8.11</v>
      </c>
      <c r="U38" s="341">
        <v>8.36</v>
      </c>
      <c r="V38" s="341">
        <v>8.9</v>
      </c>
      <c r="W38" s="341">
        <v>8.43</v>
      </c>
      <c r="X38" s="341">
        <v>8.01</v>
      </c>
      <c r="Y38" s="341">
        <v>7.79</v>
      </c>
      <c r="Z38" s="341">
        <v>7.61</v>
      </c>
      <c r="AA38" s="341">
        <v>8.07</v>
      </c>
      <c r="AB38" s="341">
        <v>7.76</v>
      </c>
      <c r="AC38" s="341">
        <v>7.68</v>
      </c>
      <c r="AD38" s="341">
        <v>7.79</v>
      </c>
      <c r="AE38" s="341">
        <v>7.87</v>
      </c>
      <c r="AF38" s="341">
        <v>8.41</v>
      </c>
      <c r="AG38" s="341">
        <v>8.73</v>
      </c>
      <c r="AH38" s="341">
        <v>8.67</v>
      </c>
      <c r="AI38" s="341">
        <v>8.4499999999999993</v>
      </c>
      <c r="AJ38" s="341">
        <v>8.11</v>
      </c>
      <c r="AK38" s="341">
        <v>7.85</v>
      </c>
      <c r="AL38" s="341">
        <v>7.96</v>
      </c>
      <c r="AM38" s="341">
        <v>8.34</v>
      </c>
      <c r="AN38" s="341">
        <v>8.24</v>
      </c>
      <c r="AO38" s="341">
        <v>8.26</v>
      </c>
      <c r="AP38" s="341">
        <v>8.2100000000000009</v>
      </c>
      <c r="AQ38" s="341">
        <v>8.2899999999999991</v>
      </c>
      <c r="AR38" s="341">
        <v>8.9</v>
      </c>
      <c r="AS38" s="341">
        <v>9.33</v>
      </c>
      <c r="AT38" s="341">
        <v>9.08</v>
      </c>
      <c r="AU38" s="341">
        <v>9.02</v>
      </c>
      <c r="AV38" s="341">
        <v>8.65</v>
      </c>
      <c r="AW38" s="341">
        <v>8.44</v>
      </c>
      <c r="AX38" s="341">
        <v>8.5299999999999994</v>
      </c>
      <c r="AY38" s="341">
        <v>9.2899999999999991</v>
      </c>
      <c r="AZ38" s="867">
        <v>8.9499999999999993</v>
      </c>
      <c r="BA38" s="867">
        <v>8.58</v>
      </c>
      <c r="BB38" s="867">
        <v>8.66</v>
      </c>
      <c r="BC38" s="867">
        <v>8.7100000000000009</v>
      </c>
      <c r="BD38" s="867">
        <v>9.17</v>
      </c>
      <c r="BE38" s="867">
        <v>9.77</v>
      </c>
      <c r="BF38" s="867">
        <v>9.5788670000000007</v>
      </c>
      <c r="BG38" s="867">
        <v>9.5769939999999991</v>
      </c>
      <c r="BH38" s="352">
        <v>8.8557030000000001</v>
      </c>
      <c r="BI38" s="352">
        <v>8.5884590000000003</v>
      </c>
      <c r="BJ38" s="352">
        <v>8.7475570000000005</v>
      </c>
      <c r="BK38" s="352">
        <v>9.1505089999999996</v>
      </c>
      <c r="BL38" s="352">
        <v>9.2826629999999994</v>
      </c>
      <c r="BM38" s="352">
        <v>8.8790030000000009</v>
      </c>
      <c r="BN38" s="352">
        <v>8.9435280000000006</v>
      </c>
      <c r="BO38" s="352">
        <v>8.8806919999999998</v>
      </c>
      <c r="BP38" s="352">
        <v>9.3361289999999997</v>
      </c>
      <c r="BQ38" s="352">
        <v>9.7522350000000007</v>
      </c>
      <c r="BR38" s="352">
        <v>9.5468630000000001</v>
      </c>
      <c r="BS38" s="352">
        <v>9.4264109999999999</v>
      </c>
      <c r="BT38" s="352">
        <v>8.9496520000000004</v>
      </c>
      <c r="BU38" s="352">
        <v>8.7102850000000007</v>
      </c>
      <c r="BV38" s="352">
        <v>8.8760480000000008</v>
      </c>
    </row>
    <row r="39" spans="1:74" ht="11.1" customHeight="1" x14ac:dyDescent="0.2">
      <c r="A39" s="29" t="s">
        <v>2</v>
      </c>
      <c r="B39" s="384" t="s">
        <v>4</v>
      </c>
      <c r="C39" s="341">
        <v>11.26</v>
      </c>
      <c r="D39" s="341">
        <v>11.66</v>
      </c>
      <c r="E39" s="341">
        <v>11.65</v>
      </c>
      <c r="F39" s="341">
        <v>11.82</v>
      </c>
      <c r="G39" s="341">
        <v>12</v>
      </c>
      <c r="H39" s="341">
        <v>12.75</v>
      </c>
      <c r="I39" s="341">
        <v>13.02</v>
      </c>
      <c r="J39" s="341">
        <v>13.41</v>
      </c>
      <c r="K39" s="341">
        <v>13.28</v>
      </c>
      <c r="L39" s="341">
        <v>12.89</v>
      </c>
      <c r="M39" s="341">
        <v>12.33</v>
      </c>
      <c r="N39" s="341">
        <v>12.28</v>
      </c>
      <c r="O39" s="341">
        <v>12.61</v>
      </c>
      <c r="P39" s="341">
        <v>12.53</v>
      </c>
      <c r="Q39" s="341">
        <v>12.36</v>
      </c>
      <c r="R39" s="341">
        <v>12.08</v>
      </c>
      <c r="S39" s="341">
        <v>12.16</v>
      </c>
      <c r="T39" s="341">
        <v>12.63</v>
      </c>
      <c r="U39" s="341">
        <v>12.91</v>
      </c>
      <c r="V39" s="341">
        <v>13.08</v>
      </c>
      <c r="W39" s="341">
        <v>13.07</v>
      </c>
      <c r="X39" s="341">
        <v>12.73</v>
      </c>
      <c r="Y39" s="341">
        <v>12.43</v>
      </c>
      <c r="Z39" s="341">
        <v>12.24</v>
      </c>
      <c r="AA39" s="341">
        <v>12.5</v>
      </c>
      <c r="AB39" s="341">
        <v>12.53</v>
      </c>
      <c r="AC39" s="341">
        <v>12.47</v>
      </c>
      <c r="AD39" s="341">
        <v>12.35</v>
      </c>
      <c r="AE39" s="341">
        <v>12.32</v>
      </c>
      <c r="AF39" s="341">
        <v>12.89</v>
      </c>
      <c r="AG39" s="341">
        <v>13.37</v>
      </c>
      <c r="AH39" s="341">
        <v>13.16</v>
      </c>
      <c r="AI39" s="341">
        <v>13.23</v>
      </c>
      <c r="AJ39" s="341">
        <v>12.89</v>
      </c>
      <c r="AK39" s="341">
        <v>12.35</v>
      </c>
      <c r="AL39" s="341">
        <v>12.64</v>
      </c>
      <c r="AM39" s="341">
        <v>12.82</v>
      </c>
      <c r="AN39" s="341">
        <v>12.98</v>
      </c>
      <c r="AO39" s="341">
        <v>13.16</v>
      </c>
      <c r="AP39" s="341">
        <v>12.89</v>
      </c>
      <c r="AQ39" s="341">
        <v>12.93</v>
      </c>
      <c r="AR39" s="341">
        <v>13.54</v>
      </c>
      <c r="AS39" s="341">
        <v>14.05</v>
      </c>
      <c r="AT39" s="341">
        <v>13.93</v>
      </c>
      <c r="AU39" s="341">
        <v>13.99</v>
      </c>
      <c r="AV39" s="341">
        <v>13.49</v>
      </c>
      <c r="AW39" s="341">
        <v>13.19</v>
      </c>
      <c r="AX39" s="341">
        <v>13.63</v>
      </c>
      <c r="AY39" s="341">
        <v>13.64</v>
      </c>
      <c r="AZ39" s="867">
        <v>14.37</v>
      </c>
      <c r="BA39" s="867">
        <v>13.92</v>
      </c>
      <c r="BB39" s="867">
        <v>13.51</v>
      </c>
      <c r="BC39" s="867">
        <v>13.54</v>
      </c>
      <c r="BD39" s="867">
        <v>14.19</v>
      </c>
      <c r="BE39" s="867">
        <v>14.53</v>
      </c>
      <c r="BF39" s="867">
        <v>14.386100000000001</v>
      </c>
      <c r="BG39" s="867">
        <v>14.380179999999999</v>
      </c>
      <c r="BH39" s="352">
        <v>13.83311</v>
      </c>
      <c r="BI39" s="352">
        <v>13.492319999999999</v>
      </c>
      <c r="BJ39" s="352">
        <v>13.93594</v>
      </c>
      <c r="BK39" s="352">
        <v>13.948130000000001</v>
      </c>
      <c r="BL39" s="352">
        <v>14.65019</v>
      </c>
      <c r="BM39" s="352">
        <v>14.207369999999999</v>
      </c>
      <c r="BN39" s="352">
        <v>13.83212</v>
      </c>
      <c r="BO39" s="352">
        <v>13.7936</v>
      </c>
      <c r="BP39" s="352">
        <v>14.41666</v>
      </c>
      <c r="BQ39" s="352">
        <v>14.77397</v>
      </c>
      <c r="BR39" s="352">
        <v>14.46678</v>
      </c>
      <c r="BS39" s="352">
        <v>14.511810000000001</v>
      </c>
      <c r="BT39" s="352">
        <v>14.00428</v>
      </c>
      <c r="BU39" s="352">
        <v>13.649760000000001</v>
      </c>
      <c r="BV39" s="352">
        <v>14.10122</v>
      </c>
    </row>
    <row r="40" spans="1:74" ht="11.1" customHeight="1" x14ac:dyDescent="0.2">
      <c r="A40" s="29" t="s">
        <v>257</v>
      </c>
      <c r="B40" s="385" t="s">
        <v>3</v>
      </c>
      <c r="C40" s="373">
        <v>13.64</v>
      </c>
      <c r="D40" s="373">
        <v>13.76</v>
      </c>
      <c r="E40" s="373">
        <v>14.41</v>
      </c>
      <c r="F40" s="373">
        <v>14.57</v>
      </c>
      <c r="G40" s="373">
        <v>14.89</v>
      </c>
      <c r="H40" s="373">
        <v>15.3</v>
      </c>
      <c r="I40" s="373">
        <v>15.31</v>
      </c>
      <c r="J40" s="373">
        <v>15.82</v>
      </c>
      <c r="K40" s="373">
        <v>16.190000000000001</v>
      </c>
      <c r="L40" s="373">
        <v>15.99</v>
      </c>
      <c r="M40" s="373">
        <v>15.55</v>
      </c>
      <c r="N40" s="373">
        <v>14.94</v>
      </c>
      <c r="O40" s="373">
        <v>15.47</v>
      </c>
      <c r="P40" s="373">
        <v>15.98</v>
      </c>
      <c r="Q40" s="373">
        <v>16.04</v>
      </c>
      <c r="R40" s="373">
        <v>16.100000000000001</v>
      </c>
      <c r="S40" s="373">
        <v>16.14</v>
      </c>
      <c r="T40" s="373">
        <v>16.09</v>
      </c>
      <c r="U40" s="373">
        <v>15.86</v>
      </c>
      <c r="V40" s="373">
        <v>15.91</v>
      </c>
      <c r="W40" s="373">
        <v>16.27</v>
      </c>
      <c r="X40" s="373">
        <v>16.48</v>
      </c>
      <c r="Y40" s="373">
        <v>16.190000000000001</v>
      </c>
      <c r="Z40" s="373">
        <v>15.69</v>
      </c>
      <c r="AA40" s="373">
        <v>15.41</v>
      </c>
      <c r="AB40" s="373">
        <v>16.100000000000001</v>
      </c>
      <c r="AC40" s="373">
        <v>16.670000000000002</v>
      </c>
      <c r="AD40" s="373">
        <v>16.86</v>
      </c>
      <c r="AE40" s="373">
        <v>16.399999999999999</v>
      </c>
      <c r="AF40" s="373">
        <v>16.38</v>
      </c>
      <c r="AG40" s="373">
        <v>16.62</v>
      </c>
      <c r="AH40" s="373">
        <v>16.600000000000001</v>
      </c>
      <c r="AI40" s="373">
        <v>16.82</v>
      </c>
      <c r="AJ40" s="373">
        <v>17.09</v>
      </c>
      <c r="AK40" s="373">
        <v>16.850000000000001</v>
      </c>
      <c r="AL40" s="373">
        <v>16.27</v>
      </c>
      <c r="AM40" s="373">
        <v>15.94</v>
      </c>
      <c r="AN40" s="373">
        <v>16.43</v>
      </c>
      <c r="AO40" s="373">
        <v>17.09</v>
      </c>
      <c r="AP40" s="373">
        <v>17.55</v>
      </c>
      <c r="AQ40" s="373">
        <v>17.37</v>
      </c>
      <c r="AR40" s="373">
        <v>17.47</v>
      </c>
      <c r="AS40" s="373">
        <v>17.45</v>
      </c>
      <c r="AT40" s="373">
        <v>17.61</v>
      </c>
      <c r="AU40" s="373">
        <v>18.079999999999998</v>
      </c>
      <c r="AV40" s="373">
        <v>17.97</v>
      </c>
      <c r="AW40" s="373">
        <v>17.78</v>
      </c>
      <c r="AX40" s="373">
        <v>17.239999999999998</v>
      </c>
      <c r="AY40" s="373">
        <v>17.45</v>
      </c>
      <c r="AZ40" s="881">
        <v>17.649999999999999</v>
      </c>
      <c r="BA40" s="881">
        <v>18.559999999999999</v>
      </c>
      <c r="BB40" s="881">
        <v>18.829999999999998</v>
      </c>
      <c r="BC40" s="881">
        <v>18.440000000000001</v>
      </c>
      <c r="BD40" s="881">
        <v>18.34</v>
      </c>
      <c r="BE40" s="881">
        <v>18.309999999999999</v>
      </c>
      <c r="BF40" s="881">
        <v>18.312180000000001</v>
      </c>
      <c r="BG40" s="881">
        <v>18.42258</v>
      </c>
      <c r="BH40" s="378">
        <v>18.40701</v>
      </c>
      <c r="BI40" s="378">
        <v>18.337350000000001</v>
      </c>
      <c r="BJ40" s="378">
        <v>17.792940000000002</v>
      </c>
      <c r="BK40" s="378">
        <v>18.082909999999998</v>
      </c>
      <c r="BL40" s="378">
        <v>18.111519999999999</v>
      </c>
      <c r="BM40" s="378">
        <v>18.921029999999998</v>
      </c>
      <c r="BN40" s="378">
        <v>19.376010000000001</v>
      </c>
      <c r="BO40" s="378">
        <v>18.885269999999998</v>
      </c>
      <c r="BP40" s="378">
        <v>18.70345</v>
      </c>
      <c r="BQ40" s="378">
        <v>18.71772</v>
      </c>
      <c r="BR40" s="378">
        <v>18.72533</v>
      </c>
      <c r="BS40" s="378">
        <v>19.09038</v>
      </c>
      <c r="BT40" s="378">
        <v>18.832409999999999</v>
      </c>
      <c r="BU40" s="378">
        <v>18.737159999999999</v>
      </c>
      <c r="BV40" s="378">
        <v>18.227170000000001</v>
      </c>
    </row>
    <row r="41" spans="1:74" s="157" customFormat="1" ht="12" customHeight="1" x14ac:dyDescent="0.25">
      <c r="A41" s="156"/>
      <c r="B41" s="1001" t="s">
        <v>1408</v>
      </c>
      <c r="C41" s="977"/>
      <c r="D41" s="977"/>
      <c r="E41" s="977"/>
      <c r="F41" s="977"/>
      <c r="G41" s="977"/>
      <c r="H41" s="977"/>
      <c r="I41" s="977"/>
      <c r="J41" s="977"/>
      <c r="K41" s="977"/>
      <c r="L41" s="977"/>
      <c r="M41" s="977"/>
      <c r="N41" s="977"/>
      <c r="O41" s="977"/>
      <c r="P41" s="977"/>
      <c r="Q41" s="978"/>
      <c r="R41" s="803"/>
      <c r="AY41" s="813"/>
      <c r="AZ41" s="813"/>
      <c r="BA41" s="813"/>
      <c r="BB41" s="813"/>
      <c r="BC41" s="813"/>
      <c r="BD41" s="633"/>
      <c r="BE41" s="633"/>
      <c r="BF41" s="633"/>
      <c r="BG41" s="813"/>
      <c r="BH41" s="813"/>
      <c r="BI41" s="813"/>
      <c r="BJ41" s="198"/>
    </row>
    <row r="42" spans="1:74" s="157" customFormat="1" ht="12" customHeight="1" x14ac:dyDescent="0.25">
      <c r="A42" s="156"/>
      <c r="B42" s="1001" t="s">
        <v>1409</v>
      </c>
      <c r="C42" s="977"/>
      <c r="D42" s="977"/>
      <c r="E42" s="977"/>
      <c r="F42" s="977"/>
      <c r="G42" s="977"/>
      <c r="H42" s="977"/>
      <c r="I42" s="977"/>
      <c r="J42" s="977"/>
      <c r="K42" s="977"/>
      <c r="L42" s="977"/>
      <c r="M42" s="977"/>
      <c r="N42" s="977"/>
      <c r="O42" s="977"/>
      <c r="P42" s="977"/>
      <c r="Q42" s="978"/>
      <c r="R42" s="803"/>
      <c r="AY42" s="813"/>
      <c r="AZ42" s="813"/>
      <c r="BA42" s="813"/>
      <c r="BB42" s="813"/>
      <c r="BC42" s="813"/>
      <c r="BD42" s="633"/>
      <c r="BE42" s="633"/>
      <c r="BF42" s="633"/>
      <c r="BG42" s="813"/>
      <c r="BH42" s="813"/>
      <c r="BI42" s="813"/>
      <c r="BJ42" s="198"/>
    </row>
    <row r="43" spans="1:74" s="157" customFormat="1" ht="12" customHeight="1" x14ac:dyDescent="0.25">
      <c r="A43" s="156"/>
      <c r="B43" s="1001" t="s">
        <v>1410</v>
      </c>
      <c r="C43" s="977"/>
      <c r="D43" s="977"/>
      <c r="E43" s="977"/>
      <c r="F43" s="977"/>
      <c r="G43" s="977"/>
      <c r="H43" s="977"/>
      <c r="I43" s="977"/>
      <c r="J43" s="977"/>
      <c r="K43" s="977"/>
      <c r="L43" s="977"/>
      <c r="M43" s="977"/>
      <c r="N43" s="977"/>
      <c r="O43" s="977"/>
      <c r="P43" s="977"/>
      <c r="Q43" s="978"/>
      <c r="R43" s="803"/>
      <c r="AY43" s="813"/>
      <c r="AZ43" s="813"/>
      <c r="BA43" s="813"/>
      <c r="BB43" s="813"/>
      <c r="BC43" s="813"/>
      <c r="BD43" s="633"/>
      <c r="BE43" s="633"/>
      <c r="BF43" s="633"/>
      <c r="BG43" s="813"/>
      <c r="BH43" s="813"/>
      <c r="BI43" s="813"/>
      <c r="BJ43" s="198"/>
    </row>
    <row r="44" spans="1:74" s="157" customFormat="1" ht="12" customHeight="1" x14ac:dyDescent="0.2">
      <c r="A44" s="156"/>
      <c r="B44" s="773" t="s">
        <v>808</v>
      </c>
      <c r="C44" s="788"/>
      <c r="D44" s="788"/>
      <c r="E44" s="788"/>
      <c r="F44" s="788"/>
      <c r="G44" s="788"/>
      <c r="H44" s="800"/>
      <c r="I44" s="788"/>
      <c r="J44" s="788"/>
      <c r="K44" s="788"/>
      <c r="L44" s="788"/>
      <c r="M44" s="788"/>
      <c r="N44" s="788"/>
      <c r="O44" s="788"/>
      <c r="P44" s="788"/>
      <c r="Q44" s="788"/>
      <c r="R44" s="328"/>
      <c r="AY44" s="813"/>
      <c r="AZ44" s="813"/>
      <c r="BA44" s="813"/>
      <c r="BB44" s="813"/>
      <c r="BC44" s="813"/>
      <c r="BD44" s="633"/>
      <c r="BE44" s="633"/>
      <c r="BF44" s="633"/>
      <c r="BG44" s="813"/>
      <c r="BH44" s="813"/>
      <c r="BI44" s="813"/>
      <c r="BJ44" s="198"/>
    </row>
    <row r="45" spans="1:74" s="160" customFormat="1" ht="12" customHeight="1" x14ac:dyDescent="0.25">
      <c r="A45" s="159"/>
      <c r="B45" s="990" t="str">
        <f>Dates!$G$2</f>
        <v>EIA completed modeling and analysis for this report on Thursday, October 1, 2026.</v>
      </c>
      <c r="C45" s="991"/>
      <c r="D45" s="991"/>
      <c r="E45" s="991"/>
      <c r="F45" s="991"/>
      <c r="G45" s="991"/>
      <c r="H45" s="991"/>
      <c r="I45" s="991"/>
      <c r="J45" s="991"/>
      <c r="K45" s="991"/>
      <c r="L45" s="991"/>
      <c r="M45" s="991"/>
      <c r="N45" s="991"/>
      <c r="O45" s="991"/>
      <c r="P45" s="991"/>
      <c r="Q45" s="991"/>
      <c r="R45" s="328"/>
      <c r="AY45" s="823"/>
      <c r="AZ45" s="823"/>
      <c r="BA45" s="823"/>
      <c r="BB45" s="823"/>
      <c r="BC45" s="823"/>
      <c r="BD45" s="632"/>
      <c r="BE45" s="632"/>
      <c r="BF45" s="632"/>
      <c r="BG45" s="823"/>
      <c r="BH45" s="823"/>
      <c r="BI45" s="823"/>
      <c r="BJ45" s="221"/>
    </row>
    <row r="46" spans="1:74" s="157" customFormat="1" ht="12" customHeight="1" x14ac:dyDescent="0.25">
      <c r="A46" s="156"/>
      <c r="B46" s="989" t="s">
        <v>481</v>
      </c>
      <c r="C46" s="982"/>
      <c r="D46" s="982"/>
      <c r="E46" s="982"/>
      <c r="F46" s="982"/>
      <c r="G46" s="982"/>
      <c r="H46" s="982"/>
      <c r="I46" s="982"/>
      <c r="J46" s="982"/>
      <c r="K46" s="982"/>
      <c r="L46" s="982"/>
      <c r="M46" s="982"/>
      <c r="N46" s="982"/>
      <c r="O46" s="982"/>
      <c r="P46" s="982"/>
      <c r="Q46" s="982"/>
      <c r="R46" s="803"/>
      <c r="AY46" s="813"/>
      <c r="AZ46" s="813"/>
      <c r="BA46" s="813"/>
      <c r="BB46" s="813"/>
      <c r="BC46" s="813"/>
      <c r="BD46" s="633"/>
      <c r="BE46" s="633"/>
      <c r="BF46" s="633"/>
      <c r="BG46" s="813"/>
      <c r="BH46" s="813"/>
      <c r="BI46" s="813"/>
      <c r="BJ46" s="198"/>
    </row>
    <row r="47" spans="1:74" s="157" customFormat="1" ht="12" customHeight="1" x14ac:dyDescent="0.25">
      <c r="A47" s="156"/>
      <c r="B47" s="981" t="s">
        <v>1402</v>
      </c>
      <c r="C47" s="982"/>
      <c r="D47" s="982"/>
      <c r="E47" s="982"/>
      <c r="F47" s="982"/>
      <c r="G47" s="982"/>
      <c r="H47" s="982"/>
      <c r="I47" s="982"/>
      <c r="J47" s="982"/>
      <c r="K47" s="982"/>
      <c r="L47" s="982"/>
      <c r="M47" s="982"/>
      <c r="N47" s="982"/>
      <c r="O47" s="982"/>
      <c r="P47" s="982"/>
      <c r="Q47" s="982"/>
      <c r="R47" s="803"/>
      <c r="AY47" s="813"/>
      <c r="AZ47" s="813"/>
      <c r="BA47" s="813"/>
      <c r="BB47" s="813"/>
      <c r="BC47" s="813"/>
      <c r="BD47" s="633"/>
      <c r="BE47" s="633"/>
      <c r="BF47" s="633"/>
      <c r="BG47" s="813"/>
      <c r="BH47" s="813"/>
      <c r="BI47" s="813"/>
      <c r="BJ47" s="198"/>
    </row>
    <row r="48" spans="1:74" s="157" customFormat="1" ht="12" customHeight="1" x14ac:dyDescent="0.25">
      <c r="A48" s="156"/>
      <c r="B48" s="983" t="s">
        <v>748</v>
      </c>
      <c r="C48" s="982"/>
      <c r="D48" s="982"/>
      <c r="E48" s="982"/>
      <c r="F48" s="982"/>
      <c r="G48" s="982"/>
      <c r="H48" s="982"/>
      <c r="I48" s="982"/>
      <c r="J48" s="982"/>
      <c r="K48" s="982"/>
      <c r="L48" s="982"/>
      <c r="M48" s="982"/>
      <c r="N48" s="982"/>
      <c r="O48" s="982"/>
      <c r="P48" s="982"/>
      <c r="Q48" s="982"/>
      <c r="R48" s="803"/>
      <c r="AY48" s="813"/>
      <c r="AZ48" s="813"/>
      <c r="BA48" s="813"/>
      <c r="BB48" s="813"/>
      <c r="BC48" s="813"/>
      <c r="BD48" s="633"/>
      <c r="BE48" s="633"/>
      <c r="BF48" s="633"/>
      <c r="BG48" s="813"/>
      <c r="BH48" s="813"/>
      <c r="BI48" s="813"/>
      <c r="BJ48" s="198"/>
    </row>
    <row r="49" spans="1:74" s="157" customFormat="1" ht="12" customHeight="1" x14ac:dyDescent="0.2">
      <c r="A49" s="156"/>
      <c r="B49" s="970" t="s">
        <v>821</v>
      </c>
      <c r="C49" s="970"/>
      <c r="D49" s="970"/>
      <c r="E49" s="970"/>
      <c r="F49" s="970"/>
      <c r="G49" s="970"/>
      <c r="H49" s="970"/>
      <c r="I49" s="970"/>
      <c r="J49" s="970"/>
      <c r="K49" s="970"/>
      <c r="L49" s="970"/>
      <c r="M49" s="970"/>
      <c r="N49" s="970"/>
      <c r="O49" s="970"/>
      <c r="P49" s="970"/>
      <c r="Q49" s="970"/>
      <c r="R49" s="970"/>
      <c r="AY49" s="813"/>
      <c r="AZ49" s="813"/>
      <c r="BA49" s="813"/>
      <c r="BB49" s="813"/>
      <c r="BC49" s="813"/>
      <c r="BD49" s="633"/>
      <c r="BE49" s="633"/>
      <c r="BF49" s="633"/>
      <c r="BG49" s="813"/>
      <c r="BH49" s="813"/>
      <c r="BI49" s="813"/>
      <c r="BJ49" s="198"/>
    </row>
    <row r="50" spans="1:74" s="812" customFormat="1" ht="12" customHeight="1" x14ac:dyDescent="0.25">
      <c r="A50" s="156"/>
      <c r="B50" s="1004" t="s">
        <v>1592</v>
      </c>
      <c r="C50" s="1000"/>
      <c r="D50" s="1000"/>
      <c r="E50" s="1000"/>
      <c r="F50" s="1000"/>
      <c r="G50" s="1000"/>
      <c r="H50" s="1000"/>
      <c r="I50" s="1000"/>
      <c r="J50" s="1000"/>
      <c r="K50" s="1000"/>
      <c r="L50" s="1000"/>
      <c r="M50" s="1000"/>
      <c r="N50" s="1000"/>
      <c r="O50" s="1000"/>
      <c r="P50" s="1000"/>
      <c r="Q50" s="1000"/>
      <c r="R50" s="811"/>
      <c r="AY50" s="813"/>
      <c r="AZ50" s="813"/>
      <c r="BA50" s="813"/>
      <c r="BB50" s="813"/>
      <c r="BC50" s="813"/>
      <c r="BD50" s="633"/>
      <c r="BE50" s="633"/>
      <c r="BF50" s="633"/>
      <c r="BG50" s="813"/>
      <c r="BH50" s="813"/>
      <c r="BI50" s="813"/>
      <c r="BJ50" s="813"/>
    </row>
    <row r="51" spans="1:74" s="812" customFormat="1" ht="12" customHeight="1" x14ac:dyDescent="0.25">
      <c r="A51" s="156"/>
      <c r="B51" s="999" t="s">
        <v>1540</v>
      </c>
      <c r="C51" s="1000"/>
      <c r="D51" s="1000"/>
      <c r="E51" s="1000"/>
      <c r="F51" s="1000"/>
      <c r="G51" s="1000"/>
      <c r="H51" s="1000"/>
      <c r="I51" s="1000"/>
      <c r="J51" s="1000"/>
      <c r="K51" s="1000"/>
      <c r="L51" s="1000"/>
      <c r="M51" s="1000"/>
      <c r="N51" s="1000"/>
      <c r="O51" s="1000"/>
      <c r="P51" s="1000"/>
      <c r="Q51" s="1000"/>
      <c r="R51" s="811"/>
      <c r="AY51" s="813"/>
      <c r="AZ51" s="813"/>
      <c r="BA51" s="813"/>
      <c r="BB51" s="813"/>
      <c r="BC51" s="813"/>
      <c r="BD51" s="633"/>
      <c r="BE51" s="633"/>
      <c r="BF51" s="633"/>
      <c r="BG51" s="813"/>
      <c r="BH51" s="813"/>
      <c r="BI51" s="813"/>
      <c r="BJ51" s="813"/>
    </row>
    <row r="52" spans="1:74" s="812" customFormat="1" ht="12" customHeight="1" x14ac:dyDescent="0.25">
      <c r="A52" s="156"/>
      <c r="B52" s="1002" t="s">
        <v>1459</v>
      </c>
      <c r="C52" s="1000"/>
      <c r="D52" s="1000"/>
      <c r="E52" s="1000"/>
      <c r="F52" s="1000"/>
      <c r="G52" s="1000"/>
      <c r="H52" s="1000"/>
      <c r="I52" s="1000"/>
      <c r="J52" s="1000"/>
      <c r="K52" s="1000"/>
      <c r="L52" s="1000"/>
      <c r="M52" s="1000"/>
      <c r="N52" s="1000"/>
      <c r="O52" s="1000"/>
      <c r="P52" s="1000"/>
      <c r="Q52" s="1000"/>
      <c r="R52" s="811"/>
      <c r="AY52" s="813"/>
      <c r="AZ52" s="813"/>
      <c r="BA52" s="813"/>
      <c r="BB52" s="813"/>
      <c r="BC52" s="813"/>
      <c r="BD52" s="633"/>
      <c r="BE52" s="633"/>
      <c r="BF52" s="633"/>
      <c r="BG52" s="813"/>
      <c r="BH52" s="813"/>
      <c r="BI52" s="813"/>
      <c r="BJ52" s="813"/>
    </row>
    <row r="53" spans="1:74" s="812" customFormat="1" ht="12" customHeight="1" x14ac:dyDescent="0.2">
      <c r="A53" s="156"/>
      <c r="B53" s="1003" t="s">
        <v>1460</v>
      </c>
      <c r="C53" s="1003"/>
      <c r="D53" s="1003"/>
      <c r="E53" s="1003"/>
      <c r="F53" s="1003"/>
      <c r="G53" s="1003"/>
      <c r="H53" s="1003"/>
      <c r="I53" s="1003"/>
      <c r="J53" s="1003"/>
      <c r="K53" s="1003"/>
      <c r="L53" s="1003"/>
      <c r="M53" s="1003"/>
      <c r="N53" s="1003"/>
      <c r="O53" s="1003"/>
      <c r="P53" s="1003"/>
      <c r="Q53" s="1003"/>
      <c r="R53" s="811"/>
      <c r="AY53" s="813"/>
      <c r="AZ53" s="813"/>
      <c r="BA53" s="813"/>
      <c r="BB53" s="813"/>
      <c r="BC53" s="813"/>
      <c r="BD53" s="633"/>
      <c r="BE53" s="633"/>
      <c r="BF53" s="633"/>
      <c r="BG53" s="813"/>
      <c r="BH53" s="813"/>
      <c r="BI53" s="813"/>
      <c r="BJ53" s="813"/>
    </row>
    <row r="54" spans="1:74" ht="13.2" x14ac:dyDescent="0.25">
      <c r="A54" s="158"/>
      <c r="B54" s="976" t="s">
        <v>489</v>
      </c>
      <c r="C54" s="978"/>
      <c r="D54" s="978"/>
      <c r="E54" s="978"/>
      <c r="F54" s="978"/>
      <c r="G54" s="978"/>
      <c r="H54" s="978"/>
      <c r="I54" s="978"/>
      <c r="J54" s="978"/>
      <c r="K54" s="978"/>
      <c r="L54" s="978"/>
      <c r="M54" s="978"/>
      <c r="N54" s="978"/>
      <c r="O54" s="978"/>
      <c r="P54" s="978"/>
      <c r="Q54" s="978"/>
      <c r="R54" s="803"/>
      <c r="BK54" s="152"/>
      <c r="BL54" s="152"/>
      <c r="BM54" s="152"/>
      <c r="BN54" s="152"/>
      <c r="BO54" s="152"/>
      <c r="BP54" s="152"/>
      <c r="BQ54" s="152"/>
      <c r="BR54" s="152"/>
      <c r="BS54" s="152"/>
      <c r="BT54" s="152"/>
      <c r="BU54" s="152"/>
      <c r="BV54" s="152"/>
    </row>
    <row r="55" spans="1:74" ht="13.2" x14ac:dyDescent="0.25">
      <c r="A55" s="158"/>
      <c r="B55" s="997" t="s">
        <v>823</v>
      </c>
      <c r="C55" s="978"/>
      <c r="D55" s="978"/>
      <c r="E55" s="978"/>
      <c r="F55" s="978"/>
      <c r="G55" s="978"/>
      <c r="H55" s="978"/>
      <c r="I55" s="978"/>
      <c r="J55" s="978"/>
      <c r="K55" s="978"/>
      <c r="L55" s="978"/>
      <c r="M55" s="978"/>
      <c r="N55" s="978"/>
      <c r="O55" s="978"/>
      <c r="P55" s="978"/>
      <c r="Q55" s="978"/>
      <c r="R55" s="803"/>
      <c r="BK55" s="152"/>
      <c r="BL55" s="152"/>
      <c r="BM55" s="152"/>
      <c r="BN55" s="152"/>
      <c r="BO55" s="152"/>
      <c r="BP55" s="152"/>
      <c r="BQ55" s="152"/>
      <c r="BR55" s="152"/>
      <c r="BS55" s="152"/>
      <c r="BT55" s="152"/>
      <c r="BU55" s="152"/>
      <c r="BV55" s="152"/>
    </row>
    <row r="56" spans="1:74" x14ac:dyDescent="0.2">
      <c r="BK56" s="152"/>
      <c r="BL56" s="152"/>
      <c r="BM56" s="152"/>
      <c r="BN56" s="152"/>
      <c r="BO56" s="152"/>
      <c r="BP56" s="152"/>
      <c r="BQ56" s="152"/>
      <c r="BR56" s="152"/>
      <c r="BS56" s="152"/>
      <c r="BT56" s="152"/>
      <c r="BU56" s="152"/>
      <c r="BV56" s="152"/>
    </row>
    <row r="57" spans="1:74" x14ac:dyDescent="0.2">
      <c r="BK57" s="152"/>
      <c r="BL57" s="152"/>
      <c r="BM57" s="152"/>
      <c r="BN57" s="152"/>
      <c r="BO57" s="152"/>
      <c r="BP57" s="152"/>
      <c r="BQ57" s="152"/>
      <c r="BR57" s="152"/>
      <c r="BS57" s="152"/>
      <c r="BT57" s="152"/>
      <c r="BU57" s="152"/>
      <c r="BV57" s="152"/>
    </row>
    <row r="58" spans="1:74" x14ac:dyDescent="0.2">
      <c r="BK58" s="152"/>
      <c r="BL58" s="152"/>
      <c r="BM58" s="152"/>
      <c r="BN58" s="152"/>
      <c r="BO58" s="152"/>
      <c r="BP58" s="152"/>
      <c r="BQ58" s="152"/>
      <c r="BR58" s="152"/>
      <c r="BS58" s="152"/>
      <c r="BT58" s="152"/>
      <c r="BU58" s="152"/>
      <c r="BV58" s="152"/>
    </row>
    <row r="59" spans="1:74" x14ac:dyDescent="0.2">
      <c r="BK59" s="152"/>
      <c r="BL59" s="152"/>
      <c r="BM59" s="152"/>
      <c r="BN59" s="152"/>
      <c r="BO59" s="152"/>
      <c r="BP59" s="152"/>
      <c r="BQ59" s="152"/>
      <c r="BR59" s="152"/>
      <c r="BS59" s="152"/>
      <c r="BT59" s="152"/>
      <c r="BU59" s="152"/>
      <c r="BV59" s="152"/>
    </row>
    <row r="60" spans="1:74" x14ac:dyDescent="0.2">
      <c r="BK60" s="152"/>
      <c r="BL60" s="152"/>
      <c r="BM60" s="152"/>
      <c r="BN60" s="152"/>
      <c r="BO60" s="152"/>
      <c r="BP60" s="152"/>
      <c r="BQ60" s="152"/>
      <c r="BR60" s="152"/>
      <c r="BS60" s="152"/>
      <c r="BT60" s="152"/>
      <c r="BU60" s="152"/>
      <c r="BV60" s="152"/>
    </row>
    <row r="61" spans="1:74" x14ac:dyDescent="0.2">
      <c r="BK61" s="152"/>
      <c r="BL61" s="152"/>
      <c r="BM61" s="152"/>
      <c r="BN61" s="152"/>
      <c r="BO61" s="152"/>
      <c r="BP61" s="152"/>
      <c r="BQ61" s="152"/>
      <c r="BR61" s="152"/>
      <c r="BS61" s="152"/>
      <c r="BT61" s="152"/>
      <c r="BU61" s="152"/>
      <c r="BV61" s="152"/>
    </row>
    <row r="62" spans="1:74" x14ac:dyDescent="0.2">
      <c r="BK62" s="152"/>
      <c r="BL62" s="152"/>
      <c r="BM62" s="152"/>
      <c r="BN62" s="152"/>
      <c r="BO62" s="152"/>
      <c r="BP62" s="152"/>
      <c r="BQ62" s="152"/>
      <c r="BR62" s="152"/>
      <c r="BS62" s="152"/>
      <c r="BT62" s="152"/>
      <c r="BU62" s="152"/>
      <c r="BV62" s="152"/>
    </row>
    <row r="63" spans="1:74" x14ac:dyDescent="0.2">
      <c r="BK63" s="152"/>
      <c r="BL63" s="152"/>
      <c r="BM63" s="152"/>
      <c r="BN63" s="152"/>
      <c r="BO63" s="152"/>
      <c r="BP63" s="152"/>
      <c r="BQ63" s="152"/>
      <c r="BR63" s="152"/>
      <c r="BS63" s="152"/>
      <c r="BT63" s="152"/>
      <c r="BU63" s="152"/>
      <c r="BV63" s="152"/>
    </row>
    <row r="64" spans="1:74" x14ac:dyDescent="0.2">
      <c r="BK64" s="152"/>
      <c r="BL64" s="152"/>
      <c r="BM64" s="152"/>
      <c r="BN64" s="152"/>
      <c r="BO64" s="152"/>
      <c r="BP64" s="152"/>
      <c r="BQ64" s="152"/>
      <c r="BR64" s="152"/>
      <c r="BS64" s="152"/>
      <c r="BT64" s="152"/>
      <c r="BU64" s="152"/>
      <c r="BV64" s="152"/>
    </row>
    <row r="65" spans="63:74" x14ac:dyDescent="0.2">
      <c r="BK65" s="152"/>
      <c r="BL65" s="152"/>
      <c r="BM65" s="152"/>
      <c r="BN65" s="152"/>
      <c r="BO65" s="152"/>
      <c r="BP65" s="152"/>
      <c r="BQ65" s="152"/>
      <c r="BR65" s="152"/>
      <c r="BS65" s="152"/>
      <c r="BT65" s="152"/>
      <c r="BU65" s="152"/>
      <c r="BV65" s="152"/>
    </row>
    <row r="66" spans="63:74" x14ac:dyDescent="0.2">
      <c r="BK66" s="152"/>
      <c r="BL66" s="152"/>
      <c r="BM66" s="152"/>
      <c r="BN66" s="152"/>
      <c r="BO66" s="152"/>
      <c r="BP66" s="152"/>
      <c r="BQ66" s="152"/>
      <c r="BR66" s="152"/>
      <c r="BS66" s="152"/>
      <c r="BT66" s="152"/>
      <c r="BU66" s="152"/>
      <c r="BV66" s="152"/>
    </row>
    <row r="67" spans="63:74" x14ac:dyDescent="0.2">
      <c r="BK67" s="152"/>
      <c r="BL67" s="152"/>
      <c r="BM67" s="152"/>
      <c r="BN67" s="152"/>
      <c r="BO67" s="152"/>
      <c r="BP67" s="152"/>
      <c r="BQ67" s="152"/>
      <c r="BR67" s="152"/>
      <c r="BS67" s="152"/>
      <c r="BT67" s="152"/>
      <c r="BU67" s="152"/>
      <c r="BV67" s="152"/>
    </row>
    <row r="68" spans="63:74" x14ac:dyDescent="0.2">
      <c r="BK68" s="152"/>
      <c r="BL68" s="152"/>
      <c r="BM68" s="152"/>
      <c r="BN68" s="152"/>
      <c r="BO68" s="152"/>
      <c r="BP68" s="152"/>
      <c r="BQ68" s="152"/>
      <c r="BR68" s="152"/>
      <c r="BS68" s="152"/>
      <c r="BT68" s="152"/>
      <c r="BU68" s="152"/>
      <c r="BV68" s="152"/>
    </row>
    <row r="69" spans="63:74" x14ac:dyDescent="0.2">
      <c r="BK69" s="152"/>
      <c r="BL69" s="152"/>
      <c r="BM69" s="152"/>
      <c r="BN69" s="152"/>
      <c r="BO69" s="152"/>
      <c r="BP69" s="152"/>
      <c r="BQ69" s="152"/>
      <c r="BR69" s="152"/>
      <c r="BS69" s="152"/>
      <c r="BT69" s="152"/>
      <c r="BU69" s="152"/>
      <c r="BV69" s="152"/>
    </row>
    <row r="70" spans="63:74" x14ac:dyDescent="0.2">
      <c r="BK70" s="152"/>
      <c r="BL70" s="152"/>
      <c r="BM70" s="152"/>
      <c r="BN70" s="152"/>
      <c r="BO70" s="152"/>
      <c r="BP70" s="152"/>
      <c r="BQ70" s="152"/>
      <c r="BR70" s="152"/>
      <c r="BS70" s="152"/>
      <c r="BT70" s="152"/>
      <c r="BU70" s="152"/>
      <c r="BV70" s="152"/>
    </row>
    <row r="71" spans="63:74" x14ac:dyDescent="0.2">
      <c r="BK71" s="152"/>
      <c r="BL71" s="152"/>
      <c r="BM71" s="152"/>
      <c r="BN71" s="152"/>
      <c r="BO71" s="152"/>
      <c r="BP71" s="152"/>
      <c r="BQ71" s="152"/>
      <c r="BR71" s="152"/>
      <c r="BS71" s="152"/>
      <c r="BT71" s="152"/>
      <c r="BU71" s="152"/>
      <c r="BV71" s="152"/>
    </row>
    <row r="72" spans="63:74" x14ac:dyDescent="0.2">
      <c r="BK72" s="152"/>
      <c r="BL72" s="152"/>
      <c r="BM72" s="152"/>
      <c r="BN72" s="152"/>
      <c r="BO72" s="152"/>
      <c r="BP72" s="152"/>
      <c r="BQ72" s="152"/>
      <c r="BR72" s="152"/>
      <c r="BS72" s="152"/>
      <c r="BT72" s="152"/>
      <c r="BU72" s="152"/>
      <c r="BV72" s="152"/>
    </row>
    <row r="73" spans="63:74" x14ac:dyDescent="0.2">
      <c r="BK73" s="152"/>
      <c r="BL73" s="152"/>
      <c r="BM73" s="152"/>
      <c r="BN73" s="152"/>
      <c r="BO73" s="152"/>
      <c r="BP73" s="152"/>
      <c r="BQ73" s="152"/>
      <c r="BR73" s="152"/>
      <c r="BS73" s="152"/>
      <c r="BT73" s="152"/>
      <c r="BU73" s="152"/>
      <c r="BV73" s="152"/>
    </row>
    <row r="74" spans="63:74" x14ac:dyDescent="0.2">
      <c r="BK74" s="152"/>
      <c r="BL74" s="152"/>
      <c r="BM74" s="152"/>
      <c r="BN74" s="152"/>
      <c r="BO74" s="152"/>
      <c r="BP74" s="152"/>
      <c r="BQ74" s="152"/>
      <c r="BR74" s="152"/>
      <c r="BS74" s="152"/>
      <c r="BT74" s="152"/>
      <c r="BU74" s="152"/>
      <c r="BV74" s="152"/>
    </row>
    <row r="75" spans="63:74" x14ac:dyDescent="0.2">
      <c r="BK75" s="152"/>
      <c r="BL75" s="152"/>
      <c r="BM75" s="152"/>
      <c r="BN75" s="152"/>
      <c r="BO75" s="152"/>
      <c r="BP75" s="152"/>
      <c r="BQ75" s="152"/>
      <c r="BR75" s="152"/>
      <c r="BS75" s="152"/>
      <c r="BT75" s="152"/>
      <c r="BU75" s="152"/>
      <c r="BV75" s="152"/>
    </row>
    <row r="76" spans="63:74" x14ac:dyDescent="0.2">
      <c r="BK76" s="152"/>
      <c r="BL76" s="152"/>
      <c r="BM76" s="152"/>
      <c r="BN76" s="152"/>
      <c r="BO76" s="152"/>
      <c r="BP76" s="152"/>
      <c r="BQ76" s="152"/>
      <c r="BR76" s="152"/>
      <c r="BS76" s="152"/>
      <c r="BT76" s="152"/>
      <c r="BU76" s="152"/>
      <c r="BV76" s="152"/>
    </row>
    <row r="77" spans="63:74" x14ac:dyDescent="0.2">
      <c r="BK77" s="152"/>
      <c r="BL77" s="152"/>
      <c r="BM77" s="152"/>
      <c r="BN77" s="152"/>
      <c r="BO77" s="152"/>
      <c r="BP77" s="152"/>
      <c r="BQ77" s="152"/>
      <c r="BR77" s="152"/>
      <c r="BS77" s="152"/>
      <c r="BT77" s="152"/>
      <c r="BU77" s="152"/>
      <c r="BV77" s="152"/>
    </row>
    <row r="78" spans="63:74" x14ac:dyDescent="0.2">
      <c r="BK78" s="152"/>
      <c r="BL78" s="152"/>
      <c r="BM78" s="152"/>
      <c r="BN78" s="152"/>
      <c r="BO78" s="152"/>
      <c r="BP78" s="152"/>
      <c r="BQ78" s="152"/>
      <c r="BR78" s="152"/>
      <c r="BS78" s="152"/>
      <c r="BT78" s="152"/>
      <c r="BU78" s="152"/>
      <c r="BV78" s="152"/>
    </row>
    <row r="79" spans="63:74" x14ac:dyDescent="0.2">
      <c r="BK79" s="152"/>
      <c r="BL79" s="152"/>
      <c r="BM79" s="152"/>
      <c r="BN79" s="152"/>
      <c r="BO79" s="152"/>
      <c r="BP79" s="152"/>
      <c r="BQ79" s="152"/>
      <c r="BR79" s="152"/>
      <c r="BS79" s="152"/>
      <c r="BT79" s="152"/>
      <c r="BU79" s="152"/>
      <c r="BV79" s="152"/>
    </row>
    <row r="80" spans="63:74" x14ac:dyDescent="0.2">
      <c r="BK80" s="152"/>
      <c r="BL80" s="152"/>
      <c r="BM80" s="152"/>
      <c r="BN80" s="152"/>
      <c r="BO80" s="152"/>
      <c r="BP80" s="152"/>
      <c r="BQ80" s="152"/>
      <c r="BR80" s="152"/>
      <c r="BS80" s="152"/>
      <c r="BT80" s="152"/>
      <c r="BU80" s="152"/>
      <c r="BV80" s="152"/>
    </row>
    <row r="81" spans="63:74" x14ac:dyDescent="0.2">
      <c r="BK81" s="152"/>
      <c r="BL81" s="152"/>
      <c r="BM81" s="152"/>
      <c r="BN81" s="152"/>
      <c r="BO81" s="152"/>
      <c r="BP81" s="152"/>
      <c r="BQ81" s="152"/>
      <c r="BR81" s="152"/>
      <c r="BS81" s="152"/>
      <c r="BT81" s="152"/>
      <c r="BU81" s="152"/>
      <c r="BV81" s="152"/>
    </row>
    <row r="82" spans="63:74" x14ac:dyDescent="0.2">
      <c r="BK82" s="152"/>
      <c r="BL82" s="152"/>
      <c r="BM82" s="152"/>
      <c r="BN82" s="152"/>
      <c r="BO82" s="152"/>
      <c r="BP82" s="152"/>
      <c r="BQ82" s="152"/>
      <c r="BR82" s="152"/>
      <c r="BS82" s="152"/>
      <c r="BT82" s="152"/>
      <c r="BU82" s="152"/>
      <c r="BV82" s="152"/>
    </row>
    <row r="83" spans="63:74" x14ac:dyDescent="0.2">
      <c r="BK83" s="152"/>
      <c r="BL83" s="152"/>
      <c r="BM83" s="152"/>
      <c r="BN83" s="152"/>
      <c r="BO83" s="152"/>
      <c r="BP83" s="152"/>
      <c r="BQ83" s="152"/>
      <c r="BR83" s="152"/>
      <c r="BS83" s="152"/>
      <c r="BT83" s="152"/>
      <c r="BU83" s="152"/>
      <c r="BV83" s="152"/>
    </row>
    <row r="84" spans="63:74" x14ac:dyDescent="0.2">
      <c r="BK84" s="152"/>
      <c r="BL84" s="152"/>
      <c r="BM84" s="152"/>
      <c r="BN84" s="152"/>
      <c r="BO84" s="152"/>
      <c r="BP84" s="152"/>
      <c r="BQ84" s="152"/>
      <c r="BR84" s="152"/>
      <c r="BS84" s="152"/>
      <c r="BT84" s="152"/>
      <c r="BU84" s="152"/>
      <c r="BV84" s="152"/>
    </row>
    <row r="85" spans="63:74" x14ac:dyDescent="0.2">
      <c r="BK85" s="152"/>
      <c r="BL85" s="152"/>
      <c r="BM85" s="152"/>
      <c r="BN85" s="152"/>
      <c r="BO85" s="152"/>
      <c r="BP85" s="152"/>
      <c r="BQ85" s="152"/>
      <c r="BR85" s="152"/>
      <c r="BS85" s="152"/>
      <c r="BT85" s="152"/>
      <c r="BU85" s="152"/>
      <c r="BV85" s="152"/>
    </row>
    <row r="86" spans="63:74" x14ac:dyDescent="0.2">
      <c r="BK86" s="152"/>
      <c r="BL86" s="152"/>
      <c r="BM86" s="152"/>
      <c r="BN86" s="152"/>
      <c r="BO86" s="152"/>
      <c r="BP86" s="152"/>
      <c r="BQ86" s="152"/>
      <c r="BR86" s="152"/>
      <c r="BS86" s="152"/>
      <c r="BT86" s="152"/>
      <c r="BU86" s="152"/>
      <c r="BV86" s="152"/>
    </row>
    <row r="87" spans="63:74" x14ac:dyDescent="0.2">
      <c r="BK87" s="152"/>
      <c r="BL87" s="152"/>
      <c r="BM87" s="152"/>
      <c r="BN87" s="152"/>
      <c r="BO87" s="152"/>
      <c r="BP87" s="152"/>
      <c r="BQ87" s="152"/>
      <c r="BR87" s="152"/>
      <c r="BS87" s="152"/>
      <c r="BT87" s="152"/>
      <c r="BU87" s="152"/>
      <c r="BV87" s="152"/>
    </row>
    <row r="88" spans="63:74" x14ac:dyDescent="0.2">
      <c r="BK88" s="152"/>
      <c r="BL88" s="152"/>
      <c r="BM88" s="152"/>
      <c r="BN88" s="152"/>
      <c r="BO88" s="152"/>
      <c r="BP88" s="152"/>
      <c r="BQ88" s="152"/>
      <c r="BR88" s="152"/>
      <c r="BS88" s="152"/>
      <c r="BT88" s="152"/>
      <c r="BU88" s="152"/>
      <c r="BV88" s="152"/>
    </row>
    <row r="89" spans="63:74" x14ac:dyDescent="0.2">
      <c r="BK89" s="152"/>
      <c r="BL89" s="152"/>
      <c r="BM89" s="152"/>
      <c r="BN89" s="152"/>
      <c r="BO89" s="152"/>
      <c r="BP89" s="152"/>
      <c r="BQ89" s="152"/>
      <c r="BR89" s="152"/>
      <c r="BS89" s="152"/>
      <c r="BT89" s="152"/>
      <c r="BU89" s="152"/>
      <c r="BV89" s="152"/>
    </row>
    <row r="90" spans="63:74" x14ac:dyDescent="0.2">
      <c r="BK90" s="152"/>
      <c r="BL90" s="152"/>
      <c r="BM90" s="152"/>
      <c r="BN90" s="152"/>
      <c r="BO90" s="152"/>
      <c r="BP90" s="152"/>
      <c r="BQ90" s="152"/>
      <c r="BR90" s="152"/>
      <c r="BS90" s="152"/>
      <c r="BT90" s="152"/>
      <c r="BU90" s="152"/>
      <c r="BV90" s="152"/>
    </row>
    <row r="91" spans="63:74" x14ac:dyDescent="0.2">
      <c r="BK91" s="152"/>
      <c r="BL91" s="152"/>
      <c r="BM91" s="152"/>
      <c r="BN91" s="152"/>
      <c r="BO91" s="152"/>
      <c r="BP91" s="152"/>
      <c r="BQ91" s="152"/>
      <c r="BR91" s="152"/>
      <c r="BS91" s="152"/>
      <c r="BT91" s="152"/>
      <c r="BU91" s="152"/>
      <c r="BV91" s="152"/>
    </row>
    <row r="92" spans="63:74" x14ac:dyDescent="0.2">
      <c r="BK92" s="152"/>
      <c r="BL92" s="152"/>
      <c r="BM92" s="152"/>
      <c r="BN92" s="152"/>
      <c r="BO92" s="152"/>
      <c r="BP92" s="152"/>
      <c r="BQ92" s="152"/>
      <c r="BR92" s="152"/>
      <c r="BS92" s="152"/>
      <c r="BT92" s="152"/>
      <c r="BU92" s="152"/>
      <c r="BV92" s="152"/>
    </row>
    <row r="93" spans="63:74" x14ac:dyDescent="0.2">
      <c r="BK93" s="152"/>
      <c r="BL93" s="152"/>
      <c r="BM93" s="152"/>
      <c r="BN93" s="152"/>
      <c r="BO93" s="152"/>
      <c r="BP93" s="152"/>
      <c r="BQ93" s="152"/>
      <c r="BR93" s="152"/>
      <c r="BS93" s="152"/>
      <c r="BT93" s="152"/>
      <c r="BU93" s="152"/>
      <c r="BV93" s="152"/>
    </row>
    <row r="94" spans="63:74" x14ac:dyDescent="0.2">
      <c r="BK94" s="152"/>
      <c r="BL94" s="152"/>
      <c r="BM94" s="152"/>
      <c r="BN94" s="152"/>
      <c r="BO94" s="152"/>
      <c r="BP94" s="152"/>
      <c r="BQ94" s="152"/>
      <c r="BR94" s="152"/>
      <c r="BS94" s="152"/>
      <c r="BT94" s="152"/>
      <c r="BU94" s="152"/>
      <c r="BV94" s="152"/>
    </row>
    <row r="95" spans="63:74" x14ac:dyDescent="0.2">
      <c r="BK95" s="152"/>
      <c r="BL95" s="152"/>
      <c r="BM95" s="152"/>
      <c r="BN95" s="152"/>
      <c r="BO95" s="152"/>
      <c r="BP95" s="152"/>
      <c r="BQ95" s="152"/>
      <c r="BR95" s="152"/>
      <c r="BS95" s="152"/>
      <c r="BT95" s="152"/>
      <c r="BU95" s="152"/>
      <c r="BV95" s="152"/>
    </row>
    <row r="96" spans="63:74" x14ac:dyDescent="0.2">
      <c r="BK96" s="152"/>
      <c r="BL96" s="152"/>
      <c r="BM96" s="152"/>
      <c r="BN96" s="152"/>
      <c r="BO96" s="152"/>
      <c r="BP96" s="152"/>
      <c r="BQ96" s="152"/>
      <c r="BR96" s="152"/>
      <c r="BS96" s="152"/>
      <c r="BT96" s="152"/>
      <c r="BU96" s="152"/>
      <c r="BV96" s="152"/>
    </row>
    <row r="97" spans="63:74" x14ac:dyDescent="0.2">
      <c r="BK97" s="152"/>
      <c r="BL97" s="152"/>
      <c r="BM97" s="152"/>
      <c r="BN97" s="152"/>
      <c r="BO97" s="152"/>
      <c r="BP97" s="152"/>
      <c r="BQ97" s="152"/>
      <c r="BR97" s="152"/>
      <c r="BS97" s="152"/>
      <c r="BT97" s="152"/>
      <c r="BU97" s="152"/>
      <c r="BV97" s="152"/>
    </row>
    <row r="98" spans="63:74" x14ac:dyDescent="0.2">
      <c r="BK98" s="152"/>
      <c r="BL98" s="152"/>
      <c r="BM98" s="152"/>
      <c r="BN98" s="152"/>
      <c r="BO98" s="152"/>
      <c r="BP98" s="152"/>
      <c r="BQ98" s="152"/>
      <c r="BR98" s="152"/>
      <c r="BS98" s="152"/>
      <c r="BT98" s="152"/>
      <c r="BU98" s="152"/>
      <c r="BV98" s="152"/>
    </row>
    <row r="99" spans="63:74" x14ac:dyDescent="0.2">
      <c r="BK99" s="152"/>
      <c r="BL99" s="152"/>
      <c r="BM99" s="152"/>
      <c r="BN99" s="152"/>
      <c r="BO99" s="152"/>
      <c r="BP99" s="152"/>
      <c r="BQ99" s="152"/>
      <c r="BR99" s="152"/>
      <c r="BS99" s="152"/>
      <c r="BT99" s="152"/>
      <c r="BU99" s="152"/>
      <c r="BV99" s="152"/>
    </row>
    <row r="100" spans="63:74" x14ac:dyDescent="0.2">
      <c r="BK100" s="152"/>
      <c r="BL100" s="152"/>
      <c r="BM100" s="152"/>
      <c r="BN100" s="152"/>
      <c r="BO100" s="152"/>
      <c r="BP100" s="152"/>
      <c r="BQ100" s="152"/>
      <c r="BR100" s="152"/>
      <c r="BS100" s="152"/>
      <c r="BT100" s="152"/>
      <c r="BU100" s="152"/>
      <c r="BV100" s="152"/>
    </row>
    <row r="101" spans="63:74" x14ac:dyDescent="0.2">
      <c r="BK101" s="152"/>
      <c r="BL101" s="152"/>
      <c r="BM101" s="152"/>
      <c r="BN101" s="152"/>
      <c r="BO101" s="152"/>
      <c r="BP101" s="152"/>
      <c r="BQ101" s="152"/>
      <c r="BR101" s="152"/>
      <c r="BS101" s="152"/>
      <c r="BT101" s="152"/>
      <c r="BU101" s="152"/>
      <c r="BV101" s="152"/>
    </row>
    <row r="102" spans="63:74" x14ac:dyDescent="0.2">
      <c r="BK102" s="152"/>
      <c r="BL102" s="152"/>
      <c r="BM102" s="152"/>
      <c r="BN102" s="152"/>
      <c r="BO102" s="152"/>
      <c r="BP102" s="152"/>
      <c r="BQ102" s="152"/>
      <c r="BR102" s="152"/>
      <c r="BS102" s="152"/>
      <c r="BT102" s="152"/>
      <c r="BU102" s="152"/>
      <c r="BV102" s="152"/>
    </row>
    <row r="103" spans="63:74" x14ac:dyDescent="0.2">
      <c r="BK103" s="152"/>
      <c r="BL103" s="152"/>
      <c r="BM103" s="152"/>
      <c r="BN103" s="152"/>
      <c r="BO103" s="152"/>
      <c r="BP103" s="152"/>
      <c r="BQ103" s="152"/>
      <c r="BR103" s="152"/>
      <c r="BS103" s="152"/>
      <c r="BT103" s="152"/>
      <c r="BU103" s="152"/>
      <c r="BV103" s="152"/>
    </row>
    <row r="104" spans="63:74" x14ac:dyDescent="0.2">
      <c r="BK104" s="152"/>
      <c r="BL104" s="152"/>
      <c r="BM104" s="152"/>
      <c r="BN104" s="152"/>
      <c r="BO104" s="152"/>
      <c r="BP104" s="152"/>
      <c r="BQ104" s="152"/>
      <c r="BR104" s="152"/>
      <c r="BS104" s="152"/>
      <c r="BT104" s="152"/>
      <c r="BU104" s="152"/>
      <c r="BV104" s="152"/>
    </row>
    <row r="105" spans="63:74" x14ac:dyDescent="0.2">
      <c r="BK105" s="152"/>
      <c r="BL105" s="152"/>
      <c r="BM105" s="152"/>
      <c r="BN105" s="152"/>
      <c r="BO105" s="152"/>
      <c r="BP105" s="152"/>
      <c r="BQ105" s="152"/>
      <c r="BR105" s="152"/>
      <c r="BS105" s="152"/>
      <c r="BT105" s="152"/>
      <c r="BU105" s="152"/>
      <c r="BV105" s="152"/>
    </row>
    <row r="106" spans="63:74" x14ac:dyDescent="0.2">
      <c r="BK106" s="152"/>
      <c r="BL106" s="152"/>
      <c r="BM106" s="152"/>
      <c r="BN106" s="152"/>
      <c r="BO106" s="152"/>
      <c r="BP106" s="152"/>
      <c r="BQ106" s="152"/>
      <c r="BR106" s="152"/>
      <c r="BS106" s="152"/>
      <c r="BT106" s="152"/>
      <c r="BU106" s="152"/>
      <c r="BV106" s="152"/>
    </row>
    <row r="107" spans="63:74" x14ac:dyDescent="0.2">
      <c r="BK107" s="152"/>
      <c r="BL107" s="152"/>
      <c r="BM107" s="152"/>
      <c r="BN107" s="152"/>
      <c r="BO107" s="152"/>
      <c r="BP107" s="152"/>
      <c r="BQ107" s="152"/>
      <c r="BR107" s="152"/>
      <c r="BS107" s="152"/>
      <c r="BT107" s="152"/>
      <c r="BU107" s="152"/>
      <c r="BV107" s="152"/>
    </row>
    <row r="108" spans="63:74" x14ac:dyDescent="0.2">
      <c r="BK108" s="152"/>
      <c r="BL108" s="152"/>
      <c r="BM108" s="152"/>
      <c r="BN108" s="152"/>
      <c r="BO108" s="152"/>
      <c r="BP108" s="152"/>
      <c r="BQ108" s="152"/>
      <c r="BR108" s="152"/>
      <c r="BS108" s="152"/>
      <c r="BT108" s="152"/>
      <c r="BU108" s="152"/>
      <c r="BV108" s="152"/>
    </row>
    <row r="109" spans="63:74" x14ac:dyDescent="0.2">
      <c r="BK109" s="152"/>
      <c r="BL109" s="152"/>
      <c r="BM109" s="152"/>
      <c r="BN109" s="152"/>
      <c r="BO109" s="152"/>
      <c r="BP109" s="152"/>
      <c r="BQ109" s="152"/>
      <c r="BR109" s="152"/>
      <c r="BS109" s="152"/>
      <c r="BT109" s="152"/>
      <c r="BU109" s="152"/>
      <c r="BV109" s="152"/>
    </row>
    <row r="110" spans="63:74" x14ac:dyDescent="0.2">
      <c r="BK110" s="152"/>
      <c r="BL110" s="152"/>
      <c r="BM110" s="152"/>
      <c r="BN110" s="152"/>
      <c r="BO110" s="152"/>
      <c r="BP110" s="152"/>
      <c r="BQ110" s="152"/>
      <c r="BR110" s="152"/>
      <c r="BS110" s="152"/>
      <c r="BT110" s="152"/>
      <c r="BU110" s="152"/>
      <c r="BV110" s="152"/>
    </row>
    <row r="111" spans="63:74" x14ac:dyDescent="0.2">
      <c r="BK111" s="152"/>
      <c r="BL111" s="152"/>
      <c r="BM111" s="152"/>
      <c r="BN111" s="152"/>
      <c r="BO111" s="152"/>
      <c r="BP111" s="152"/>
      <c r="BQ111" s="152"/>
      <c r="BR111" s="152"/>
      <c r="BS111" s="152"/>
      <c r="BT111" s="152"/>
      <c r="BU111" s="152"/>
      <c r="BV111" s="152"/>
    </row>
    <row r="112" spans="63:74" x14ac:dyDescent="0.2">
      <c r="BK112" s="152"/>
      <c r="BL112" s="152"/>
      <c r="BM112" s="152"/>
      <c r="BN112" s="152"/>
      <c r="BO112" s="152"/>
      <c r="BP112" s="152"/>
      <c r="BQ112" s="152"/>
      <c r="BR112" s="152"/>
      <c r="BS112" s="152"/>
      <c r="BT112" s="152"/>
      <c r="BU112" s="152"/>
      <c r="BV112" s="152"/>
    </row>
    <row r="113" spans="63:74" x14ac:dyDescent="0.2">
      <c r="BK113" s="152"/>
      <c r="BL113" s="152"/>
      <c r="BM113" s="152"/>
      <c r="BN113" s="152"/>
      <c r="BO113" s="152"/>
      <c r="BP113" s="152"/>
      <c r="BQ113" s="152"/>
      <c r="BR113" s="152"/>
      <c r="BS113" s="152"/>
      <c r="BT113" s="152"/>
      <c r="BU113" s="152"/>
      <c r="BV113" s="152"/>
    </row>
    <row r="114" spans="63:74" x14ac:dyDescent="0.2">
      <c r="BK114" s="152"/>
      <c r="BL114" s="152"/>
      <c r="BM114" s="152"/>
      <c r="BN114" s="152"/>
      <c r="BO114" s="152"/>
      <c r="BP114" s="152"/>
      <c r="BQ114" s="152"/>
      <c r="BR114" s="152"/>
      <c r="BS114" s="152"/>
      <c r="BT114" s="152"/>
      <c r="BU114" s="152"/>
      <c r="BV114" s="152"/>
    </row>
    <row r="115" spans="63:74" x14ac:dyDescent="0.2">
      <c r="BK115" s="152"/>
      <c r="BL115" s="152"/>
      <c r="BM115" s="152"/>
      <c r="BN115" s="152"/>
      <c r="BO115" s="152"/>
      <c r="BP115" s="152"/>
      <c r="BQ115" s="152"/>
      <c r="BR115" s="152"/>
      <c r="BS115" s="152"/>
      <c r="BT115" s="152"/>
      <c r="BU115" s="152"/>
      <c r="BV115" s="152"/>
    </row>
    <row r="116" spans="63:74" x14ac:dyDescent="0.2">
      <c r="BK116" s="152"/>
      <c r="BL116" s="152"/>
      <c r="BM116" s="152"/>
      <c r="BN116" s="152"/>
      <c r="BO116" s="152"/>
      <c r="BP116" s="152"/>
      <c r="BQ116" s="152"/>
      <c r="BR116" s="152"/>
      <c r="BS116" s="152"/>
      <c r="BT116" s="152"/>
      <c r="BU116" s="152"/>
      <c r="BV116" s="152"/>
    </row>
    <row r="117" spans="63:74" x14ac:dyDescent="0.2">
      <c r="BK117" s="152"/>
      <c r="BL117" s="152"/>
      <c r="BM117" s="152"/>
      <c r="BN117" s="152"/>
      <c r="BO117" s="152"/>
      <c r="BP117" s="152"/>
      <c r="BQ117" s="152"/>
      <c r="BR117" s="152"/>
      <c r="BS117" s="152"/>
      <c r="BT117" s="152"/>
      <c r="BU117" s="152"/>
      <c r="BV117" s="152"/>
    </row>
    <row r="118" spans="63:74" x14ac:dyDescent="0.2">
      <c r="BK118" s="152"/>
      <c r="BL118" s="152"/>
      <c r="BM118" s="152"/>
      <c r="BN118" s="152"/>
      <c r="BO118" s="152"/>
      <c r="BP118" s="152"/>
      <c r="BQ118" s="152"/>
      <c r="BR118" s="152"/>
      <c r="BS118" s="152"/>
      <c r="BT118" s="152"/>
      <c r="BU118" s="152"/>
      <c r="BV118" s="152"/>
    </row>
    <row r="119" spans="63:74" x14ac:dyDescent="0.2">
      <c r="BK119" s="152"/>
      <c r="BL119" s="152"/>
      <c r="BM119" s="152"/>
      <c r="BN119" s="152"/>
      <c r="BO119" s="152"/>
      <c r="BP119" s="152"/>
      <c r="BQ119" s="152"/>
      <c r="BR119" s="152"/>
      <c r="BS119" s="152"/>
      <c r="BT119" s="152"/>
      <c r="BU119" s="152"/>
      <c r="BV119" s="152"/>
    </row>
    <row r="120" spans="63:74" x14ac:dyDescent="0.2">
      <c r="BK120" s="152"/>
      <c r="BL120" s="152"/>
      <c r="BM120" s="152"/>
      <c r="BN120" s="152"/>
      <c r="BO120" s="152"/>
      <c r="BP120" s="152"/>
      <c r="BQ120" s="152"/>
      <c r="BR120" s="152"/>
      <c r="BS120" s="152"/>
      <c r="BT120" s="152"/>
      <c r="BU120" s="152"/>
      <c r="BV120" s="152"/>
    </row>
    <row r="121" spans="63:74" x14ac:dyDescent="0.2">
      <c r="BK121" s="152"/>
      <c r="BL121" s="152"/>
      <c r="BM121" s="152"/>
      <c r="BN121" s="152"/>
      <c r="BO121" s="152"/>
      <c r="BP121" s="152"/>
      <c r="BQ121" s="152"/>
      <c r="BR121" s="152"/>
      <c r="BS121" s="152"/>
      <c r="BT121" s="152"/>
      <c r="BU121" s="152"/>
      <c r="BV121" s="152"/>
    </row>
    <row r="122" spans="63:74" x14ac:dyDescent="0.2">
      <c r="BK122" s="152"/>
      <c r="BL122" s="152"/>
      <c r="BM122" s="152"/>
      <c r="BN122" s="152"/>
      <c r="BO122" s="152"/>
      <c r="BP122" s="152"/>
      <c r="BQ122" s="152"/>
      <c r="BR122" s="152"/>
      <c r="BS122" s="152"/>
      <c r="BT122" s="152"/>
      <c r="BU122" s="152"/>
      <c r="BV122" s="152"/>
    </row>
    <row r="123" spans="63:74" x14ac:dyDescent="0.2">
      <c r="BK123" s="152"/>
      <c r="BL123" s="152"/>
      <c r="BM123" s="152"/>
      <c r="BN123" s="152"/>
      <c r="BO123" s="152"/>
      <c r="BP123" s="152"/>
      <c r="BQ123" s="152"/>
      <c r="BR123" s="152"/>
      <c r="BS123" s="152"/>
      <c r="BT123" s="152"/>
      <c r="BU123" s="152"/>
      <c r="BV123" s="152"/>
    </row>
    <row r="124" spans="63:74" x14ac:dyDescent="0.2">
      <c r="BK124" s="152"/>
      <c r="BL124" s="152"/>
      <c r="BM124" s="152"/>
      <c r="BN124" s="152"/>
      <c r="BO124" s="152"/>
      <c r="BP124" s="152"/>
      <c r="BQ124" s="152"/>
      <c r="BR124" s="152"/>
      <c r="BS124" s="152"/>
      <c r="BT124" s="152"/>
      <c r="BU124" s="152"/>
      <c r="BV124" s="152"/>
    </row>
    <row r="125" spans="63:74" x14ac:dyDescent="0.2">
      <c r="BK125" s="152"/>
      <c r="BL125" s="152"/>
      <c r="BM125" s="152"/>
      <c r="BN125" s="152"/>
      <c r="BO125" s="152"/>
      <c r="BP125" s="152"/>
      <c r="BQ125" s="152"/>
      <c r="BR125" s="152"/>
      <c r="BS125" s="152"/>
      <c r="BT125" s="152"/>
      <c r="BU125" s="152"/>
      <c r="BV125" s="152"/>
    </row>
    <row r="126" spans="63:74" x14ac:dyDescent="0.2">
      <c r="BK126" s="152"/>
      <c r="BL126" s="152"/>
      <c r="BM126" s="152"/>
      <c r="BN126" s="152"/>
      <c r="BO126" s="152"/>
      <c r="BP126" s="152"/>
      <c r="BQ126" s="152"/>
      <c r="BR126" s="152"/>
      <c r="BS126" s="152"/>
      <c r="BT126" s="152"/>
      <c r="BU126" s="152"/>
      <c r="BV126" s="152"/>
    </row>
    <row r="127" spans="63:74" x14ac:dyDescent="0.2">
      <c r="BK127" s="152"/>
      <c r="BL127" s="152"/>
      <c r="BM127" s="152"/>
      <c r="BN127" s="152"/>
      <c r="BO127" s="152"/>
      <c r="BP127" s="152"/>
      <c r="BQ127" s="152"/>
      <c r="BR127" s="152"/>
      <c r="BS127" s="152"/>
      <c r="BT127" s="152"/>
      <c r="BU127" s="152"/>
      <c r="BV127" s="152"/>
    </row>
    <row r="128" spans="63:74" x14ac:dyDescent="0.2">
      <c r="BK128" s="152"/>
      <c r="BL128" s="152"/>
      <c r="BM128" s="152"/>
      <c r="BN128" s="152"/>
      <c r="BO128" s="152"/>
      <c r="BP128" s="152"/>
      <c r="BQ128" s="152"/>
      <c r="BR128" s="152"/>
      <c r="BS128" s="152"/>
      <c r="BT128" s="152"/>
      <c r="BU128" s="152"/>
      <c r="BV128" s="152"/>
    </row>
    <row r="129" spans="63:74" x14ac:dyDescent="0.2">
      <c r="BK129" s="152"/>
      <c r="BL129" s="152"/>
      <c r="BM129" s="152"/>
      <c r="BN129" s="152"/>
      <c r="BO129" s="152"/>
      <c r="BP129" s="152"/>
      <c r="BQ129" s="152"/>
      <c r="BR129" s="152"/>
      <c r="BS129" s="152"/>
      <c r="BT129" s="152"/>
      <c r="BU129" s="152"/>
      <c r="BV129" s="152"/>
    </row>
    <row r="130" spans="63:74" x14ac:dyDescent="0.2">
      <c r="BK130" s="152"/>
      <c r="BL130" s="152"/>
      <c r="BM130" s="152"/>
      <c r="BN130" s="152"/>
      <c r="BO130" s="152"/>
      <c r="BP130" s="152"/>
      <c r="BQ130" s="152"/>
      <c r="BR130" s="152"/>
      <c r="BS130" s="152"/>
      <c r="BT130" s="152"/>
      <c r="BU130" s="152"/>
      <c r="BV130" s="152"/>
    </row>
    <row r="131" spans="63:74" x14ac:dyDescent="0.2">
      <c r="BK131" s="152"/>
      <c r="BL131" s="152"/>
      <c r="BM131" s="152"/>
      <c r="BN131" s="152"/>
      <c r="BO131" s="152"/>
      <c r="BP131" s="152"/>
      <c r="BQ131" s="152"/>
      <c r="BR131" s="152"/>
      <c r="BS131" s="152"/>
      <c r="BT131" s="152"/>
      <c r="BU131" s="152"/>
      <c r="BV131" s="152"/>
    </row>
    <row r="132" spans="63:74" x14ac:dyDescent="0.2">
      <c r="BK132" s="152"/>
      <c r="BL132" s="152"/>
      <c r="BM132" s="152"/>
      <c r="BN132" s="152"/>
      <c r="BO132" s="152"/>
      <c r="BP132" s="152"/>
      <c r="BQ132" s="152"/>
      <c r="BR132" s="152"/>
      <c r="BS132" s="152"/>
      <c r="BT132" s="152"/>
      <c r="BU132" s="152"/>
      <c r="BV132" s="152"/>
    </row>
    <row r="133" spans="63:74" x14ac:dyDescent="0.2">
      <c r="BK133" s="152"/>
      <c r="BL133" s="152"/>
      <c r="BM133" s="152"/>
      <c r="BN133" s="152"/>
      <c r="BO133" s="152"/>
      <c r="BP133" s="152"/>
      <c r="BQ133" s="152"/>
      <c r="BR133" s="152"/>
      <c r="BS133" s="152"/>
      <c r="BT133" s="152"/>
      <c r="BU133" s="152"/>
      <c r="BV133" s="152"/>
    </row>
    <row r="134" spans="63:74" x14ac:dyDescent="0.2">
      <c r="BK134" s="152"/>
      <c r="BL134" s="152"/>
      <c r="BM134" s="152"/>
      <c r="BN134" s="152"/>
      <c r="BO134" s="152"/>
      <c r="BP134" s="152"/>
      <c r="BQ134" s="152"/>
      <c r="BR134" s="152"/>
      <c r="BS134" s="152"/>
      <c r="BT134" s="152"/>
      <c r="BU134" s="152"/>
      <c r="BV134" s="152"/>
    </row>
    <row r="135" spans="63:74" x14ac:dyDescent="0.2">
      <c r="BK135" s="152"/>
      <c r="BL135" s="152"/>
      <c r="BM135" s="152"/>
      <c r="BN135" s="152"/>
      <c r="BO135" s="152"/>
      <c r="BP135" s="152"/>
      <c r="BQ135" s="152"/>
      <c r="BR135" s="152"/>
      <c r="BS135" s="152"/>
      <c r="BT135" s="152"/>
      <c r="BU135" s="152"/>
      <c r="BV135" s="152"/>
    </row>
    <row r="136" spans="63:74" x14ac:dyDescent="0.2">
      <c r="BK136" s="152"/>
      <c r="BL136" s="152"/>
      <c r="BM136" s="152"/>
      <c r="BN136" s="152"/>
      <c r="BO136" s="152"/>
      <c r="BP136" s="152"/>
      <c r="BQ136" s="152"/>
      <c r="BR136" s="152"/>
      <c r="BS136" s="152"/>
      <c r="BT136" s="152"/>
      <c r="BU136" s="152"/>
      <c r="BV136" s="152"/>
    </row>
    <row r="137" spans="63:74" x14ac:dyDescent="0.2">
      <c r="BK137" s="152"/>
      <c r="BL137" s="152"/>
      <c r="BM137" s="152"/>
      <c r="BN137" s="152"/>
      <c r="BO137" s="152"/>
      <c r="BP137" s="152"/>
      <c r="BQ137" s="152"/>
      <c r="BR137" s="152"/>
      <c r="BS137" s="152"/>
      <c r="BT137" s="152"/>
      <c r="BU137" s="152"/>
      <c r="BV137" s="152"/>
    </row>
    <row r="138" spans="63:74" x14ac:dyDescent="0.2">
      <c r="BK138" s="152"/>
      <c r="BL138" s="152"/>
      <c r="BM138" s="152"/>
      <c r="BN138" s="152"/>
      <c r="BO138" s="152"/>
      <c r="BP138" s="152"/>
      <c r="BQ138" s="152"/>
      <c r="BR138" s="152"/>
      <c r="BS138" s="152"/>
      <c r="BT138" s="152"/>
      <c r="BU138" s="152"/>
      <c r="BV138" s="152"/>
    </row>
    <row r="139" spans="63:74" x14ac:dyDescent="0.2">
      <c r="BK139" s="152"/>
      <c r="BL139" s="152"/>
      <c r="BM139" s="152"/>
      <c r="BN139" s="152"/>
      <c r="BO139" s="152"/>
      <c r="BP139" s="152"/>
      <c r="BQ139" s="152"/>
      <c r="BR139" s="152"/>
      <c r="BS139" s="152"/>
      <c r="BT139" s="152"/>
      <c r="BU139" s="152"/>
      <c r="BV139" s="152"/>
    </row>
    <row r="140" spans="63:74" x14ac:dyDescent="0.2">
      <c r="BK140" s="152"/>
      <c r="BL140" s="152"/>
      <c r="BM140" s="152"/>
      <c r="BN140" s="152"/>
      <c r="BO140" s="152"/>
      <c r="BP140" s="152"/>
      <c r="BQ140" s="152"/>
      <c r="BR140" s="152"/>
      <c r="BS140" s="152"/>
      <c r="BT140" s="152"/>
      <c r="BU140" s="152"/>
      <c r="BV140" s="152"/>
    </row>
    <row r="141" spans="63:74" x14ac:dyDescent="0.2">
      <c r="BK141" s="152"/>
      <c r="BL141" s="152"/>
      <c r="BM141" s="152"/>
      <c r="BN141" s="152"/>
      <c r="BO141" s="152"/>
      <c r="BP141" s="152"/>
      <c r="BQ141" s="152"/>
      <c r="BR141" s="152"/>
      <c r="BS141" s="152"/>
      <c r="BT141" s="152"/>
      <c r="BU141" s="152"/>
      <c r="BV141" s="152"/>
    </row>
    <row r="142" spans="63:74" x14ac:dyDescent="0.2">
      <c r="BK142" s="152"/>
      <c r="BL142" s="152"/>
      <c r="BM142" s="152"/>
      <c r="BN142" s="152"/>
      <c r="BO142" s="152"/>
      <c r="BP142" s="152"/>
      <c r="BQ142" s="152"/>
      <c r="BR142" s="152"/>
      <c r="BS142" s="152"/>
      <c r="BT142" s="152"/>
      <c r="BU142" s="152"/>
      <c r="BV142" s="152"/>
    </row>
    <row r="143" spans="63:74" x14ac:dyDescent="0.2">
      <c r="BK143" s="152"/>
      <c r="BL143" s="152"/>
      <c r="BM143" s="152"/>
      <c r="BN143" s="152"/>
      <c r="BO143" s="152"/>
      <c r="BP143" s="152"/>
      <c r="BQ143" s="152"/>
      <c r="BR143" s="152"/>
      <c r="BS143" s="152"/>
      <c r="BT143" s="152"/>
      <c r="BU143" s="152"/>
      <c r="BV143" s="152"/>
    </row>
    <row r="144" spans="63:74" x14ac:dyDescent="0.2">
      <c r="BK144" s="152"/>
      <c r="BL144" s="152"/>
      <c r="BM144" s="152"/>
      <c r="BN144" s="152"/>
      <c r="BO144" s="152"/>
      <c r="BP144" s="152"/>
      <c r="BQ144" s="152"/>
      <c r="BR144" s="152"/>
      <c r="BS144" s="152"/>
      <c r="BT144" s="152"/>
      <c r="BU144" s="152"/>
      <c r="BV144" s="152"/>
    </row>
  </sheetData>
  <mergeCells count="22">
    <mergeCell ref="B55:Q55"/>
    <mergeCell ref="A1:A2"/>
    <mergeCell ref="B1:AL1"/>
    <mergeCell ref="B51:Q51"/>
    <mergeCell ref="B43:Q43"/>
    <mergeCell ref="B48:Q48"/>
    <mergeCell ref="B41:Q41"/>
    <mergeCell ref="B42:Q42"/>
    <mergeCell ref="B46:Q46"/>
    <mergeCell ref="B47:Q47"/>
    <mergeCell ref="B45:Q45"/>
    <mergeCell ref="B49:R49"/>
    <mergeCell ref="B54:Q54"/>
    <mergeCell ref="B52:Q52"/>
    <mergeCell ref="B53:Q53"/>
    <mergeCell ref="B50:Q50"/>
    <mergeCell ref="AM3:AX3"/>
    <mergeCell ref="AY3:BJ3"/>
    <mergeCell ref="BK3:BV3"/>
    <mergeCell ref="C3:N3"/>
    <mergeCell ref="O3:Z3"/>
    <mergeCell ref="AA3:AL3"/>
  </mergeCells>
  <phoneticPr fontId="7" type="noConversion"/>
  <hyperlinks>
    <hyperlink ref="A1:A2" location="Contents!A1" display="Table of Contents" xr:uid="{00000000-0004-0000-0300-000000000000}"/>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pageSetUpPr fitToPage="1"/>
  </sheetPr>
  <dimension ref="A1:BV133"/>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G1" sqref="BG1:BG1048576"/>
    </sheetView>
  </sheetViews>
  <sheetFormatPr defaultColWidth="8.5546875" defaultRowHeight="10.199999999999999" x14ac:dyDescent="0.2"/>
  <cols>
    <col min="1" max="1" width="17.44140625" style="89" customWidth="1"/>
    <col min="2" max="2" width="42.5546875" style="83" customWidth="1"/>
    <col min="3" max="38" width="6.5546875" style="83" customWidth="1"/>
    <col min="39" max="39" width="6.5546875" style="641" customWidth="1"/>
    <col min="40" max="50" width="6.5546875" style="83" customWidth="1"/>
    <col min="51" max="55" width="6.5546875" style="637" customWidth="1"/>
    <col min="56" max="58" width="6.5546875" style="634" customWidth="1"/>
    <col min="59" max="61" width="6.5546875" style="637" customWidth="1"/>
    <col min="62" max="62" width="6.5546875" style="195" customWidth="1"/>
    <col min="63" max="74" width="6.5546875" style="83" customWidth="1"/>
    <col min="75" max="16384" width="8.5546875" style="83"/>
  </cols>
  <sheetData>
    <row r="1" spans="1:74" ht="13.2" x14ac:dyDescent="0.25">
      <c r="A1" s="992" t="s">
        <v>477</v>
      </c>
      <c r="B1" s="1010" t="s">
        <v>886</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3.2" x14ac:dyDescent="0.25">
      <c r="A2" s="993"/>
      <c r="B2" s="222" t="str">
        <f>"U.S. Energy Information Administration  |  Short-Term Energy Outlook  - "&amp;Dates!D1</f>
        <v>U.S. Energy Information Administration  |  Short-Term Energy Outlook  - October 2026</v>
      </c>
      <c r="C2" s="225"/>
      <c r="D2" s="225"/>
      <c r="E2" s="225"/>
      <c r="F2" s="225"/>
      <c r="G2" s="309"/>
      <c r="H2" s="309"/>
      <c r="I2" s="309"/>
      <c r="J2" s="309"/>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row>
    <row r="3" spans="1:74" s="7" customFormat="1" ht="13.2" x14ac:dyDescent="0.25">
      <c r="A3" s="316" t="s">
        <v>759</v>
      </c>
      <c r="B3" s="332"/>
      <c r="C3" s="1011">
        <f>Dates!D3</f>
        <v>2022</v>
      </c>
      <c r="D3" s="1012"/>
      <c r="E3" s="1012"/>
      <c r="F3" s="1012"/>
      <c r="G3" s="1012"/>
      <c r="H3" s="1012"/>
      <c r="I3" s="1012"/>
      <c r="J3" s="1012"/>
      <c r="K3" s="1012"/>
      <c r="L3" s="1012"/>
      <c r="M3" s="1012"/>
      <c r="N3" s="1013"/>
      <c r="O3" s="1011">
        <f>C3+1</f>
        <v>2023</v>
      </c>
      <c r="P3" s="1014"/>
      <c r="Q3" s="1014"/>
      <c r="R3" s="1014"/>
      <c r="S3" s="1014"/>
      <c r="T3" s="1014"/>
      <c r="U3" s="1014"/>
      <c r="V3" s="1014"/>
      <c r="W3" s="1014"/>
      <c r="X3" s="1012"/>
      <c r="Y3" s="1012"/>
      <c r="Z3" s="1013"/>
      <c r="AA3" s="1015">
        <f>O3+1</f>
        <v>2024</v>
      </c>
      <c r="AB3" s="1012"/>
      <c r="AC3" s="1012"/>
      <c r="AD3" s="1012"/>
      <c r="AE3" s="1012"/>
      <c r="AF3" s="1012"/>
      <c r="AG3" s="1012"/>
      <c r="AH3" s="1012"/>
      <c r="AI3" s="1012"/>
      <c r="AJ3" s="1012"/>
      <c r="AK3" s="1012"/>
      <c r="AL3" s="1013"/>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630"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23"/>
      <c r="B5" s="324" t="s">
        <v>751</v>
      </c>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870"/>
      <c r="AN5" s="289"/>
      <c r="AO5" s="289"/>
      <c r="AP5" s="289"/>
      <c r="AQ5" s="289"/>
      <c r="AR5" s="289"/>
      <c r="AS5" s="289"/>
      <c r="AT5" s="289"/>
      <c r="AU5" s="289"/>
      <c r="AV5" s="289"/>
      <c r="AW5" s="289"/>
      <c r="AX5" s="289"/>
      <c r="AY5" s="289"/>
      <c r="AZ5" s="639"/>
      <c r="BA5" s="639"/>
      <c r="BB5" s="639"/>
      <c r="BC5" s="639"/>
      <c r="BD5" s="882"/>
      <c r="BE5" s="882"/>
      <c r="BF5" s="882"/>
      <c r="BG5" s="882"/>
      <c r="BH5" s="388"/>
      <c r="BI5" s="388"/>
      <c r="BJ5" s="355"/>
      <c r="BK5" s="355"/>
      <c r="BL5" s="355"/>
      <c r="BM5" s="355"/>
      <c r="BN5" s="355"/>
      <c r="BO5" s="355"/>
      <c r="BP5" s="355"/>
      <c r="BQ5" s="355"/>
      <c r="BR5" s="355"/>
      <c r="BS5" s="355"/>
      <c r="BT5" s="355"/>
      <c r="BU5" s="355"/>
      <c r="BV5" s="355"/>
    </row>
    <row r="6" spans="1:74" s="272" customFormat="1" ht="11.1" customHeight="1" x14ac:dyDescent="0.2">
      <c r="A6" s="395" t="s">
        <v>178</v>
      </c>
      <c r="B6" s="389" t="s">
        <v>809</v>
      </c>
      <c r="C6" s="105">
        <v>98.160102214999995</v>
      </c>
      <c r="D6" s="105">
        <v>99.396940040999993</v>
      </c>
      <c r="E6" s="105">
        <v>99.885463561999998</v>
      </c>
      <c r="F6" s="105">
        <v>99.309545127999996</v>
      </c>
      <c r="G6" s="105">
        <v>99.291761609999995</v>
      </c>
      <c r="H6" s="105">
        <v>99.803793795999994</v>
      </c>
      <c r="I6" s="105">
        <v>100.92804615999999</v>
      </c>
      <c r="J6" s="105">
        <v>101.47354863</v>
      </c>
      <c r="K6" s="105">
        <v>102.0062277</v>
      </c>
      <c r="L6" s="105">
        <v>102.15839434999999</v>
      </c>
      <c r="M6" s="105">
        <v>102.33529342999999</v>
      </c>
      <c r="N6" s="105">
        <v>100.71309418</v>
      </c>
      <c r="O6" s="105">
        <v>101.45482776</v>
      </c>
      <c r="P6" s="105">
        <v>102.05690875000001</v>
      </c>
      <c r="Q6" s="105">
        <v>102.41224033</v>
      </c>
      <c r="R6" s="105">
        <v>102.18205281</v>
      </c>
      <c r="S6" s="105">
        <v>101.70520783000001</v>
      </c>
      <c r="T6" s="105">
        <v>102.59023191</v>
      </c>
      <c r="U6" s="105">
        <v>102.10170943</v>
      </c>
      <c r="V6" s="105">
        <v>101.83322809000001</v>
      </c>
      <c r="W6" s="105">
        <v>102.89052676</v>
      </c>
      <c r="X6" s="105">
        <v>103.17736720000001</v>
      </c>
      <c r="Y6" s="105">
        <v>103.96329688</v>
      </c>
      <c r="Z6" s="105">
        <v>103.94837507</v>
      </c>
      <c r="AA6" s="105">
        <v>101.50297965999999</v>
      </c>
      <c r="AB6" s="105">
        <v>102.75229859</v>
      </c>
      <c r="AC6" s="105">
        <v>103.52942145</v>
      </c>
      <c r="AD6" s="105">
        <v>103.42159822000001</v>
      </c>
      <c r="AE6" s="105">
        <v>103.01943813</v>
      </c>
      <c r="AF6" s="105">
        <v>103.02363439</v>
      </c>
      <c r="AG6" s="105">
        <v>103.18580031</v>
      </c>
      <c r="AH6" s="105">
        <v>103.512325</v>
      </c>
      <c r="AI6" s="105">
        <v>102.41426165</v>
      </c>
      <c r="AJ6" s="105">
        <v>103.75461299</v>
      </c>
      <c r="AK6" s="105">
        <v>103.89637815</v>
      </c>
      <c r="AL6" s="105">
        <v>103.80398796999999</v>
      </c>
      <c r="AM6" s="882">
        <v>102.69921518</v>
      </c>
      <c r="AN6" s="105">
        <v>103.24108379</v>
      </c>
      <c r="AO6" s="105">
        <v>104.76968506</v>
      </c>
      <c r="AP6" s="105">
        <v>104.48321647</v>
      </c>
      <c r="AQ6" s="105">
        <v>104.97520242</v>
      </c>
      <c r="AR6" s="105">
        <v>106.1207941</v>
      </c>
      <c r="AS6" s="105">
        <v>107.21600155</v>
      </c>
      <c r="AT6" s="105">
        <v>107.67390803000001</v>
      </c>
      <c r="AU6" s="105">
        <v>108.83613427</v>
      </c>
      <c r="AV6" s="105">
        <v>108.57775319</v>
      </c>
      <c r="AW6" s="105">
        <v>108.69133583</v>
      </c>
      <c r="AX6" s="105">
        <v>108.00185897</v>
      </c>
      <c r="AY6" s="105">
        <v>105.96457452</v>
      </c>
      <c r="AZ6" s="882">
        <v>108.70947054</v>
      </c>
      <c r="BA6" s="882">
        <v>96.785842935000005</v>
      </c>
      <c r="BB6" s="882">
        <v>95.428440499999994</v>
      </c>
      <c r="BC6" s="882">
        <v>94.583200418999994</v>
      </c>
      <c r="BD6" s="882">
        <v>99.522681433000002</v>
      </c>
      <c r="BE6" s="882">
        <v>102.03867443999999</v>
      </c>
      <c r="BF6" s="882">
        <v>100.41344460000001</v>
      </c>
      <c r="BG6" s="882">
        <v>101.30379309999999</v>
      </c>
      <c r="BH6" s="388">
        <v>102.10465956</v>
      </c>
      <c r="BI6" s="388">
        <v>103.09166234999999</v>
      </c>
      <c r="BJ6" s="388">
        <v>103.70898529</v>
      </c>
      <c r="BK6" s="388">
        <v>104.76212018</v>
      </c>
      <c r="BL6" s="388">
        <v>106.31727069999999</v>
      </c>
      <c r="BM6" s="388">
        <v>107.26700082000001</v>
      </c>
      <c r="BN6" s="388">
        <v>108.5687878</v>
      </c>
      <c r="BO6" s="388">
        <v>109.83623341000001</v>
      </c>
      <c r="BP6" s="388">
        <v>110.22940706999999</v>
      </c>
      <c r="BQ6" s="388">
        <v>110.74984096</v>
      </c>
      <c r="BR6" s="388">
        <v>110.90402392</v>
      </c>
      <c r="BS6" s="388">
        <v>111.10299542</v>
      </c>
      <c r="BT6" s="388">
        <v>111.35784047</v>
      </c>
      <c r="BU6" s="388">
        <v>111.81914952</v>
      </c>
      <c r="BV6" s="388">
        <v>111.4912152</v>
      </c>
    </row>
    <row r="7" spans="1:74" ht="11.1" customHeight="1" x14ac:dyDescent="0.2">
      <c r="A7" s="323" t="s">
        <v>810</v>
      </c>
      <c r="B7" s="391" t="s">
        <v>930</v>
      </c>
      <c r="C7" s="289">
        <v>74.605007698999998</v>
      </c>
      <c r="D7" s="289">
        <v>75.880612506000006</v>
      </c>
      <c r="E7" s="289">
        <v>75.753378853000001</v>
      </c>
      <c r="F7" s="289">
        <v>75.141954362000007</v>
      </c>
      <c r="G7" s="289">
        <v>74.502344675000003</v>
      </c>
      <c r="H7" s="289">
        <v>74.796448295999994</v>
      </c>
      <c r="I7" s="289">
        <v>75.746687003000005</v>
      </c>
      <c r="J7" s="289">
        <v>76.788715502000002</v>
      </c>
      <c r="K7" s="289">
        <v>77.320605935000003</v>
      </c>
      <c r="L7" s="289">
        <v>77.266407061999999</v>
      </c>
      <c r="M7" s="289">
        <v>77.386291893999996</v>
      </c>
      <c r="N7" s="289">
        <v>76.806248827000005</v>
      </c>
      <c r="O7" s="289">
        <v>76.850895018000003</v>
      </c>
      <c r="P7" s="289">
        <v>77.457482389000006</v>
      </c>
      <c r="Q7" s="289">
        <v>77.464207035000001</v>
      </c>
      <c r="R7" s="289">
        <v>76.817181215000005</v>
      </c>
      <c r="S7" s="289">
        <v>76.219464024999994</v>
      </c>
      <c r="T7" s="289">
        <v>76.703195476999994</v>
      </c>
      <c r="U7" s="289">
        <v>76.076300849000006</v>
      </c>
      <c r="V7" s="289">
        <v>75.631379989999999</v>
      </c>
      <c r="W7" s="289">
        <v>76.584196763999998</v>
      </c>
      <c r="X7" s="289">
        <v>76.798189979</v>
      </c>
      <c r="Y7" s="289">
        <v>77.558317110000004</v>
      </c>
      <c r="Z7" s="289">
        <v>77.817932263000003</v>
      </c>
      <c r="AA7" s="289">
        <v>76.431128978999993</v>
      </c>
      <c r="AB7" s="289">
        <v>77.127675042000007</v>
      </c>
      <c r="AC7" s="289">
        <v>77.516653125000005</v>
      </c>
      <c r="AD7" s="289">
        <v>77.007653947999998</v>
      </c>
      <c r="AE7" s="289">
        <v>76.337686712999997</v>
      </c>
      <c r="AF7" s="289">
        <v>76.045517191000002</v>
      </c>
      <c r="AG7" s="289">
        <v>76.363937954999997</v>
      </c>
      <c r="AH7" s="289">
        <v>76.583754513000002</v>
      </c>
      <c r="AI7" s="289">
        <v>75.530678554000005</v>
      </c>
      <c r="AJ7" s="289">
        <v>76.501375538999994</v>
      </c>
      <c r="AK7" s="289">
        <v>76.718409154</v>
      </c>
      <c r="AL7" s="289">
        <v>77.105933582999995</v>
      </c>
      <c r="AM7" s="870">
        <v>76.710274280999997</v>
      </c>
      <c r="AN7" s="289">
        <v>76.933542000000003</v>
      </c>
      <c r="AO7" s="289">
        <v>78.064069000000003</v>
      </c>
      <c r="AP7" s="289">
        <v>77.604759000000001</v>
      </c>
      <c r="AQ7" s="289">
        <v>77.704554999999999</v>
      </c>
      <c r="AR7" s="289">
        <v>78.786772999999997</v>
      </c>
      <c r="AS7" s="289">
        <v>79.278099999999995</v>
      </c>
      <c r="AT7" s="289">
        <v>79.736721000000003</v>
      </c>
      <c r="AU7" s="289">
        <v>81.005010999999996</v>
      </c>
      <c r="AV7" s="289">
        <v>80.812841000000006</v>
      </c>
      <c r="AW7" s="289">
        <v>80.680809999999994</v>
      </c>
      <c r="AX7" s="289">
        <v>80.572001</v>
      </c>
      <c r="AY7" s="289">
        <v>79.142674999999997</v>
      </c>
      <c r="AZ7" s="870">
        <v>81.201707999999996</v>
      </c>
      <c r="BA7" s="870">
        <v>72.009003000000007</v>
      </c>
      <c r="BB7" s="870">
        <v>71.026876999999999</v>
      </c>
      <c r="BC7" s="870">
        <v>69.713226000000006</v>
      </c>
      <c r="BD7" s="870">
        <v>74.043846000000002</v>
      </c>
      <c r="BE7" s="870">
        <v>76.029776166000005</v>
      </c>
      <c r="BF7" s="870">
        <v>75.074817795000001</v>
      </c>
      <c r="BG7" s="870">
        <v>75.971593427000002</v>
      </c>
      <c r="BH7" s="355">
        <v>76.314239994999994</v>
      </c>
      <c r="BI7" s="355">
        <v>77.061897334999998</v>
      </c>
      <c r="BJ7" s="355">
        <v>77.676994209</v>
      </c>
      <c r="BK7" s="355">
        <v>78.695206171999999</v>
      </c>
      <c r="BL7" s="355">
        <v>79.874972941999999</v>
      </c>
      <c r="BM7" s="355">
        <v>80.252718036000005</v>
      </c>
      <c r="BN7" s="355">
        <v>80.770178432999998</v>
      </c>
      <c r="BO7" s="355">
        <v>81.480540912999999</v>
      </c>
      <c r="BP7" s="355">
        <v>81.642560473000003</v>
      </c>
      <c r="BQ7" s="355">
        <v>82.036717392</v>
      </c>
      <c r="BR7" s="355">
        <v>82.140286075999995</v>
      </c>
      <c r="BS7" s="355">
        <v>82.416825222</v>
      </c>
      <c r="BT7" s="355">
        <v>82.579691937999996</v>
      </c>
      <c r="BU7" s="355">
        <v>83.0276906</v>
      </c>
      <c r="BV7" s="355">
        <v>82.973331611999996</v>
      </c>
    </row>
    <row r="8" spans="1:74" ht="11.1" customHeight="1" x14ac:dyDescent="0.2">
      <c r="A8" s="323" t="s">
        <v>811</v>
      </c>
      <c r="B8" s="391" t="s">
        <v>931</v>
      </c>
      <c r="C8" s="289">
        <v>23.555094516</v>
      </c>
      <c r="D8" s="289">
        <v>23.516327535999999</v>
      </c>
      <c r="E8" s="289">
        <v>24.132084710000001</v>
      </c>
      <c r="F8" s="289">
        <v>24.167590767</v>
      </c>
      <c r="G8" s="289">
        <v>24.789416934999998</v>
      </c>
      <c r="H8" s="289">
        <v>25.0073455</v>
      </c>
      <c r="I8" s="289">
        <v>25.181359161</v>
      </c>
      <c r="J8" s="289">
        <v>24.684833129000001</v>
      </c>
      <c r="K8" s="289">
        <v>24.685621767000001</v>
      </c>
      <c r="L8" s="289">
        <v>24.891987289999999</v>
      </c>
      <c r="M8" s="289">
        <v>24.949001533000001</v>
      </c>
      <c r="N8" s="289">
        <v>23.906845355000002</v>
      </c>
      <c r="O8" s="289">
        <v>24.603932742000001</v>
      </c>
      <c r="P8" s="289">
        <v>24.599426356999999</v>
      </c>
      <c r="Q8" s="289">
        <v>24.948033290000001</v>
      </c>
      <c r="R8" s="289">
        <v>25.364871600000001</v>
      </c>
      <c r="S8" s="289">
        <v>25.485743805999999</v>
      </c>
      <c r="T8" s="289">
        <v>25.887036432999999</v>
      </c>
      <c r="U8" s="289">
        <v>26.025408581000001</v>
      </c>
      <c r="V8" s="289">
        <v>26.201848096999999</v>
      </c>
      <c r="W8" s="289">
        <v>26.306329999999999</v>
      </c>
      <c r="X8" s="289">
        <v>26.379177225999999</v>
      </c>
      <c r="Y8" s="289">
        <v>26.404979767</v>
      </c>
      <c r="Z8" s="289">
        <v>26.130442806000001</v>
      </c>
      <c r="AA8" s="289">
        <v>25.071850677</v>
      </c>
      <c r="AB8" s="289">
        <v>25.624623551999999</v>
      </c>
      <c r="AC8" s="289">
        <v>26.012768323</v>
      </c>
      <c r="AD8" s="289">
        <v>26.413944267000002</v>
      </c>
      <c r="AE8" s="289">
        <v>26.681751419000001</v>
      </c>
      <c r="AF8" s="289">
        <v>26.9781172</v>
      </c>
      <c r="AG8" s="289">
        <v>26.821862355</v>
      </c>
      <c r="AH8" s="289">
        <v>26.928570484000002</v>
      </c>
      <c r="AI8" s="289">
        <v>26.883583099999999</v>
      </c>
      <c r="AJ8" s="289">
        <v>27.253237452</v>
      </c>
      <c r="AK8" s="289">
        <v>27.177969000000001</v>
      </c>
      <c r="AL8" s="289">
        <v>26.698054386999999</v>
      </c>
      <c r="AM8" s="870">
        <v>25.988940903</v>
      </c>
      <c r="AN8" s="289">
        <v>26.307541786000002</v>
      </c>
      <c r="AO8" s="289">
        <v>26.705616065000001</v>
      </c>
      <c r="AP8" s="289">
        <v>26.878457467</v>
      </c>
      <c r="AQ8" s="289">
        <v>27.270647418999999</v>
      </c>
      <c r="AR8" s="289">
        <v>27.334021100000001</v>
      </c>
      <c r="AS8" s="289">
        <v>27.937901547999999</v>
      </c>
      <c r="AT8" s="289">
        <v>27.937187032000001</v>
      </c>
      <c r="AU8" s="289">
        <v>27.831123266999999</v>
      </c>
      <c r="AV8" s="289">
        <v>27.764912194000001</v>
      </c>
      <c r="AW8" s="289">
        <v>28.010525832999999</v>
      </c>
      <c r="AX8" s="289">
        <v>27.429857968</v>
      </c>
      <c r="AY8" s="289">
        <v>26.821899515999998</v>
      </c>
      <c r="AZ8" s="870">
        <v>27.507762536000001</v>
      </c>
      <c r="BA8" s="870">
        <v>24.776839935000002</v>
      </c>
      <c r="BB8" s="870">
        <v>24.401563500000002</v>
      </c>
      <c r="BC8" s="870">
        <v>24.869974418999998</v>
      </c>
      <c r="BD8" s="870">
        <v>25.478835433</v>
      </c>
      <c r="BE8" s="870">
        <v>26.008898271</v>
      </c>
      <c r="BF8" s="870">
        <v>25.338626802</v>
      </c>
      <c r="BG8" s="870">
        <v>25.332199675999998</v>
      </c>
      <c r="BH8" s="355">
        <v>25.790419564</v>
      </c>
      <c r="BI8" s="355">
        <v>26.029765010999999</v>
      </c>
      <c r="BJ8" s="355">
        <v>26.031991080000001</v>
      </c>
      <c r="BK8" s="355">
        <v>26.066914008000001</v>
      </c>
      <c r="BL8" s="355">
        <v>26.442297756999999</v>
      </c>
      <c r="BM8" s="355">
        <v>27.014282781999999</v>
      </c>
      <c r="BN8" s="355">
        <v>27.798609368000001</v>
      </c>
      <c r="BO8" s="355">
        <v>28.355692498</v>
      </c>
      <c r="BP8" s="355">
        <v>28.586846599000001</v>
      </c>
      <c r="BQ8" s="355">
        <v>28.713123572000001</v>
      </c>
      <c r="BR8" s="355">
        <v>28.763737842000001</v>
      </c>
      <c r="BS8" s="355">
        <v>28.686170194999999</v>
      </c>
      <c r="BT8" s="355">
        <v>28.778148527999999</v>
      </c>
      <c r="BU8" s="355">
        <v>28.791458921</v>
      </c>
      <c r="BV8" s="355">
        <v>28.517883586</v>
      </c>
    </row>
    <row r="9" spans="1:74" ht="11.1" customHeight="1" x14ac:dyDescent="0.2">
      <c r="A9" s="323"/>
      <c r="B9" s="390"/>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870"/>
      <c r="AN9" s="289"/>
      <c r="AO9" s="289"/>
      <c r="AP9" s="289"/>
      <c r="AQ9" s="289"/>
      <c r="AR9" s="289"/>
      <c r="AS9" s="289"/>
      <c r="AT9" s="289"/>
      <c r="AU9" s="289"/>
      <c r="AV9" s="289"/>
      <c r="AW9" s="289"/>
      <c r="AX9" s="289"/>
      <c r="AY9" s="289"/>
      <c r="AZ9" s="870"/>
      <c r="BA9" s="870"/>
      <c r="BB9" s="870"/>
      <c r="BC9" s="870"/>
      <c r="BD9" s="870"/>
      <c r="BE9" s="870"/>
      <c r="BF9" s="870"/>
      <c r="BG9" s="870"/>
      <c r="BH9" s="355"/>
      <c r="BI9" s="355"/>
      <c r="BJ9" s="355"/>
      <c r="BK9" s="355"/>
      <c r="BL9" s="355"/>
      <c r="BM9" s="355"/>
      <c r="BN9" s="355"/>
      <c r="BO9" s="355"/>
      <c r="BP9" s="355"/>
      <c r="BQ9" s="355"/>
      <c r="BR9" s="355"/>
      <c r="BS9" s="355"/>
      <c r="BT9" s="355"/>
      <c r="BU9" s="355"/>
      <c r="BV9" s="355"/>
    </row>
    <row r="10" spans="1:74" s="272" customFormat="1" ht="11.1" customHeight="1" x14ac:dyDescent="0.2">
      <c r="A10" s="395" t="s">
        <v>178</v>
      </c>
      <c r="B10" s="389" t="s">
        <v>809</v>
      </c>
      <c r="C10" s="105">
        <v>98.160102214999995</v>
      </c>
      <c r="D10" s="105">
        <v>99.396940040999993</v>
      </c>
      <c r="E10" s="105">
        <v>99.885463561999998</v>
      </c>
      <c r="F10" s="105">
        <v>99.309545127999996</v>
      </c>
      <c r="G10" s="105">
        <v>99.291761609999995</v>
      </c>
      <c r="H10" s="105">
        <v>99.803793795999994</v>
      </c>
      <c r="I10" s="105">
        <v>100.92804615999999</v>
      </c>
      <c r="J10" s="105">
        <v>101.47354863</v>
      </c>
      <c r="K10" s="105">
        <v>102.0062277</v>
      </c>
      <c r="L10" s="105">
        <v>102.15839434999999</v>
      </c>
      <c r="M10" s="105">
        <v>102.33529342999999</v>
      </c>
      <c r="N10" s="105">
        <v>100.71309418</v>
      </c>
      <c r="O10" s="105">
        <v>101.45482776</v>
      </c>
      <c r="P10" s="105">
        <v>102.05690875000001</v>
      </c>
      <c r="Q10" s="105">
        <v>102.41224033</v>
      </c>
      <c r="R10" s="105">
        <v>102.18205281</v>
      </c>
      <c r="S10" s="105">
        <v>101.70520783000001</v>
      </c>
      <c r="T10" s="105">
        <v>102.59023191</v>
      </c>
      <c r="U10" s="105">
        <v>102.10170943</v>
      </c>
      <c r="V10" s="105">
        <v>101.83322809000001</v>
      </c>
      <c r="W10" s="105">
        <v>102.89052676</v>
      </c>
      <c r="X10" s="105">
        <v>103.17736720000001</v>
      </c>
      <c r="Y10" s="105">
        <v>103.96329688</v>
      </c>
      <c r="Z10" s="105">
        <v>103.94837507</v>
      </c>
      <c r="AA10" s="105">
        <v>101.50297965999999</v>
      </c>
      <c r="AB10" s="105">
        <v>102.75229859</v>
      </c>
      <c r="AC10" s="105">
        <v>103.52942145</v>
      </c>
      <c r="AD10" s="105">
        <v>103.42159822000001</v>
      </c>
      <c r="AE10" s="105">
        <v>103.01943813</v>
      </c>
      <c r="AF10" s="105">
        <v>103.02363439</v>
      </c>
      <c r="AG10" s="105">
        <v>103.18580031</v>
      </c>
      <c r="AH10" s="105">
        <v>103.512325</v>
      </c>
      <c r="AI10" s="105">
        <v>102.41426165</v>
      </c>
      <c r="AJ10" s="105">
        <v>103.75461299</v>
      </c>
      <c r="AK10" s="105">
        <v>103.89637815</v>
      </c>
      <c r="AL10" s="105">
        <v>103.80398796999999</v>
      </c>
      <c r="AM10" s="882">
        <v>102.69921518</v>
      </c>
      <c r="AN10" s="105">
        <v>103.24108379</v>
      </c>
      <c r="AO10" s="105">
        <v>104.76968506</v>
      </c>
      <c r="AP10" s="105">
        <v>104.48321647</v>
      </c>
      <c r="AQ10" s="105">
        <v>104.97520242</v>
      </c>
      <c r="AR10" s="105">
        <v>106.1207941</v>
      </c>
      <c r="AS10" s="105">
        <v>107.21600155</v>
      </c>
      <c r="AT10" s="105">
        <v>107.67390803000001</v>
      </c>
      <c r="AU10" s="105">
        <v>108.83613427</v>
      </c>
      <c r="AV10" s="105">
        <v>108.57775319</v>
      </c>
      <c r="AW10" s="105">
        <v>108.69133583</v>
      </c>
      <c r="AX10" s="105">
        <v>108.00185897</v>
      </c>
      <c r="AY10" s="105">
        <v>105.96457452</v>
      </c>
      <c r="AZ10" s="882">
        <v>108.70947054</v>
      </c>
      <c r="BA10" s="882">
        <v>96.785842935000005</v>
      </c>
      <c r="BB10" s="882">
        <v>95.428440499999994</v>
      </c>
      <c r="BC10" s="882">
        <v>94.583200418999994</v>
      </c>
      <c r="BD10" s="882">
        <v>99.522681433000002</v>
      </c>
      <c r="BE10" s="882">
        <v>102.03867443999999</v>
      </c>
      <c r="BF10" s="882">
        <v>100.41344460000001</v>
      </c>
      <c r="BG10" s="882">
        <v>101.30379309999999</v>
      </c>
      <c r="BH10" s="388">
        <v>102.10465956</v>
      </c>
      <c r="BI10" s="388">
        <v>103.09166234999999</v>
      </c>
      <c r="BJ10" s="388">
        <v>103.70898529</v>
      </c>
      <c r="BK10" s="388">
        <v>104.76212018</v>
      </c>
      <c r="BL10" s="388">
        <v>106.31727069999999</v>
      </c>
      <c r="BM10" s="388">
        <v>107.26700082000001</v>
      </c>
      <c r="BN10" s="388">
        <v>108.5687878</v>
      </c>
      <c r="BO10" s="388">
        <v>109.83623341000001</v>
      </c>
      <c r="BP10" s="388">
        <v>110.22940706999999</v>
      </c>
      <c r="BQ10" s="388">
        <v>110.74984096</v>
      </c>
      <c r="BR10" s="388">
        <v>110.90402392</v>
      </c>
      <c r="BS10" s="388">
        <v>111.10299542</v>
      </c>
      <c r="BT10" s="388">
        <v>111.35784047</v>
      </c>
      <c r="BU10" s="388">
        <v>111.81914952</v>
      </c>
      <c r="BV10" s="388">
        <v>111.4912152</v>
      </c>
    </row>
    <row r="11" spans="1:74" s="272" customFormat="1" ht="11.1" customHeight="1" x14ac:dyDescent="0.2">
      <c r="A11" s="395" t="s">
        <v>176</v>
      </c>
      <c r="B11" s="392" t="s">
        <v>936</v>
      </c>
      <c r="C11" s="105">
        <v>28.238199999999999</v>
      </c>
      <c r="D11" s="105">
        <v>28.892099999999999</v>
      </c>
      <c r="E11" s="105">
        <v>28.530999999999999</v>
      </c>
      <c r="F11" s="105">
        <v>28.8233</v>
      </c>
      <c r="G11" s="105">
        <v>28.344200000000001</v>
      </c>
      <c r="H11" s="105">
        <v>28.472000000000001</v>
      </c>
      <c r="I11" s="105">
        <v>28.692</v>
      </c>
      <c r="J11" s="105">
        <v>29.607600000000001</v>
      </c>
      <c r="K11" s="105">
        <v>29.749300000000002</v>
      </c>
      <c r="L11" s="105">
        <v>29.348199999999999</v>
      </c>
      <c r="M11" s="105">
        <v>29.0533</v>
      </c>
      <c r="N11" s="105">
        <v>29.045999999999999</v>
      </c>
      <c r="O11" s="105">
        <v>28.4971</v>
      </c>
      <c r="P11" s="105">
        <v>28.8</v>
      </c>
      <c r="Q11" s="105">
        <v>29.045100000000001</v>
      </c>
      <c r="R11" s="105">
        <v>29.117000000000001</v>
      </c>
      <c r="S11" s="105">
        <v>28.5837</v>
      </c>
      <c r="T11" s="105">
        <v>28.796700000000001</v>
      </c>
      <c r="U11" s="105">
        <v>27.9514</v>
      </c>
      <c r="V11" s="105">
        <v>27.785900000000002</v>
      </c>
      <c r="W11" s="105">
        <v>28.4556</v>
      </c>
      <c r="X11" s="105">
        <v>28.364899999999999</v>
      </c>
      <c r="Y11" s="105">
        <v>28.4316</v>
      </c>
      <c r="Z11" s="105">
        <v>28.3614</v>
      </c>
      <c r="AA11" s="105">
        <v>28.150099999999998</v>
      </c>
      <c r="AB11" s="105">
        <v>28.465</v>
      </c>
      <c r="AC11" s="105">
        <v>28.793500000000002</v>
      </c>
      <c r="AD11" s="105">
        <v>28.752400000000002</v>
      </c>
      <c r="AE11" s="105">
        <v>28.601400000000002</v>
      </c>
      <c r="AF11" s="105">
        <v>28.200399999999998</v>
      </c>
      <c r="AG11" s="105">
        <v>28.638300000000001</v>
      </c>
      <c r="AH11" s="105">
        <v>28.556999999999999</v>
      </c>
      <c r="AI11" s="105">
        <v>27.827400000000001</v>
      </c>
      <c r="AJ11" s="105">
        <v>28.3263</v>
      </c>
      <c r="AK11" s="105">
        <v>28.340499999999999</v>
      </c>
      <c r="AL11" s="105">
        <v>28.493500000000001</v>
      </c>
      <c r="AM11" s="882">
        <v>28.5002</v>
      </c>
      <c r="AN11" s="105">
        <v>28.626899999999999</v>
      </c>
      <c r="AO11" s="105">
        <v>28.872800000000002</v>
      </c>
      <c r="AP11" s="105">
        <v>28.701000000000001</v>
      </c>
      <c r="AQ11" s="105">
        <v>29.073</v>
      </c>
      <c r="AR11" s="105">
        <v>29.550599999999999</v>
      </c>
      <c r="AS11" s="105">
        <v>29.137599999999999</v>
      </c>
      <c r="AT11" s="105">
        <v>29.159400000000002</v>
      </c>
      <c r="AU11" s="105">
        <v>30.3216</v>
      </c>
      <c r="AV11" s="105">
        <v>30.073399999999999</v>
      </c>
      <c r="AW11" s="105">
        <v>29.8504</v>
      </c>
      <c r="AX11" s="105">
        <v>30.0989</v>
      </c>
      <c r="AY11" s="105">
        <v>29.973400000000002</v>
      </c>
      <c r="AZ11" s="882">
        <v>30.816600000000001</v>
      </c>
      <c r="BA11" s="882">
        <v>21.902899999999999</v>
      </c>
      <c r="BB11" s="882">
        <v>19.950600000000001</v>
      </c>
      <c r="BC11" s="882">
        <v>19.383299999999998</v>
      </c>
      <c r="BD11" s="882">
        <v>21.761900000000001</v>
      </c>
      <c r="BE11" s="882">
        <v>24.019992996999999</v>
      </c>
      <c r="BF11" s="882">
        <v>22.888373245</v>
      </c>
      <c r="BG11" s="882">
        <v>23.851589689000001</v>
      </c>
      <c r="BH11" s="388">
        <v>23.969294396999999</v>
      </c>
      <c r="BI11" s="388">
        <v>24.312508437999998</v>
      </c>
      <c r="BJ11" s="388">
        <v>24.845792036999999</v>
      </c>
      <c r="BK11" s="388">
        <v>25.71205952</v>
      </c>
      <c r="BL11" s="388">
        <v>27.045558181000001</v>
      </c>
      <c r="BM11" s="388">
        <v>27.873271120999998</v>
      </c>
      <c r="BN11" s="388">
        <v>28.732466055</v>
      </c>
      <c r="BO11" s="388">
        <v>29.710496535000001</v>
      </c>
      <c r="BP11" s="388">
        <v>30.023858923999999</v>
      </c>
      <c r="BQ11" s="388">
        <v>30.051847646999999</v>
      </c>
      <c r="BR11" s="388">
        <v>30.104830213</v>
      </c>
      <c r="BS11" s="388">
        <v>30.137886980000001</v>
      </c>
      <c r="BT11" s="388">
        <v>30.170660466000001</v>
      </c>
      <c r="BU11" s="388">
        <v>30.213880891999999</v>
      </c>
      <c r="BV11" s="388">
        <v>30.247170704999998</v>
      </c>
    </row>
    <row r="12" spans="1:74" ht="11.1" customHeight="1" x14ac:dyDescent="0.2">
      <c r="A12" s="323" t="s">
        <v>177</v>
      </c>
      <c r="B12" s="393" t="s">
        <v>930</v>
      </c>
      <c r="C12" s="289">
        <v>23.79</v>
      </c>
      <c r="D12" s="289">
        <v>24.45</v>
      </c>
      <c r="E12" s="289">
        <v>24.085000000000001</v>
      </c>
      <c r="F12" s="289">
        <v>24.37</v>
      </c>
      <c r="G12" s="289">
        <v>23.894600000000001</v>
      </c>
      <c r="H12" s="289">
        <v>24.02</v>
      </c>
      <c r="I12" s="289">
        <v>24.24</v>
      </c>
      <c r="J12" s="289">
        <v>25.17</v>
      </c>
      <c r="K12" s="289">
        <v>25.31</v>
      </c>
      <c r="L12" s="289">
        <v>24.905000000000001</v>
      </c>
      <c r="M12" s="289">
        <v>24.61</v>
      </c>
      <c r="N12" s="289">
        <v>24.66</v>
      </c>
      <c r="O12" s="289">
        <v>24.055</v>
      </c>
      <c r="P12" s="289">
        <v>24.34</v>
      </c>
      <c r="Q12" s="289">
        <v>24.555</v>
      </c>
      <c r="R12" s="289">
        <v>24.56</v>
      </c>
      <c r="S12" s="289">
        <v>24.085000000000001</v>
      </c>
      <c r="T12" s="289">
        <v>24.234999999999999</v>
      </c>
      <c r="U12" s="289">
        <v>23.39</v>
      </c>
      <c r="V12" s="289">
        <v>23.175000000000001</v>
      </c>
      <c r="W12" s="289">
        <v>23.824999999999999</v>
      </c>
      <c r="X12" s="289">
        <v>23.715</v>
      </c>
      <c r="Y12" s="289">
        <v>23.77</v>
      </c>
      <c r="Z12" s="289">
        <v>23.7</v>
      </c>
      <c r="AA12" s="289">
        <v>23.54</v>
      </c>
      <c r="AB12" s="289">
        <v>23.844999999999999</v>
      </c>
      <c r="AC12" s="289">
        <v>24.175000000000001</v>
      </c>
      <c r="AD12" s="289">
        <v>24.13</v>
      </c>
      <c r="AE12" s="289">
        <v>23.98</v>
      </c>
      <c r="AF12" s="289">
        <v>23.58</v>
      </c>
      <c r="AG12" s="289">
        <v>24.02</v>
      </c>
      <c r="AH12" s="289">
        <v>23.94</v>
      </c>
      <c r="AI12" s="289">
        <v>23.21</v>
      </c>
      <c r="AJ12" s="289">
        <v>23.71</v>
      </c>
      <c r="AK12" s="289">
        <v>23.725000000000001</v>
      </c>
      <c r="AL12" s="289">
        <v>23.88</v>
      </c>
      <c r="AM12" s="870">
        <v>23.87</v>
      </c>
      <c r="AN12" s="289">
        <v>24</v>
      </c>
      <c r="AO12" s="289">
        <v>24.25</v>
      </c>
      <c r="AP12" s="289">
        <v>24.055</v>
      </c>
      <c r="AQ12" s="289">
        <v>24.41</v>
      </c>
      <c r="AR12" s="289">
        <v>24.91</v>
      </c>
      <c r="AS12" s="289">
        <v>24.46</v>
      </c>
      <c r="AT12" s="289">
        <v>24.434999999999999</v>
      </c>
      <c r="AU12" s="289">
        <v>25.58</v>
      </c>
      <c r="AV12" s="289">
        <v>25.295000000000002</v>
      </c>
      <c r="AW12" s="289">
        <v>25.055</v>
      </c>
      <c r="AX12" s="289">
        <v>25.225000000000001</v>
      </c>
      <c r="AY12" s="289">
        <v>25.125</v>
      </c>
      <c r="AZ12" s="870">
        <v>25.95</v>
      </c>
      <c r="BA12" s="870">
        <v>18.45</v>
      </c>
      <c r="BB12" s="870">
        <v>16.899999999999999</v>
      </c>
      <c r="BC12" s="870">
        <v>16.41</v>
      </c>
      <c r="BD12" s="870">
        <v>18.61</v>
      </c>
      <c r="BE12" s="870">
        <v>20.58</v>
      </c>
      <c r="BF12" s="870">
        <v>19.86</v>
      </c>
      <c r="BG12" s="870">
        <v>20.8</v>
      </c>
      <c r="BH12" s="355">
        <v>20.76</v>
      </c>
      <c r="BI12" s="355">
        <v>20.945</v>
      </c>
      <c r="BJ12" s="355">
        <v>21.23</v>
      </c>
      <c r="BK12" s="355">
        <v>21.84</v>
      </c>
      <c r="BL12" s="355">
        <v>22.92</v>
      </c>
      <c r="BM12" s="355">
        <v>23.484999999999999</v>
      </c>
      <c r="BN12" s="355">
        <v>24.05</v>
      </c>
      <c r="BO12" s="355">
        <v>24.815000000000001</v>
      </c>
      <c r="BP12" s="355">
        <v>25.08</v>
      </c>
      <c r="BQ12" s="355">
        <v>25.09</v>
      </c>
      <c r="BR12" s="355">
        <v>25.105</v>
      </c>
      <c r="BS12" s="355">
        <v>25.12</v>
      </c>
      <c r="BT12" s="355">
        <v>25.135000000000002</v>
      </c>
      <c r="BU12" s="355">
        <v>25.15</v>
      </c>
      <c r="BV12" s="355">
        <v>25.164999999999999</v>
      </c>
    </row>
    <row r="13" spans="1:74" ht="11.1" customHeight="1" x14ac:dyDescent="0.2">
      <c r="A13" s="323" t="s">
        <v>209</v>
      </c>
      <c r="B13" s="393" t="s">
        <v>931</v>
      </c>
      <c r="C13" s="289">
        <v>4.4481999999999999</v>
      </c>
      <c r="D13" s="289">
        <v>4.4420999999999999</v>
      </c>
      <c r="E13" s="289">
        <v>4.4459999999999997</v>
      </c>
      <c r="F13" s="289">
        <v>4.4532999999999996</v>
      </c>
      <c r="G13" s="289">
        <v>4.4496000000000002</v>
      </c>
      <c r="H13" s="289">
        <v>4.452</v>
      </c>
      <c r="I13" s="289">
        <v>4.452</v>
      </c>
      <c r="J13" s="289">
        <v>4.4375999999999998</v>
      </c>
      <c r="K13" s="289">
        <v>4.4393000000000002</v>
      </c>
      <c r="L13" s="289">
        <v>4.4432</v>
      </c>
      <c r="M13" s="289">
        <v>4.4432999999999998</v>
      </c>
      <c r="N13" s="289">
        <v>4.3860000000000001</v>
      </c>
      <c r="O13" s="289">
        <v>4.4420999999999999</v>
      </c>
      <c r="P13" s="289">
        <v>4.46</v>
      </c>
      <c r="Q13" s="289">
        <v>4.4901</v>
      </c>
      <c r="R13" s="289">
        <v>4.5570000000000004</v>
      </c>
      <c r="S13" s="289">
        <v>4.4987000000000004</v>
      </c>
      <c r="T13" s="289">
        <v>4.5617000000000001</v>
      </c>
      <c r="U13" s="289">
        <v>4.5613999999999999</v>
      </c>
      <c r="V13" s="289">
        <v>4.6109</v>
      </c>
      <c r="W13" s="289">
        <v>4.6306000000000003</v>
      </c>
      <c r="X13" s="289">
        <v>4.6498999999999997</v>
      </c>
      <c r="Y13" s="289">
        <v>4.6616</v>
      </c>
      <c r="Z13" s="289">
        <v>4.6614000000000004</v>
      </c>
      <c r="AA13" s="289">
        <v>4.6101000000000001</v>
      </c>
      <c r="AB13" s="289">
        <v>4.62</v>
      </c>
      <c r="AC13" s="289">
        <v>4.6185</v>
      </c>
      <c r="AD13" s="289">
        <v>4.6223999999999998</v>
      </c>
      <c r="AE13" s="289">
        <v>4.6214000000000004</v>
      </c>
      <c r="AF13" s="289">
        <v>4.6204000000000001</v>
      </c>
      <c r="AG13" s="289">
        <v>4.6182999999999996</v>
      </c>
      <c r="AH13" s="289">
        <v>4.617</v>
      </c>
      <c r="AI13" s="289">
        <v>4.6173999999999999</v>
      </c>
      <c r="AJ13" s="289">
        <v>4.6162999999999998</v>
      </c>
      <c r="AK13" s="289">
        <v>4.6154999999999999</v>
      </c>
      <c r="AL13" s="289">
        <v>4.6135000000000002</v>
      </c>
      <c r="AM13" s="870">
        <v>4.6302000000000003</v>
      </c>
      <c r="AN13" s="289">
        <v>4.6269</v>
      </c>
      <c r="AO13" s="289">
        <v>4.6227999999999998</v>
      </c>
      <c r="AP13" s="289">
        <v>4.6459999999999999</v>
      </c>
      <c r="AQ13" s="289">
        <v>4.6630000000000003</v>
      </c>
      <c r="AR13" s="289">
        <v>4.6406000000000001</v>
      </c>
      <c r="AS13" s="289">
        <v>4.6776</v>
      </c>
      <c r="AT13" s="289">
        <v>4.7244000000000002</v>
      </c>
      <c r="AU13" s="289">
        <v>4.7416</v>
      </c>
      <c r="AV13" s="289">
        <v>4.7784000000000004</v>
      </c>
      <c r="AW13" s="289">
        <v>4.7953999999999999</v>
      </c>
      <c r="AX13" s="289">
        <v>4.8738999999999999</v>
      </c>
      <c r="AY13" s="289">
        <v>4.8483999999999998</v>
      </c>
      <c r="AZ13" s="870">
        <v>4.8666</v>
      </c>
      <c r="BA13" s="870">
        <v>3.4529000000000001</v>
      </c>
      <c r="BB13" s="870">
        <v>3.0506000000000002</v>
      </c>
      <c r="BC13" s="870">
        <v>2.9733000000000001</v>
      </c>
      <c r="BD13" s="870">
        <v>3.1518999999999999</v>
      </c>
      <c r="BE13" s="870">
        <v>3.4399929968</v>
      </c>
      <c r="BF13" s="870">
        <v>3.0283732446</v>
      </c>
      <c r="BG13" s="870">
        <v>3.0515896888</v>
      </c>
      <c r="BH13" s="355">
        <v>3.2092943973999999</v>
      </c>
      <c r="BI13" s="355">
        <v>3.3675084375000002</v>
      </c>
      <c r="BJ13" s="355">
        <v>3.6157920369999998</v>
      </c>
      <c r="BK13" s="355">
        <v>3.8720595201000001</v>
      </c>
      <c r="BL13" s="355">
        <v>4.1255581809999997</v>
      </c>
      <c r="BM13" s="355">
        <v>4.3882711208999998</v>
      </c>
      <c r="BN13" s="355">
        <v>4.6824660551999999</v>
      </c>
      <c r="BO13" s="355">
        <v>4.8954965354000004</v>
      </c>
      <c r="BP13" s="355">
        <v>4.9438589242999997</v>
      </c>
      <c r="BQ13" s="355">
        <v>4.9618476470999999</v>
      </c>
      <c r="BR13" s="355">
        <v>4.9998302134000001</v>
      </c>
      <c r="BS13" s="355">
        <v>5.0178869805000001</v>
      </c>
      <c r="BT13" s="355">
        <v>5.0356604660000004</v>
      </c>
      <c r="BU13" s="355">
        <v>5.0638808919000002</v>
      </c>
      <c r="BV13" s="355">
        <v>5.0821707050000002</v>
      </c>
    </row>
    <row r="14" spans="1:74" s="272" customFormat="1" ht="11.1" customHeight="1" x14ac:dyDescent="0.2">
      <c r="A14" s="395" t="s">
        <v>210</v>
      </c>
      <c r="B14" s="392" t="s">
        <v>831</v>
      </c>
      <c r="C14" s="105">
        <v>69.921902215000003</v>
      </c>
      <c r="D14" s="105">
        <v>70.504840040999994</v>
      </c>
      <c r="E14" s="105">
        <v>71.354463562000007</v>
      </c>
      <c r="F14" s="105">
        <v>70.486245127999993</v>
      </c>
      <c r="G14" s="105">
        <v>70.947561609999994</v>
      </c>
      <c r="H14" s="105">
        <v>71.331793795999999</v>
      </c>
      <c r="I14" s="105">
        <v>72.236046164000001</v>
      </c>
      <c r="J14" s="105">
        <v>71.865948630999995</v>
      </c>
      <c r="K14" s="105">
        <v>72.256927701999999</v>
      </c>
      <c r="L14" s="105">
        <v>72.810194351999996</v>
      </c>
      <c r="M14" s="105">
        <v>73.281993427000003</v>
      </c>
      <c r="N14" s="105">
        <v>71.667094182</v>
      </c>
      <c r="O14" s="105">
        <v>72.957727759999997</v>
      </c>
      <c r="P14" s="105">
        <v>73.256908745999993</v>
      </c>
      <c r="Q14" s="105">
        <v>73.367140324999994</v>
      </c>
      <c r="R14" s="105">
        <v>73.065052815000001</v>
      </c>
      <c r="S14" s="105">
        <v>73.121507832000006</v>
      </c>
      <c r="T14" s="105">
        <v>73.793531909999999</v>
      </c>
      <c r="U14" s="105">
        <v>74.150309429999993</v>
      </c>
      <c r="V14" s="105">
        <v>74.047328086999997</v>
      </c>
      <c r="W14" s="105">
        <v>74.434926763999997</v>
      </c>
      <c r="X14" s="105">
        <v>74.812467205000004</v>
      </c>
      <c r="Y14" s="105">
        <v>75.531696875999998</v>
      </c>
      <c r="Z14" s="105">
        <v>75.586975069000005</v>
      </c>
      <c r="AA14" s="105">
        <v>73.352879655999999</v>
      </c>
      <c r="AB14" s="105">
        <v>74.287298593000003</v>
      </c>
      <c r="AC14" s="105">
        <v>74.735921446999996</v>
      </c>
      <c r="AD14" s="105">
        <v>74.669198214999994</v>
      </c>
      <c r="AE14" s="105">
        <v>74.418038132999996</v>
      </c>
      <c r="AF14" s="105">
        <v>74.823234391</v>
      </c>
      <c r="AG14" s="105">
        <v>74.547500310000004</v>
      </c>
      <c r="AH14" s="105">
        <v>74.955324997000005</v>
      </c>
      <c r="AI14" s="105">
        <v>74.586861654000003</v>
      </c>
      <c r="AJ14" s="105">
        <v>75.428312989999995</v>
      </c>
      <c r="AK14" s="105">
        <v>75.555878153999998</v>
      </c>
      <c r="AL14" s="105">
        <v>75.310487969999997</v>
      </c>
      <c r="AM14" s="882">
        <v>74.199015184000004</v>
      </c>
      <c r="AN14" s="105">
        <v>74.614183785999998</v>
      </c>
      <c r="AO14" s="105">
        <v>75.896885065000006</v>
      </c>
      <c r="AP14" s="105">
        <v>75.782216466999998</v>
      </c>
      <c r="AQ14" s="105">
        <v>75.902202419000005</v>
      </c>
      <c r="AR14" s="105">
        <v>76.570194099999995</v>
      </c>
      <c r="AS14" s="105">
        <v>78.078401548000002</v>
      </c>
      <c r="AT14" s="105">
        <v>78.514508031999995</v>
      </c>
      <c r="AU14" s="105">
        <v>78.514534267000002</v>
      </c>
      <c r="AV14" s="105">
        <v>78.504353194000004</v>
      </c>
      <c r="AW14" s="105">
        <v>78.840935833000003</v>
      </c>
      <c r="AX14" s="105">
        <v>77.902958967999993</v>
      </c>
      <c r="AY14" s="105">
        <v>75.991174516000001</v>
      </c>
      <c r="AZ14" s="882">
        <v>77.892870536000004</v>
      </c>
      <c r="BA14" s="882">
        <v>74.882942935000003</v>
      </c>
      <c r="BB14" s="882">
        <v>75.477840499999999</v>
      </c>
      <c r="BC14" s="882">
        <v>75.199900419000002</v>
      </c>
      <c r="BD14" s="882">
        <v>77.760781433000005</v>
      </c>
      <c r="BE14" s="882">
        <v>78.018681439999995</v>
      </c>
      <c r="BF14" s="882">
        <v>77.525071353000001</v>
      </c>
      <c r="BG14" s="882">
        <v>77.452203413999996</v>
      </c>
      <c r="BH14" s="388">
        <v>78.135365160999996</v>
      </c>
      <c r="BI14" s="388">
        <v>78.779153907999998</v>
      </c>
      <c r="BJ14" s="388">
        <v>78.863193250999998</v>
      </c>
      <c r="BK14" s="388">
        <v>79.05006066</v>
      </c>
      <c r="BL14" s="388">
        <v>79.271712518000001</v>
      </c>
      <c r="BM14" s="388">
        <v>79.393729696999998</v>
      </c>
      <c r="BN14" s="388">
        <v>79.836321745999996</v>
      </c>
      <c r="BO14" s="388">
        <v>80.125736876000005</v>
      </c>
      <c r="BP14" s="388">
        <v>80.205548148000005</v>
      </c>
      <c r="BQ14" s="388">
        <v>80.697993316999998</v>
      </c>
      <c r="BR14" s="388">
        <v>80.799193704999993</v>
      </c>
      <c r="BS14" s="388">
        <v>80.965108435999994</v>
      </c>
      <c r="BT14" s="388">
        <v>81.187179999999998</v>
      </c>
      <c r="BU14" s="388">
        <v>81.605268628000005</v>
      </c>
      <c r="BV14" s="388">
        <v>81.244044493000004</v>
      </c>
    </row>
    <row r="15" spans="1:74" ht="11.1" customHeight="1" x14ac:dyDescent="0.2">
      <c r="A15" s="323" t="s">
        <v>812</v>
      </c>
      <c r="B15" s="393" t="s">
        <v>930</v>
      </c>
      <c r="C15" s="289">
        <v>50.815007698999999</v>
      </c>
      <c r="D15" s="289">
        <v>51.430612506000003</v>
      </c>
      <c r="E15" s="289">
        <v>51.668378853</v>
      </c>
      <c r="F15" s="289">
        <v>50.771954362000002</v>
      </c>
      <c r="G15" s="289">
        <v>50.607744674999999</v>
      </c>
      <c r="H15" s="289">
        <v>50.776448295999998</v>
      </c>
      <c r="I15" s="289">
        <v>51.506687003000003</v>
      </c>
      <c r="J15" s="289">
        <v>51.618715502000001</v>
      </c>
      <c r="K15" s="289">
        <v>52.010605935000001</v>
      </c>
      <c r="L15" s="289">
        <v>52.361407061999998</v>
      </c>
      <c r="M15" s="289">
        <v>52.776291894000003</v>
      </c>
      <c r="N15" s="289">
        <v>52.146248827000001</v>
      </c>
      <c r="O15" s="289">
        <v>52.795895018000003</v>
      </c>
      <c r="P15" s="289">
        <v>53.117482389000003</v>
      </c>
      <c r="Q15" s="289">
        <v>52.909207035000001</v>
      </c>
      <c r="R15" s="289">
        <v>52.257181215000003</v>
      </c>
      <c r="S15" s="289">
        <v>52.134464025</v>
      </c>
      <c r="T15" s="289">
        <v>52.468195477000002</v>
      </c>
      <c r="U15" s="289">
        <v>52.686300848999998</v>
      </c>
      <c r="V15" s="289">
        <v>52.456379990000002</v>
      </c>
      <c r="W15" s="289">
        <v>52.759196764000002</v>
      </c>
      <c r="X15" s="289">
        <v>53.083189978999997</v>
      </c>
      <c r="Y15" s="289">
        <v>53.788317110000001</v>
      </c>
      <c r="Z15" s="289">
        <v>54.117932263</v>
      </c>
      <c r="AA15" s="289">
        <v>52.891128979000001</v>
      </c>
      <c r="AB15" s="289">
        <v>53.282675042000001</v>
      </c>
      <c r="AC15" s="289">
        <v>53.341653125000001</v>
      </c>
      <c r="AD15" s="289">
        <v>52.877653948000003</v>
      </c>
      <c r="AE15" s="289">
        <v>52.357686713</v>
      </c>
      <c r="AF15" s="289">
        <v>52.465517191000004</v>
      </c>
      <c r="AG15" s="289">
        <v>52.343937955000001</v>
      </c>
      <c r="AH15" s="289">
        <v>52.643754512999998</v>
      </c>
      <c r="AI15" s="289">
        <v>52.320678553999997</v>
      </c>
      <c r="AJ15" s="289">
        <v>52.791375539000001</v>
      </c>
      <c r="AK15" s="289">
        <v>52.993409153999998</v>
      </c>
      <c r="AL15" s="289">
        <v>53.225933583</v>
      </c>
      <c r="AM15" s="870">
        <v>52.840274280999999</v>
      </c>
      <c r="AN15" s="289">
        <v>52.933542000000003</v>
      </c>
      <c r="AO15" s="289">
        <v>53.814069000000003</v>
      </c>
      <c r="AP15" s="289">
        <v>53.549759000000002</v>
      </c>
      <c r="AQ15" s="289">
        <v>53.294555000000003</v>
      </c>
      <c r="AR15" s="289">
        <v>53.876773</v>
      </c>
      <c r="AS15" s="289">
        <v>54.818100000000001</v>
      </c>
      <c r="AT15" s="289">
        <v>55.301721000000001</v>
      </c>
      <c r="AU15" s="289">
        <v>55.425010999999998</v>
      </c>
      <c r="AV15" s="289">
        <v>55.517840999999997</v>
      </c>
      <c r="AW15" s="289">
        <v>55.625810000000001</v>
      </c>
      <c r="AX15" s="289">
        <v>55.347000999999999</v>
      </c>
      <c r="AY15" s="289">
        <v>54.017674999999997</v>
      </c>
      <c r="AZ15" s="870">
        <v>55.251708000000001</v>
      </c>
      <c r="BA15" s="870">
        <v>53.559002999999997</v>
      </c>
      <c r="BB15" s="870">
        <v>54.126877</v>
      </c>
      <c r="BC15" s="870">
        <v>53.303226000000002</v>
      </c>
      <c r="BD15" s="870">
        <v>55.433846000000003</v>
      </c>
      <c r="BE15" s="870">
        <v>55.449776165999999</v>
      </c>
      <c r="BF15" s="870">
        <v>55.214817795000002</v>
      </c>
      <c r="BG15" s="870">
        <v>55.171593426999998</v>
      </c>
      <c r="BH15" s="355">
        <v>55.554239995000003</v>
      </c>
      <c r="BI15" s="355">
        <v>56.116897334999997</v>
      </c>
      <c r="BJ15" s="355">
        <v>56.446994209000003</v>
      </c>
      <c r="BK15" s="355">
        <v>56.855206172000003</v>
      </c>
      <c r="BL15" s="355">
        <v>56.954972941999998</v>
      </c>
      <c r="BM15" s="355">
        <v>56.767718035999998</v>
      </c>
      <c r="BN15" s="355">
        <v>56.720178433000001</v>
      </c>
      <c r="BO15" s="355">
        <v>56.665540913000001</v>
      </c>
      <c r="BP15" s="355">
        <v>56.562560472999998</v>
      </c>
      <c r="BQ15" s="355">
        <v>56.946717391999996</v>
      </c>
      <c r="BR15" s="355">
        <v>57.035286075999998</v>
      </c>
      <c r="BS15" s="355">
        <v>57.296825222000002</v>
      </c>
      <c r="BT15" s="355">
        <v>57.444691937999998</v>
      </c>
      <c r="BU15" s="355">
        <v>57.877690600000001</v>
      </c>
      <c r="BV15" s="355">
        <v>57.808331612000003</v>
      </c>
    </row>
    <row r="16" spans="1:74" ht="11.1" customHeight="1" x14ac:dyDescent="0.2">
      <c r="A16" s="323" t="s">
        <v>813</v>
      </c>
      <c r="B16" s="393" t="s">
        <v>931</v>
      </c>
      <c r="C16" s="289">
        <v>19.106894516000001</v>
      </c>
      <c r="D16" s="289">
        <v>19.074227535999999</v>
      </c>
      <c r="E16" s="289">
        <v>19.686084709999999</v>
      </c>
      <c r="F16" s="289">
        <v>19.714290767000001</v>
      </c>
      <c r="G16" s="289">
        <v>20.339816935000002</v>
      </c>
      <c r="H16" s="289">
        <v>20.555345500000001</v>
      </c>
      <c r="I16" s="289">
        <v>20.729359161000001</v>
      </c>
      <c r="J16" s="289">
        <v>20.247233129000001</v>
      </c>
      <c r="K16" s="289">
        <v>20.246321767000001</v>
      </c>
      <c r="L16" s="289">
        <v>20.448787289999999</v>
      </c>
      <c r="M16" s="289">
        <v>20.505701533</v>
      </c>
      <c r="N16" s="289">
        <v>19.520845354999999</v>
      </c>
      <c r="O16" s="289">
        <v>20.161832742000001</v>
      </c>
      <c r="P16" s="289">
        <v>20.139426357000001</v>
      </c>
      <c r="Q16" s="289">
        <v>20.45793329</v>
      </c>
      <c r="R16" s="289">
        <v>20.807871599999999</v>
      </c>
      <c r="S16" s="289">
        <v>20.987043805999999</v>
      </c>
      <c r="T16" s="289">
        <v>21.325336433</v>
      </c>
      <c r="U16" s="289">
        <v>21.464008581000002</v>
      </c>
      <c r="V16" s="289">
        <v>21.590948096999998</v>
      </c>
      <c r="W16" s="289">
        <v>21.675730000000001</v>
      </c>
      <c r="X16" s="289">
        <v>21.729277226000001</v>
      </c>
      <c r="Y16" s="289">
        <v>21.743379767</v>
      </c>
      <c r="Z16" s="289">
        <v>21.469042806000001</v>
      </c>
      <c r="AA16" s="289">
        <v>20.461750677000001</v>
      </c>
      <c r="AB16" s="289">
        <v>21.004623552000002</v>
      </c>
      <c r="AC16" s="289">
        <v>21.394268322999999</v>
      </c>
      <c r="AD16" s="289">
        <v>21.791544266999999</v>
      </c>
      <c r="AE16" s="289">
        <v>22.060351419</v>
      </c>
      <c r="AF16" s="289">
        <v>22.3577172</v>
      </c>
      <c r="AG16" s="289">
        <v>22.203562354999999</v>
      </c>
      <c r="AH16" s="289">
        <v>22.311570484000001</v>
      </c>
      <c r="AI16" s="289">
        <v>22.266183099999999</v>
      </c>
      <c r="AJ16" s="289">
        <v>22.636937452000002</v>
      </c>
      <c r="AK16" s="289">
        <v>22.562469</v>
      </c>
      <c r="AL16" s="289">
        <v>22.084554387000001</v>
      </c>
      <c r="AM16" s="870">
        <v>21.358740903000001</v>
      </c>
      <c r="AN16" s="289">
        <v>21.680641785999999</v>
      </c>
      <c r="AO16" s="289">
        <v>22.082816064999999</v>
      </c>
      <c r="AP16" s="289">
        <v>22.232457467</v>
      </c>
      <c r="AQ16" s="289">
        <v>22.607647418999999</v>
      </c>
      <c r="AR16" s="289">
        <v>22.693421099999998</v>
      </c>
      <c r="AS16" s="289">
        <v>23.260301548000001</v>
      </c>
      <c r="AT16" s="289">
        <v>23.212787032000001</v>
      </c>
      <c r="AU16" s="289">
        <v>23.089523267000001</v>
      </c>
      <c r="AV16" s="289">
        <v>22.986512193999999</v>
      </c>
      <c r="AW16" s="289">
        <v>23.215125832999998</v>
      </c>
      <c r="AX16" s="289">
        <v>22.555957968000001</v>
      </c>
      <c r="AY16" s="289">
        <v>21.973499516</v>
      </c>
      <c r="AZ16" s="870">
        <v>22.641162536</v>
      </c>
      <c r="BA16" s="870">
        <v>21.323939934999999</v>
      </c>
      <c r="BB16" s="870">
        <v>21.350963499999999</v>
      </c>
      <c r="BC16" s="870">
        <v>21.896674419</v>
      </c>
      <c r="BD16" s="870">
        <v>22.326935432999999</v>
      </c>
      <c r="BE16" s="870">
        <v>22.568905273999999</v>
      </c>
      <c r="BF16" s="870">
        <v>22.310253557999999</v>
      </c>
      <c r="BG16" s="870">
        <v>22.280609986999998</v>
      </c>
      <c r="BH16" s="355">
        <v>22.581125166</v>
      </c>
      <c r="BI16" s="355">
        <v>22.662256573000001</v>
      </c>
      <c r="BJ16" s="355">
        <v>22.416199042999999</v>
      </c>
      <c r="BK16" s="355">
        <v>22.194854488000001</v>
      </c>
      <c r="BL16" s="355">
        <v>22.316739576</v>
      </c>
      <c r="BM16" s="355">
        <v>22.626011662</v>
      </c>
      <c r="BN16" s="355">
        <v>23.116143312999998</v>
      </c>
      <c r="BO16" s="355">
        <v>23.460195963</v>
      </c>
      <c r="BP16" s="355">
        <v>23.642987675000001</v>
      </c>
      <c r="BQ16" s="355">
        <v>23.751275925000002</v>
      </c>
      <c r="BR16" s="355">
        <v>23.763907627999998</v>
      </c>
      <c r="BS16" s="355">
        <v>23.668283214999999</v>
      </c>
      <c r="BT16" s="355">
        <v>23.742488062</v>
      </c>
      <c r="BU16" s="355">
        <v>23.727578029</v>
      </c>
      <c r="BV16" s="355">
        <v>23.435712881000001</v>
      </c>
    </row>
    <row r="17" spans="1:74" ht="11.1" customHeight="1" x14ac:dyDescent="0.2">
      <c r="A17" s="323"/>
      <c r="B17" s="325"/>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870"/>
      <c r="AN17" s="289"/>
      <c r="AO17" s="289"/>
      <c r="AP17" s="289"/>
      <c r="AQ17" s="289"/>
      <c r="AR17" s="289"/>
      <c r="AS17" s="289"/>
      <c r="AT17" s="289"/>
      <c r="AU17" s="289"/>
      <c r="AV17" s="289"/>
      <c r="AW17" s="289"/>
      <c r="AX17" s="289"/>
      <c r="AY17" s="289"/>
      <c r="AZ17" s="870"/>
      <c r="BA17" s="870"/>
      <c r="BB17" s="870"/>
      <c r="BC17" s="870"/>
      <c r="BD17" s="870"/>
      <c r="BE17" s="870"/>
      <c r="BF17" s="870"/>
      <c r="BG17" s="870"/>
      <c r="BH17" s="355"/>
      <c r="BI17" s="355"/>
      <c r="BJ17" s="355"/>
      <c r="BK17" s="355"/>
      <c r="BL17" s="355"/>
      <c r="BM17" s="355"/>
      <c r="BN17" s="355"/>
      <c r="BO17" s="355"/>
      <c r="BP17" s="355"/>
      <c r="BQ17" s="355"/>
      <c r="BR17" s="355"/>
      <c r="BS17" s="355"/>
      <c r="BT17" s="355"/>
      <c r="BU17" s="355"/>
      <c r="BV17" s="355"/>
    </row>
    <row r="18" spans="1:74" ht="11.1" customHeight="1" x14ac:dyDescent="0.2">
      <c r="A18" s="323"/>
      <c r="B18" s="324" t="s">
        <v>552</v>
      </c>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870"/>
      <c r="AN18" s="289"/>
      <c r="AO18" s="289"/>
      <c r="AP18" s="289"/>
      <c r="AQ18" s="289"/>
      <c r="AR18" s="289"/>
      <c r="AS18" s="289"/>
      <c r="AT18" s="289"/>
      <c r="AU18" s="289"/>
      <c r="AV18" s="289"/>
      <c r="AW18" s="289"/>
      <c r="AX18" s="289"/>
      <c r="AY18" s="289"/>
      <c r="AZ18" s="870"/>
      <c r="BA18" s="870"/>
      <c r="BB18" s="870"/>
      <c r="BC18" s="870"/>
      <c r="BD18" s="870"/>
      <c r="BE18" s="870"/>
      <c r="BF18" s="870"/>
      <c r="BG18" s="870"/>
      <c r="BH18" s="355"/>
      <c r="BI18" s="355"/>
      <c r="BJ18" s="355"/>
      <c r="BK18" s="355"/>
      <c r="BL18" s="355"/>
      <c r="BM18" s="355"/>
      <c r="BN18" s="355"/>
      <c r="BO18" s="355"/>
      <c r="BP18" s="355"/>
      <c r="BQ18" s="355"/>
      <c r="BR18" s="355"/>
      <c r="BS18" s="355"/>
      <c r="BT18" s="355"/>
      <c r="BU18" s="355"/>
      <c r="BV18" s="355"/>
    </row>
    <row r="19" spans="1:74" s="272" customFormat="1" ht="11.1" customHeight="1" x14ac:dyDescent="0.2">
      <c r="A19" s="395" t="s">
        <v>173</v>
      </c>
      <c r="B19" s="389" t="s">
        <v>809</v>
      </c>
      <c r="C19" s="105">
        <v>97.189207424000003</v>
      </c>
      <c r="D19" s="105">
        <v>100.43925451</v>
      </c>
      <c r="E19" s="105">
        <v>99.206604071000001</v>
      </c>
      <c r="F19" s="105">
        <v>97.903741170000004</v>
      </c>
      <c r="G19" s="105">
        <v>99.184777308999998</v>
      </c>
      <c r="H19" s="105">
        <v>100.98915104</v>
      </c>
      <c r="I19" s="105">
        <v>100.2135303</v>
      </c>
      <c r="J19" s="105">
        <v>100.77512566</v>
      </c>
      <c r="K19" s="105">
        <v>101.05050424</v>
      </c>
      <c r="L19" s="105">
        <v>98.823011172999998</v>
      </c>
      <c r="M19" s="105">
        <v>100.35633489</v>
      </c>
      <c r="N19" s="105">
        <v>100.93458658</v>
      </c>
      <c r="O19" s="105">
        <v>97.968206140000007</v>
      </c>
      <c r="P19" s="105">
        <v>101.59515379</v>
      </c>
      <c r="Q19" s="105">
        <v>101.04660398</v>
      </c>
      <c r="R19" s="105">
        <v>100.08295911</v>
      </c>
      <c r="S19" s="105">
        <v>101.5001705</v>
      </c>
      <c r="T19" s="105">
        <v>103.19683743</v>
      </c>
      <c r="U19" s="105">
        <v>101.84594041</v>
      </c>
      <c r="V19" s="105">
        <v>102.10938738</v>
      </c>
      <c r="W19" s="105">
        <v>102.07223832</v>
      </c>
      <c r="X19" s="105">
        <v>101.51918791999999</v>
      </c>
      <c r="Y19" s="105">
        <v>102.42639667</v>
      </c>
      <c r="Z19" s="105">
        <v>102.61281407</v>
      </c>
      <c r="AA19" s="105">
        <v>100.04151916000001</v>
      </c>
      <c r="AB19" s="105">
        <v>102.21920412</v>
      </c>
      <c r="AC19" s="105">
        <v>101.61658548</v>
      </c>
      <c r="AD19" s="105">
        <v>102.46945436</v>
      </c>
      <c r="AE19" s="105">
        <v>103.44387822</v>
      </c>
      <c r="AF19" s="105">
        <v>104.12408554</v>
      </c>
      <c r="AG19" s="105">
        <v>104.28353504</v>
      </c>
      <c r="AH19" s="105">
        <v>103.81392978</v>
      </c>
      <c r="AI19" s="105">
        <v>103.69837465000001</v>
      </c>
      <c r="AJ19" s="105">
        <v>104.01016346999999</v>
      </c>
      <c r="AK19" s="105">
        <v>103.64493011</v>
      </c>
      <c r="AL19" s="105">
        <v>103.85683674000001</v>
      </c>
      <c r="AM19" s="882">
        <v>102.02773356</v>
      </c>
      <c r="AN19" s="105">
        <v>103.67976652999999</v>
      </c>
      <c r="AO19" s="105">
        <v>102.37158719</v>
      </c>
      <c r="AP19" s="105">
        <v>103.82440869</v>
      </c>
      <c r="AQ19" s="105">
        <v>103.72073601</v>
      </c>
      <c r="AR19" s="105">
        <v>105.82236851</v>
      </c>
      <c r="AS19" s="105">
        <v>105.62519202</v>
      </c>
      <c r="AT19" s="105">
        <v>104.50203</v>
      </c>
      <c r="AU19" s="105">
        <v>105.99841489000001</v>
      </c>
      <c r="AV19" s="105">
        <v>104.56484053</v>
      </c>
      <c r="AW19" s="105">
        <v>104.51563621</v>
      </c>
      <c r="AX19" s="105">
        <v>106.21375784</v>
      </c>
      <c r="AY19" s="105">
        <v>102.37736117999999</v>
      </c>
      <c r="AZ19" s="882">
        <v>104.37560716</v>
      </c>
      <c r="BA19" s="882">
        <v>101.99884695999999</v>
      </c>
      <c r="BB19" s="882">
        <v>99.472449553999994</v>
      </c>
      <c r="BC19" s="882">
        <v>99.004660967999996</v>
      </c>
      <c r="BD19" s="882">
        <v>101.68375394</v>
      </c>
      <c r="BE19" s="882">
        <v>101.77342002</v>
      </c>
      <c r="BF19" s="882">
        <v>103.38822139</v>
      </c>
      <c r="BG19" s="882">
        <v>104.24141880000001</v>
      </c>
      <c r="BH19" s="388">
        <v>102.77556996</v>
      </c>
      <c r="BI19" s="388">
        <v>103.56289495</v>
      </c>
      <c r="BJ19" s="388">
        <v>104.63472641</v>
      </c>
      <c r="BK19" s="388">
        <v>101.98181787</v>
      </c>
      <c r="BL19" s="388">
        <v>104.30499527000001</v>
      </c>
      <c r="BM19" s="388">
        <v>103.07930722</v>
      </c>
      <c r="BN19" s="388">
        <v>103.98138053</v>
      </c>
      <c r="BO19" s="388">
        <v>104.11720404</v>
      </c>
      <c r="BP19" s="388">
        <v>105.70967606000001</v>
      </c>
      <c r="BQ19" s="388">
        <v>105.60003454</v>
      </c>
      <c r="BR19" s="388">
        <v>105.43422753999999</v>
      </c>
      <c r="BS19" s="388">
        <v>105.57247559</v>
      </c>
      <c r="BT19" s="388">
        <v>104.4145764</v>
      </c>
      <c r="BU19" s="388">
        <v>105.2304951</v>
      </c>
      <c r="BV19" s="388">
        <v>106.33014982</v>
      </c>
    </row>
    <row r="20" spans="1:74" s="272" customFormat="1" ht="11.1" customHeight="1" x14ac:dyDescent="0.2">
      <c r="A20" s="395" t="s">
        <v>166</v>
      </c>
      <c r="B20" s="392" t="s">
        <v>932</v>
      </c>
      <c r="C20" s="105">
        <v>44.417921399999997</v>
      </c>
      <c r="D20" s="105">
        <v>46.578628471999998</v>
      </c>
      <c r="E20" s="105">
        <v>46.116715628999998</v>
      </c>
      <c r="F20" s="105">
        <v>44.460786988999999</v>
      </c>
      <c r="G20" s="105">
        <v>44.920732160999997</v>
      </c>
      <c r="H20" s="105">
        <v>46.090795272000001</v>
      </c>
      <c r="I20" s="105">
        <v>45.687459894</v>
      </c>
      <c r="J20" s="105">
        <v>46.510202280999998</v>
      </c>
      <c r="K20" s="105">
        <v>46.107959846</v>
      </c>
      <c r="L20" s="105">
        <v>45.018769765999998</v>
      </c>
      <c r="M20" s="105">
        <v>45.984572124000003</v>
      </c>
      <c r="N20" s="105">
        <v>45.930397591999998</v>
      </c>
      <c r="O20" s="105">
        <v>44.017647840000002</v>
      </c>
      <c r="P20" s="105">
        <v>46.241946427999999</v>
      </c>
      <c r="Q20" s="105">
        <v>45.900143047999997</v>
      </c>
      <c r="R20" s="105">
        <v>44.550014886</v>
      </c>
      <c r="S20" s="105">
        <v>45.502624699000002</v>
      </c>
      <c r="T20" s="105">
        <v>46.643397157999999</v>
      </c>
      <c r="U20" s="105">
        <v>45.732179960000003</v>
      </c>
      <c r="V20" s="105">
        <v>46.351916537999998</v>
      </c>
      <c r="W20" s="105">
        <v>45.660235411000002</v>
      </c>
      <c r="X20" s="105">
        <v>46.253543620000002</v>
      </c>
      <c r="Y20" s="105">
        <v>46.406300692000002</v>
      </c>
      <c r="Z20" s="105">
        <v>45.995006566000001</v>
      </c>
      <c r="AA20" s="105">
        <v>44.850887788000001</v>
      </c>
      <c r="AB20" s="105">
        <v>45.615075332000004</v>
      </c>
      <c r="AC20" s="105">
        <v>45.212188683999997</v>
      </c>
      <c r="AD20" s="105">
        <v>45.782864715999999</v>
      </c>
      <c r="AE20" s="105">
        <v>46.308222417000003</v>
      </c>
      <c r="AF20" s="105">
        <v>46.440144705999998</v>
      </c>
      <c r="AG20" s="105">
        <v>46.843937963000002</v>
      </c>
      <c r="AH20" s="105">
        <v>47.078067642999997</v>
      </c>
      <c r="AI20" s="105">
        <v>46.421636401000001</v>
      </c>
      <c r="AJ20" s="105">
        <v>47.541119850000001</v>
      </c>
      <c r="AK20" s="105">
        <v>46.346035166</v>
      </c>
      <c r="AL20" s="105">
        <v>46.141825971000003</v>
      </c>
      <c r="AM20" s="882">
        <v>45.533389941000003</v>
      </c>
      <c r="AN20" s="105">
        <v>46.277970922000002</v>
      </c>
      <c r="AO20" s="105">
        <v>45.218079705999997</v>
      </c>
      <c r="AP20" s="105">
        <v>46.224649288000002</v>
      </c>
      <c r="AQ20" s="105">
        <v>45.437867095000001</v>
      </c>
      <c r="AR20" s="105">
        <v>46.872243466</v>
      </c>
      <c r="AS20" s="105">
        <v>47.209993240000003</v>
      </c>
      <c r="AT20" s="105">
        <v>46.467904204</v>
      </c>
      <c r="AU20" s="105">
        <v>47.180872753999999</v>
      </c>
      <c r="AV20" s="105">
        <v>46.880390763999998</v>
      </c>
      <c r="AW20" s="105">
        <v>45.776964747999997</v>
      </c>
      <c r="AX20" s="105">
        <v>46.841841873</v>
      </c>
      <c r="AY20" s="105">
        <v>45.693993476999999</v>
      </c>
      <c r="AZ20" s="882">
        <v>46.794034611000001</v>
      </c>
      <c r="BA20" s="882">
        <v>45.325264613999998</v>
      </c>
      <c r="BB20" s="882">
        <v>44.558133218000002</v>
      </c>
      <c r="BC20" s="882">
        <v>43.635923798</v>
      </c>
      <c r="BD20" s="882">
        <v>45.553658040999998</v>
      </c>
      <c r="BE20" s="882">
        <v>46.061843168000003</v>
      </c>
      <c r="BF20" s="882">
        <v>46.249643816999999</v>
      </c>
      <c r="BG20" s="882">
        <v>46.235696509999997</v>
      </c>
      <c r="BH20" s="388">
        <v>46.164468980999999</v>
      </c>
      <c r="BI20" s="388">
        <v>45.824869831999997</v>
      </c>
      <c r="BJ20" s="388">
        <v>46.162177239999998</v>
      </c>
      <c r="BK20" s="388">
        <v>45.193589922000001</v>
      </c>
      <c r="BL20" s="388">
        <v>46.433230154999997</v>
      </c>
      <c r="BM20" s="388">
        <v>45.600969288999998</v>
      </c>
      <c r="BN20" s="388">
        <v>45.626440674000001</v>
      </c>
      <c r="BO20" s="388">
        <v>45.430432521</v>
      </c>
      <c r="BP20" s="388">
        <v>46.327629856999998</v>
      </c>
      <c r="BQ20" s="388">
        <v>46.792327081000003</v>
      </c>
      <c r="BR20" s="388">
        <v>47.062958512000002</v>
      </c>
      <c r="BS20" s="388">
        <v>46.343838046999998</v>
      </c>
      <c r="BT20" s="388">
        <v>46.518819510999997</v>
      </c>
      <c r="BU20" s="388">
        <v>46.184334593000003</v>
      </c>
      <c r="BV20" s="388">
        <v>46.510497837000003</v>
      </c>
    </row>
    <row r="21" spans="1:74" ht="11.1" customHeight="1" x14ac:dyDescent="0.2">
      <c r="A21" s="323" t="s">
        <v>162</v>
      </c>
      <c r="B21" s="393" t="s">
        <v>937</v>
      </c>
      <c r="C21" s="289">
        <v>2.3483999999999998</v>
      </c>
      <c r="D21" s="289">
        <v>2.4359999999999999</v>
      </c>
      <c r="E21" s="289">
        <v>2.2048999999999999</v>
      </c>
      <c r="F21" s="289">
        <v>2.2263999999999999</v>
      </c>
      <c r="G21" s="289">
        <v>2.2724000000000002</v>
      </c>
      <c r="H21" s="289">
        <v>2.4964</v>
      </c>
      <c r="I21" s="289">
        <v>2.4969999999999999</v>
      </c>
      <c r="J21" s="289">
        <v>2.4041999999999999</v>
      </c>
      <c r="K21" s="289">
        <v>2.3992</v>
      </c>
      <c r="L21" s="289">
        <v>2.4159999999999999</v>
      </c>
      <c r="M21" s="289">
        <v>2.4946999999999999</v>
      </c>
      <c r="N21" s="289">
        <v>2.5164</v>
      </c>
      <c r="O21" s="289">
        <v>2.3085</v>
      </c>
      <c r="P21" s="289">
        <v>2.4064999999999999</v>
      </c>
      <c r="Q21" s="289">
        <v>2.3576999999999999</v>
      </c>
      <c r="R21" s="289">
        <v>2.2961999999999998</v>
      </c>
      <c r="S21" s="289">
        <v>2.3294999999999999</v>
      </c>
      <c r="T21" s="289">
        <v>2.7067000000000001</v>
      </c>
      <c r="U21" s="289">
        <v>2.7111000000000001</v>
      </c>
      <c r="V21" s="289">
        <v>2.6192000000000002</v>
      </c>
      <c r="W21" s="289">
        <v>2.379</v>
      </c>
      <c r="X21" s="289">
        <v>2.5911</v>
      </c>
      <c r="Y21" s="289">
        <v>2.4173</v>
      </c>
      <c r="Z21" s="289">
        <v>2.4803999999999999</v>
      </c>
      <c r="AA21" s="289">
        <v>2.4908999999999999</v>
      </c>
      <c r="AB21" s="289">
        <v>2.5118999999999998</v>
      </c>
      <c r="AC21" s="289">
        <v>2.3451</v>
      </c>
      <c r="AD21" s="289">
        <v>2.2791000000000001</v>
      </c>
      <c r="AE21" s="289">
        <v>2.4863</v>
      </c>
      <c r="AF21" s="289">
        <v>2.6126</v>
      </c>
      <c r="AG21" s="289">
        <v>2.6442000000000001</v>
      </c>
      <c r="AH21" s="289">
        <v>2.5912000000000002</v>
      </c>
      <c r="AI21" s="289">
        <v>2.5684</v>
      </c>
      <c r="AJ21" s="289">
        <v>2.5581999999999998</v>
      </c>
      <c r="AK21" s="289">
        <v>2.6295000000000002</v>
      </c>
      <c r="AL21" s="289">
        <v>2.4971000000000001</v>
      </c>
      <c r="AM21" s="870">
        <v>2.5324</v>
      </c>
      <c r="AN21" s="289">
        <v>2.5045000000000002</v>
      </c>
      <c r="AO21" s="289">
        <v>2.4889999999999999</v>
      </c>
      <c r="AP21" s="289">
        <v>2.3826999999999998</v>
      </c>
      <c r="AQ21" s="289">
        <v>2.4138999999999999</v>
      </c>
      <c r="AR21" s="289">
        <v>2.4235000000000002</v>
      </c>
      <c r="AS21" s="289">
        <v>2.5767000000000002</v>
      </c>
      <c r="AT21" s="289">
        <v>2.5929000000000002</v>
      </c>
      <c r="AU21" s="289">
        <v>2.8024</v>
      </c>
      <c r="AV21" s="289">
        <v>2.6225999999999998</v>
      </c>
      <c r="AW21" s="289">
        <v>2.6905000000000001</v>
      </c>
      <c r="AX21" s="289">
        <v>2.6198000000000001</v>
      </c>
      <c r="AY21" s="289">
        <v>2.6255000000000002</v>
      </c>
      <c r="AZ21" s="870">
        <v>2.5045999999999999</v>
      </c>
      <c r="BA21" s="870">
        <v>2.5705</v>
      </c>
      <c r="BB21" s="870">
        <v>2.3386999999999998</v>
      </c>
      <c r="BC21" s="870">
        <v>2.5619999999999998</v>
      </c>
      <c r="BD21" s="870">
        <v>2.4220999999999999</v>
      </c>
      <c r="BE21" s="870">
        <v>2.6176892452999998</v>
      </c>
      <c r="BF21" s="870">
        <v>2.6209629893000002</v>
      </c>
      <c r="BG21" s="870">
        <v>2.5849268293000001</v>
      </c>
      <c r="BH21" s="355">
        <v>2.5809794081000001</v>
      </c>
      <c r="BI21" s="355">
        <v>2.5789498687000001</v>
      </c>
      <c r="BJ21" s="355">
        <v>2.5385011531999999</v>
      </c>
      <c r="BK21" s="355">
        <v>2.4999607711</v>
      </c>
      <c r="BL21" s="355">
        <v>2.5394434071999998</v>
      </c>
      <c r="BM21" s="355">
        <v>2.4176007013</v>
      </c>
      <c r="BN21" s="355">
        <v>2.3595110469999998</v>
      </c>
      <c r="BO21" s="355">
        <v>2.4651778450999999</v>
      </c>
      <c r="BP21" s="355">
        <v>2.5601759463999998</v>
      </c>
      <c r="BQ21" s="355">
        <v>2.6054628276999998</v>
      </c>
      <c r="BR21" s="355">
        <v>2.6087212223999998</v>
      </c>
      <c r="BS21" s="355">
        <v>2.5728540217</v>
      </c>
      <c r="BT21" s="355">
        <v>2.5689251083000002</v>
      </c>
      <c r="BU21" s="355">
        <v>2.5669050846000001</v>
      </c>
      <c r="BV21" s="355">
        <v>2.526646017</v>
      </c>
    </row>
    <row r="22" spans="1:74" ht="11.1" customHeight="1" x14ac:dyDescent="0.2">
      <c r="A22" s="323" t="s">
        <v>163</v>
      </c>
      <c r="B22" s="393" t="s">
        <v>938</v>
      </c>
      <c r="C22" s="289">
        <v>12.4541</v>
      </c>
      <c r="D22" s="289">
        <v>13.8018</v>
      </c>
      <c r="E22" s="289">
        <v>13.5509</v>
      </c>
      <c r="F22" s="289">
        <v>13.277699999999999</v>
      </c>
      <c r="G22" s="289">
        <v>13.448399999999999</v>
      </c>
      <c r="H22" s="289">
        <v>13.8619</v>
      </c>
      <c r="I22" s="289">
        <v>13.840299999999999</v>
      </c>
      <c r="J22" s="289">
        <v>14.1251</v>
      </c>
      <c r="K22" s="289">
        <v>14.2387</v>
      </c>
      <c r="L22" s="289">
        <v>13.273300000000001</v>
      </c>
      <c r="M22" s="289">
        <v>13.458600000000001</v>
      </c>
      <c r="N22" s="289">
        <v>13.472200000000001</v>
      </c>
      <c r="O22" s="289">
        <v>12.384</v>
      </c>
      <c r="P22" s="289">
        <v>13.6045</v>
      </c>
      <c r="Q22" s="289">
        <v>13.371600000000001</v>
      </c>
      <c r="R22" s="289">
        <v>13.063499999999999</v>
      </c>
      <c r="S22" s="289">
        <v>13.659599999999999</v>
      </c>
      <c r="T22" s="289">
        <v>13.926500000000001</v>
      </c>
      <c r="U22" s="289">
        <v>13.6174</v>
      </c>
      <c r="V22" s="289">
        <v>13.555899999999999</v>
      </c>
      <c r="W22" s="289">
        <v>13.800800000000001</v>
      </c>
      <c r="X22" s="289">
        <v>13.7425</v>
      </c>
      <c r="Y22" s="289">
        <v>13.371499999999999</v>
      </c>
      <c r="Z22" s="289">
        <v>12.9773</v>
      </c>
      <c r="AA22" s="289">
        <v>12.6303</v>
      </c>
      <c r="AB22" s="289">
        <v>13.0562</v>
      </c>
      <c r="AC22" s="289">
        <v>12.991300000000001</v>
      </c>
      <c r="AD22" s="289">
        <v>13.7607</v>
      </c>
      <c r="AE22" s="289">
        <v>13.4968</v>
      </c>
      <c r="AF22" s="289">
        <v>13.8041</v>
      </c>
      <c r="AG22" s="289">
        <v>14.3009</v>
      </c>
      <c r="AH22" s="289">
        <v>13.9267</v>
      </c>
      <c r="AI22" s="289">
        <v>14.065300000000001</v>
      </c>
      <c r="AJ22" s="289">
        <v>14.1951</v>
      </c>
      <c r="AK22" s="289">
        <v>13.507400000000001</v>
      </c>
      <c r="AL22" s="289">
        <v>13.0122</v>
      </c>
      <c r="AM22" s="870">
        <v>12.5639</v>
      </c>
      <c r="AN22" s="289">
        <v>13.400399999999999</v>
      </c>
      <c r="AO22" s="289">
        <v>13.0878</v>
      </c>
      <c r="AP22" s="289">
        <v>13.8302</v>
      </c>
      <c r="AQ22" s="289">
        <v>13.420400000000001</v>
      </c>
      <c r="AR22" s="289">
        <v>14.0746</v>
      </c>
      <c r="AS22" s="289">
        <v>13.9689</v>
      </c>
      <c r="AT22" s="289">
        <v>13.4016</v>
      </c>
      <c r="AU22" s="289">
        <v>14.0383</v>
      </c>
      <c r="AV22" s="289">
        <v>13.9239</v>
      </c>
      <c r="AW22" s="289">
        <v>13.081300000000001</v>
      </c>
      <c r="AX22" s="289">
        <v>13.395099999999999</v>
      </c>
      <c r="AY22" s="289">
        <v>12.605600000000001</v>
      </c>
      <c r="AZ22" s="870">
        <v>13.3306</v>
      </c>
      <c r="BA22" s="870">
        <v>13.097300000000001</v>
      </c>
      <c r="BB22" s="870">
        <v>13.008900000000001</v>
      </c>
      <c r="BC22" s="870">
        <v>12.790100000000001</v>
      </c>
      <c r="BD22" s="870">
        <v>13.7438</v>
      </c>
      <c r="BE22" s="870">
        <v>13.892467545000001</v>
      </c>
      <c r="BF22" s="870">
        <v>13.768321911999999</v>
      </c>
      <c r="BG22" s="870">
        <v>13.934755236999999</v>
      </c>
      <c r="BH22" s="355">
        <v>13.73583547</v>
      </c>
      <c r="BI22" s="355">
        <v>13.359059214</v>
      </c>
      <c r="BJ22" s="355">
        <v>13.170068339</v>
      </c>
      <c r="BK22" s="355">
        <v>12.627177057000001</v>
      </c>
      <c r="BL22" s="355">
        <v>13.436669712</v>
      </c>
      <c r="BM22" s="355">
        <v>13.257364689999999</v>
      </c>
      <c r="BN22" s="355">
        <v>13.446693270000001</v>
      </c>
      <c r="BO22" s="355">
        <v>13.31920191</v>
      </c>
      <c r="BP22" s="355">
        <v>13.691627195000001</v>
      </c>
      <c r="BQ22" s="355">
        <v>13.918734583999999</v>
      </c>
      <c r="BR22" s="355">
        <v>13.793914695</v>
      </c>
      <c r="BS22" s="355">
        <v>13.961251946999999</v>
      </c>
      <c r="BT22" s="355">
        <v>13.761251814</v>
      </c>
      <c r="BU22" s="355">
        <v>13.382429221000001</v>
      </c>
      <c r="BV22" s="355">
        <v>13.192411904</v>
      </c>
    </row>
    <row r="23" spans="1:74" ht="11.1" customHeight="1" x14ac:dyDescent="0.2">
      <c r="A23" s="323" t="s">
        <v>164</v>
      </c>
      <c r="B23" s="393" t="s">
        <v>939</v>
      </c>
      <c r="C23" s="289">
        <v>3.7721</v>
      </c>
      <c r="D23" s="289">
        <v>3.8104</v>
      </c>
      <c r="E23" s="289">
        <v>3.4807999999999999</v>
      </c>
      <c r="F23" s="289">
        <v>2.9712999999999998</v>
      </c>
      <c r="G23" s="289">
        <v>2.9195000000000002</v>
      </c>
      <c r="H23" s="289">
        <v>3.0844999999999998</v>
      </c>
      <c r="I23" s="289">
        <v>3.0638000000000001</v>
      </c>
      <c r="J23" s="289">
        <v>3.2804000000000002</v>
      </c>
      <c r="K23" s="289">
        <v>3.1185999999999998</v>
      </c>
      <c r="L23" s="289">
        <v>3.1934</v>
      </c>
      <c r="M23" s="289">
        <v>3.4178000000000002</v>
      </c>
      <c r="N23" s="289">
        <v>3.9666999999999999</v>
      </c>
      <c r="O23" s="289">
        <v>3.7176999999999998</v>
      </c>
      <c r="P23" s="289">
        <v>3.8748</v>
      </c>
      <c r="Q23" s="289">
        <v>3.4719000000000002</v>
      </c>
      <c r="R23" s="289">
        <v>3.1581000000000001</v>
      </c>
      <c r="S23" s="289">
        <v>2.9658000000000002</v>
      </c>
      <c r="T23" s="289">
        <v>3.0541999999999998</v>
      </c>
      <c r="U23" s="289">
        <v>3.0356000000000001</v>
      </c>
      <c r="V23" s="289">
        <v>3.0937000000000001</v>
      </c>
      <c r="W23" s="289">
        <v>3.0649999999999999</v>
      </c>
      <c r="X23" s="289">
        <v>3.0503999999999998</v>
      </c>
      <c r="Y23" s="289">
        <v>3.4032</v>
      </c>
      <c r="Z23" s="289">
        <v>3.7130999999999998</v>
      </c>
      <c r="AA23" s="289">
        <v>3.4550999999999998</v>
      </c>
      <c r="AB23" s="289">
        <v>3.5293000000000001</v>
      </c>
      <c r="AC23" s="289">
        <v>3.3645999999999998</v>
      </c>
      <c r="AD23" s="289">
        <v>3.1215000000000002</v>
      </c>
      <c r="AE23" s="289">
        <v>2.9005000000000001</v>
      </c>
      <c r="AF23" s="289">
        <v>2.9045999999999998</v>
      </c>
      <c r="AG23" s="289">
        <v>2.8862000000000001</v>
      </c>
      <c r="AH23" s="289">
        <v>2.9821</v>
      </c>
      <c r="AI23" s="289">
        <v>2.9357000000000002</v>
      </c>
      <c r="AJ23" s="289">
        <v>2.9799000000000002</v>
      </c>
      <c r="AK23" s="289">
        <v>3.3248000000000002</v>
      </c>
      <c r="AL23" s="289">
        <v>3.5819000000000001</v>
      </c>
      <c r="AM23" s="870">
        <v>3.3908999999999998</v>
      </c>
      <c r="AN23" s="289">
        <v>3.4729999999999999</v>
      </c>
      <c r="AO23" s="289">
        <v>3.2246000000000001</v>
      </c>
      <c r="AP23" s="289">
        <v>3.0790999999999999</v>
      </c>
      <c r="AQ23" s="289">
        <v>2.7431999999999999</v>
      </c>
      <c r="AR23" s="289">
        <v>2.8834</v>
      </c>
      <c r="AS23" s="289">
        <v>2.8527999999999998</v>
      </c>
      <c r="AT23" s="289">
        <v>2.9009999999999998</v>
      </c>
      <c r="AU23" s="289">
        <v>2.9624000000000001</v>
      </c>
      <c r="AV23" s="289">
        <v>2.9636</v>
      </c>
      <c r="AW23" s="289">
        <v>3.1475</v>
      </c>
      <c r="AX23" s="289">
        <v>3.5341</v>
      </c>
      <c r="AY23" s="289">
        <v>3.3849999999999998</v>
      </c>
      <c r="AZ23" s="870">
        <v>3.3683999999999998</v>
      </c>
      <c r="BA23" s="870">
        <v>3.1137000000000001</v>
      </c>
      <c r="BB23" s="870">
        <v>2.6911999999999998</v>
      </c>
      <c r="BC23" s="870">
        <v>2.5083000000000002</v>
      </c>
      <c r="BD23" s="870">
        <v>2.5604</v>
      </c>
      <c r="BE23" s="870">
        <v>2.7274375962000001</v>
      </c>
      <c r="BF23" s="870">
        <v>2.8782887110000002</v>
      </c>
      <c r="BG23" s="870">
        <v>2.8075602556999999</v>
      </c>
      <c r="BH23" s="355">
        <v>2.8317981531999998</v>
      </c>
      <c r="BI23" s="355">
        <v>3.1144454251</v>
      </c>
      <c r="BJ23" s="355">
        <v>3.4682239766</v>
      </c>
      <c r="BK23" s="355">
        <v>3.2793250380000001</v>
      </c>
      <c r="BL23" s="355">
        <v>3.4592800361</v>
      </c>
      <c r="BM23" s="355">
        <v>3.1566737516000001</v>
      </c>
      <c r="BN23" s="355">
        <v>2.8425254426</v>
      </c>
      <c r="BO23" s="355">
        <v>2.6384978600000002</v>
      </c>
      <c r="BP23" s="355">
        <v>2.6341644017000001</v>
      </c>
      <c r="BQ23" s="355">
        <v>2.7311461264000001</v>
      </c>
      <c r="BR23" s="355">
        <v>2.7963317558999998</v>
      </c>
      <c r="BS23" s="355">
        <v>2.7273653834</v>
      </c>
      <c r="BT23" s="355">
        <v>2.7509994337000001</v>
      </c>
      <c r="BU23" s="355">
        <v>3.0266050143999998</v>
      </c>
      <c r="BV23" s="355">
        <v>3.3715697561</v>
      </c>
    </row>
    <row r="24" spans="1:74" ht="11.1" customHeight="1" x14ac:dyDescent="0.2">
      <c r="A24" s="323" t="s">
        <v>160</v>
      </c>
      <c r="B24" s="393" t="s">
        <v>194</v>
      </c>
      <c r="C24" s="289">
        <v>19.613111</v>
      </c>
      <c r="D24" s="289">
        <v>20.190412999999999</v>
      </c>
      <c r="E24" s="289">
        <v>20.483485999999999</v>
      </c>
      <c r="F24" s="289">
        <v>19.727340999999999</v>
      </c>
      <c r="G24" s="289">
        <v>19.839566999999999</v>
      </c>
      <c r="H24" s="289">
        <v>20.433236999999998</v>
      </c>
      <c r="I24" s="289">
        <v>19.925560999999998</v>
      </c>
      <c r="J24" s="289">
        <v>20.265028999999998</v>
      </c>
      <c r="K24" s="289">
        <v>20.129058000000001</v>
      </c>
      <c r="L24" s="289">
        <v>20.006618</v>
      </c>
      <c r="M24" s="289">
        <v>20.214213999999998</v>
      </c>
      <c r="N24" s="289">
        <v>19.327209</v>
      </c>
      <c r="O24" s="289">
        <v>19.353483000000001</v>
      </c>
      <c r="P24" s="289">
        <v>19.941524000000001</v>
      </c>
      <c r="Q24" s="289">
        <v>20.207293</v>
      </c>
      <c r="R24" s="289">
        <v>19.971914999999999</v>
      </c>
      <c r="S24" s="289">
        <v>20.323443000000001</v>
      </c>
      <c r="T24" s="289">
        <v>20.755185999999998</v>
      </c>
      <c r="U24" s="289">
        <v>20.042788999999999</v>
      </c>
      <c r="V24" s="289">
        <v>20.767872000000001</v>
      </c>
      <c r="W24" s="289">
        <v>20.154582999999999</v>
      </c>
      <c r="X24" s="289">
        <v>20.631443999999998</v>
      </c>
      <c r="Y24" s="289">
        <v>20.738980000000002</v>
      </c>
      <c r="Z24" s="289">
        <v>20.396183000000001</v>
      </c>
      <c r="AA24" s="289">
        <v>19.789279000000001</v>
      </c>
      <c r="AB24" s="289">
        <v>19.972377999999999</v>
      </c>
      <c r="AC24" s="289">
        <v>20.011388</v>
      </c>
      <c r="AD24" s="289">
        <v>20.155279</v>
      </c>
      <c r="AE24" s="289">
        <v>20.887834000000002</v>
      </c>
      <c r="AF24" s="289">
        <v>20.536577000000001</v>
      </c>
      <c r="AG24" s="289">
        <v>20.593178000000002</v>
      </c>
      <c r="AH24" s="289">
        <v>20.984949</v>
      </c>
      <c r="AI24" s="289">
        <v>20.356294999999999</v>
      </c>
      <c r="AJ24" s="289">
        <v>21.249372000000001</v>
      </c>
      <c r="AK24" s="289">
        <v>20.367203</v>
      </c>
      <c r="AL24" s="289">
        <v>20.615046</v>
      </c>
      <c r="AM24" s="870">
        <v>20.757864000000001</v>
      </c>
      <c r="AN24" s="289">
        <v>20.363696000000001</v>
      </c>
      <c r="AO24" s="289">
        <v>20.008058999999999</v>
      </c>
      <c r="AP24" s="289">
        <v>20.443439999999999</v>
      </c>
      <c r="AQ24" s="289">
        <v>20.532706000000001</v>
      </c>
      <c r="AR24" s="289">
        <v>21.081529</v>
      </c>
      <c r="AS24" s="289">
        <v>21.191642000000002</v>
      </c>
      <c r="AT24" s="289">
        <v>21.212544999999999</v>
      </c>
      <c r="AU24" s="289">
        <v>20.868234999999999</v>
      </c>
      <c r="AV24" s="289">
        <v>20.972570000000001</v>
      </c>
      <c r="AW24" s="289">
        <v>20.493093999999999</v>
      </c>
      <c r="AX24" s="289">
        <v>20.87032</v>
      </c>
      <c r="AY24" s="289">
        <v>20.649557999999999</v>
      </c>
      <c r="AZ24" s="870">
        <v>21.137712000000001</v>
      </c>
      <c r="BA24" s="870">
        <v>20.383077</v>
      </c>
      <c r="BB24" s="870">
        <v>20.808202000000001</v>
      </c>
      <c r="BC24" s="870">
        <v>20.070571000000001</v>
      </c>
      <c r="BD24" s="870">
        <v>20.735918999999999</v>
      </c>
      <c r="BE24" s="870">
        <v>20.612006999999998</v>
      </c>
      <c r="BF24" s="870">
        <v>20.567334005999999</v>
      </c>
      <c r="BG24" s="870">
        <v>20.648287667000002</v>
      </c>
      <c r="BH24" s="355">
        <v>20.752780000000001</v>
      </c>
      <c r="BI24" s="355">
        <v>20.337289999999999</v>
      </c>
      <c r="BJ24" s="355">
        <v>20.517589999999998</v>
      </c>
      <c r="BK24" s="355">
        <v>20.41527</v>
      </c>
      <c r="BL24" s="355">
        <v>20.4602</v>
      </c>
      <c r="BM24" s="355">
        <v>20.369630000000001</v>
      </c>
      <c r="BN24" s="355">
        <v>20.651209999999999</v>
      </c>
      <c r="BO24" s="355">
        <v>20.643270000000001</v>
      </c>
      <c r="BP24" s="355">
        <v>21.05979</v>
      </c>
      <c r="BQ24" s="355">
        <v>21.159040000000001</v>
      </c>
      <c r="BR24" s="355">
        <v>21.421500000000002</v>
      </c>
      <c r="BS24" s="355">
        <v>20.795179999999998</v>
      </c>
      <c r="BT24" s="355">
        <v>21.147860000000001</v>
      </c>
      <c r="BU24" s="355">
        <v>20.734380000000002</v>
      </c>
      <c r="BV24" s="355">
        <v>20.872350000000001</v>
      </c>
    </row>
    <row r="25" spans="1:74" ht="11.1" customHeight="1" x14ac:dyDescent="0.2">
      <c r="A25" s="323" t="s">
        <v>161</v>
      </c>
      <c r="B25" s="393" t="s">
        <v>940</v>
      </c>
      <c r="C25" s="289">
        <v>0.10401040004999999</v>
      </c>
      <c r="D25" s="289">
        <v>0.1016154718</v>
      </c>
      <c r="E25" s="289">
        <v>0.10802962867</v>
      </c>
      <c r="F25" s="289">
        <v>0.10904598907</v>
      </c>
      <c r="G25" s="289">
        <v>0.11336516114</v>
      </c>
      <c r="H25" s="289">
        <v>0.11525827179000001</v>
      </c>
      <c r="I25" s="289">
        <v>0.12529889352000001</v>
      </c>
      <c r="J25" s="289">
        <v>0.12537328072000001</v>
      </c>
      <c r="K25" s="289">
        <v>0.1259018455</v>
      </c>
      <c r="L25" s="289">
        <v>0.11805176569</v>
      </c>
      <c r="M25" s="289">
        <v>0.11675812382</v>
      </c>
      <c r="N25" s="289">
        <v>0.11848859226</v>
      </c>
      <c r="O25" s="289">
        <v>0.12076483977999999</v>
      </c>
      <c r="P25" s="289">
        <v>0.11782242849000001</v>
      </c>
      <c r="Q25" s="289">
        <v>0.12515004770999999</v>
      </c>
      <c r="R25" s="289">
        <v>0.12649988608000001</v>
      </c>
      <c r="S25" s="289">
        <v>0.13158169873</v>
      </c>
      <c r="T25" s="289">
        <v>0.13361115819</v>
      </c>
      <c r="U25" s="289">
        <v>0.14539096036999999</v>
      </c>
      <c r="V25" s="289">
        <v>0.14564453835999999</v>
      </c>
      <c r="W25" s="289">
        <v>0.14625241106</v>
      </c>
      <c r="X25" s="289">
        <v>0.13739961995</v>
      </c>
      <c r="Y25" s="289">
        <v>0.13582069248</v>
      </c>
      <c r="Z25" s="289">
        <v>0.13762356609000001</v>
      </c>
      <c r="AA25" s="289">
        <v>0.12540878814</v>
      </c>
      <c r="AB25" s="289">
        <v>0.12239733154</v>
      </c>
      <c r="AC25" s="289">
        <v>0.12990068394000001</v>
      </c>
      <c r="AD25" s="289">
        <v>0.13138571641999999</v>
      </c>
      <c r="AE25" s="289">
        <v>0.13658841704999999</v>
      </c>
      <c r="AF25" s="289">
        <v>0.13866770626</v>
      </c>
      <c r="AG25" s="289">
        <v>0.15085996321</v>
      </c>
      <c r="AH25" s="289">
        <v>0.15111864325999999</v>
      </c>
      <c r="AI25" s="289">
        <v>0.15174140135</v>
      </c>
      <c r="AJ25" s="289">
        <v>0.14264784988000001</v>
      </c>
      <c r="AK25" s="289">
        <v>0.14103216641999999</v>
      </c>
      <c r="AL25" s="289">
        <v>0.14287997053000001</v>
      </c>
      <c r="AM25" s="870">
        <v>0.12922594072999999</v>
      </c>
      <c r="AN25" s="289">
        <v>0.12737492209000001</v>
      </c>
      <c r="AO25" s="289">
        <v>0.14972070600000001</v>
      </c>
      <c r="AP25" s="289">
        <v>0.12240928792</v>
      </c>
      <c r="AQ25" s="289">
        <v>0.14206109499</v>
      </c>
      <c r="AR25" s="289">
        <v>0.13971446631000001</v>
      </c>
      <c r="AS25" s="289">
        <v>0.14485123984000001</v>
      </c>
      <c r="AT25" s="289">
        <v>0.15085920366</v>
      </c>
      <c r="AU25" s="289">
        <v>0.14203775425000001</v>
      </c>
      <c r="AV25" s="289">
        <v>0.15492076351</v>
      </c>
      <c r="AW25" s="289">
        <v>0.14487074767999999</v>
      </c>
      <c r="AX25" s="289">
        <v>0.13332187301000001</v>
      </c>
      <c r="AY25" s="289">
        <v>0.10723547679000001</v>
      </c>
      <c r="AZ25" s="870">
        <v>0.10542261134</v>
      </c>
      <c r="BA25" s="870">
        <v>0.12738761419</v>
      </c>
      <c r="BB25" s="870">
        <v>0.10053121781</v>
      </c>
      <c r="BC25" s="870">
        <v>0.11985279763999999</v>
      </c>
      <c r="BD25" s="870">
        <v>0.11753904094000001</v>
      </c>
      <c r="BE25" s="870">
        <v>0.12258845286</v>
      </c>
      <c r="BF25" s="870">
        <v>0.12849709683999999</v>
      </c>
      <c r="BG25" s="870">
        <v>0.11981825938</v>
      </c>
      <c r="BH25" s="355">
        <v>0.13251854276</v>
      </c>
      <c r="BI25" s="355">
        <v>0.12263512055</v>
      </c>
      <c r="BJ25" s="355">
        <v>0.11126576890000001</v>
      </c>
      <c r="BK25" s="355">
        <v>0.12596498737</v>
      </c>
      <c r="BL25" s="355">
        <v>0.12417647465999999</v>
      </c>
      <c r="BM25" s="355">
        <v>0.14589842950000001</v>
      </c>
      <c r="BN25" s="355">
        <v>0.11933246805</v>
      </c>
      <c r="BO25" s="355">
        <v>0.13844326775999999</v>
      </c>
      <c r="BP25" s="355">
        <v>0.13615049285</v>
      </c>
      <c r="BQ25" s="355">
        <v>0.14114414289999999</v>
      </c>
      <c r="BR25" s="355">
        <v>0.14698939221000001</v>
      </c>
      <c r="BS25" s="355">
        <v>0.13840158224999999</v>
      </c>
      <c r="BT25" s="355">
        <v>0.15098523388000001</v>
      </c>
      <c r="BU25" s="355">
        <v>0.14120814640000001</v>
      </c>
      <c r="BV25" s="355">
        <v>0.12995338214999999</v>
      </c>
    </row>
    <row r="26" spans="1:74" ht="11.1" customHeight="1" x14ac:dyDescent="0.2">
      <c r="A26" s="323" t="s">
        <v>165</v>
      </c>
      <c r="B26" s="393" t="s">
        <v>934</v>
      </c>
      <c r="C26" s="289">
        <v>6.1261999999999999</v>
      </c>
      <c r="D26" s="289">
        <v>6.2384000000000004</v>
      </c>
      <c r="E26" s="289">
        <v>6.2885999999999997</v>
      </c>
      <c r="F26" s="289">
        <v>6.149</v>
      </c>
      <c r="G26" s="289">
        <v>6.3274999999999997</v>
      </c>
      <c r="H26" s="289">
        <v>6.0994999999999999</v>
      </c>
      <c r="I26" s="289">
        <v>6.2355</v>
      </c>
      <c r="J26" s="289">
        <v>6.3101000000000003</v>
      </c>
      <c r="K26" s="289">
        <v>6.0964999999999998</v>
      </c>
      <c r="L26" s="289">
        <v>6.0114000000000001</v>
      </c>
      <c r="M26" s="289">
        <v>6.2824999999999998</v>
      </c>
      <c r="N26" s="289">
        <v>6.5293999999999999</v>
      </c>
      <c r="O26" s="289">
        <v>6.1332000000000004</v>
      </c>
      <c r="P26" s="289">
        <v>6.2968000000000002</v>
      </c>
      <c r="Q26" s="289">
        <v>6.3665000000000003</v>
      </c>
      <c r="R26" s="289">
        <v>5.9337999999999997</v>
      </c>
      <c r="S26" s="289">
        <v>6.0926999999999998</v>
      </c>
      <c r="T26" s="289">
        <v>6.0671999999999997</v>
      </c>
      <c r="U26" s="289">
        <v>6.1798999999999999</v>
      </c>
      <c r="V26" s="289">
        <v>6.1696</v>
      </c>
      <c r="W26" s="289">
        <v>6.1146000000000003</v>
      </c>
      <c r="X26" s="289">
        <v>6.1006999999999998</v>
      </c>
      <c r="Y26" s="289">
        <v>6.3395000000000001</v>
      </c>
      <c r="Z26" s="289">
        <v>6.2904</v>
      </c>
      <c r="AA26" s="289">
        <v>6.3598999999999997</v>
      </c>
      <c r="AB26" s="289">
        <v>6.4229000000000003</v>
      </c>
      <c r="AC26" s="289">
        <v>6.3699000000000003</v>
      </c>
      <c r="AD26" s="289">
        <v>6.3349000000000002</v>
      </c>
      <c r="AE26" s="289">
        <v>6.4001999999999999</v>
      </c>
      <c r="AF26" s="289">
        <v>6.4436</v>
      </c>
      <c r="AG26" s="289">
        <v>6.2686000000000002</v>
      </c>
      <c r="AH26" s="289">
        <v>6.4420000000000002</v>
      </c>
      <c r="AI26" s="289">
        <v>6.3441999999999998</v>
      </c>
      <c r="AJ26" s="289">
        <v>6.4158999999999997</v>
      </c>
      <c r="AK26" s="289">
        <v>6.3761000000000001</v>
      </c>
      <c r="AL26" s="289">
        <v>6.2927</v>
      </c>
      <c r="AM26" s="870">
        <v>6.1590999999999996</v>
      </c>
      <c r="AN26" s="289">
        <v>6.4089999999999998</v>
      </c>
      <c r="AO26" s="289">
        <v>6.2588999999999997</v>
      </c>
      <c r="AP26" s="289">
        <v>6.3667999999999996</v>
      </c>
      <c r="AQ26" s="289">
        <v>6.1856</v>
      </c>
      <c r="AR26" s="289">
        <v>6.2694999999999999</v>
      </c>
      <c r="AS26" s="289">
        <v>6.4751000000000003</v>
      </c>
      <c r="AT26" s="289">
        <v>6.2089999999999996</v>
      </c>
      <c r="AU26" s="289">
        <v>6.3674999999999997</v>
      </c>
      <c r="AV26" s="289">
        <v>6.2427999999999999</v>
      </c>
      <c r="AW26" s="289">
        <v>6.2196999999999996</v>
      </c>
      <c r="AX26" s="289">
        <v>6.2892000000000001</v>
      </c>
      <c r="AY26" s="289">
        <v>6.3211000000000004</v>
      </c>
      <c r="AZ26" s="870">
        <v>6.3472999999999997</v>
      </c>
      <c r="BA26" s="870">
        <v>6.0332999999999997</v>
      </c>
      <c r="BB26" s="870">
        <v>5.6105999999999998</v>
      </c>
      <c r="BC26" s="870">
        <v>5.5850999999999997</v>
      </c>
      <c r="BD26" s="870">
        <v>5.9739000000000004</v>
      </c>
      <c r="BE26" s="870">
        <v>6.0896533281999998</v>
      </c>
      <c r="BF26" s="870">
        <v>6.2862391007999996</v>
      </c>
      <c r="BG26" s="870">
        <v>6.1403482618999998</v>
      </c>
      <c r="BH26" s="355">
        <v>6.1305574064000004</v>
      </c>
      <c r="BI26" s="355">
        <v>6.3124902028000003</v>
      </c>
      <c r="BJ26" s="355">
        <v>6.3565280021000001</v>
      </c>
      <c r="BK26" s="355">
        <v>6.2458920679999999</v>
      </c>
      <c r="BL26" s="355">
        <v>6.4134605246999996</v>
      </c>
      <c r="BM26" s="355">
        <v>6.2538017164999999</v>
      </c>
      <c r="BN26" s="355">
        <v>6.2071684462999999</v>
      </c>
      <c r="BO26" s="355">
        <v>6.2258416387000004</v>
      </c>
      <c r="BP26" s="355">
        <v>6.2457218214000001</v>
      </c>
      <c r="BQ26" s="355">
        <v>6.2367993996999997</v>
      </c>
      <c r="BR26" s="355">
        <v>6.2955014466000003</v>
      </c>
      <c r="BS26" s="355">
        <v>6.1487851120999997</v>
      </c>
      <c r="BT26" s="355">
        <v>6.1387979220000002</v>
      </c>
      <c r="BU26" s="355">
        <v>6.3328071263999997</v>
      </c>
      <c r="BV26" s="355">
        <v>6.4175667776000003</v>
      </c>
    </row>
    <row r="27" spans="1:74" s="272" customFormat="1" ht="11.1" customHeight="1" x14ac:dyDescent="0.2">
      <c r="A27" s="395" t="s">
        <v>172</v>
      </c>
      <c r="B27" s="392" t="s">
        <v>933</v>
      </c>
      <c r="C27" s="105">
        <v>52.771286023999998</v>
      </c>
      <c r="D27" s="105">
        <v>53.86062604</v>
      </c>
      <c r="E27" s="105">
        <v>53.089888443</v>
      </c>
      <c r="F27" s="105">
        <v>53.442954180999998</v>
      </c>
      <c r="G27" s="105">
        <v>54.264045148000001</v>
      </c>
      <c r="H27" s="105">
        <v>54.898355766999998</v>
      </c>
      <c r="I27" s="105">
        <v>54.526070410999999</v>
      </c>
      <c r="J27" s="105">
        <v>54.264923375000002</v>
      </c>
      <c r="K27" s="105">
        <v>54.942544394999999</v>
      </c>
      <c r="L27" s="105">
        <v>53.804241408000003</v>
      </c>
      <c r="M27" s="105">
        <v>54.371762763</v>
      </c>
      <c r="N27" s="105">
        <v>55.004188988999999</v>
      </c>
      <c r="O27" s="105">
        <v>53.950558299999997</v>
      </c>
      <c r="P27" s="105">
        <v>55.353207361000003</v>
      </c>
      <c r="Q27" s="105">
        <v>55.146460933999997</v>
      </c>
      <c r="R27" s="105">
        <v>55.532944227000002</v>
      </c>
      <c r="S27" s="105">
        <v>55.997545803000001</v>
      </c>
      <c r="T27" s="105">
        <v>56.553440276000003</v>
      </c>
      <c r="U27" s="105">
        <v>56.113760450999997</v>
      </c>
      <c r="V27" s="105">
        <v>55.757470838000003</v>
      </c>
      <c r="W27" s="105">
        <v>56.412002911999998</v>
      </c>
      <c r="X27" s="105">
        <v>55.265644303999998</v>
      </c>
      <c r="Y27" s="105">
        <v>56.020095974</v>
      </c>
      <c r="Z27" s="105">
        <v>56.617807507000002</v>
      </c>
      <c r="AA27" s="105">
        <v>55.190631375999999</v>
      </c>
      <c r="AB27" s="105">
        <v>56.604128787000001</v>
      </c>
      <c r="AC27" s="105">
        <v>56.404396798999997</v>
      </c>
      <c r="AD27" s="105">
        <v>56.686589644000001</v>
      </c>
      <c r="AE27" s="105">
        <v>57.135655804000002</v>
      </c>
      <c r="AF27" s="105">
        <v>57.683940835999998</v>
      </c>
      <c r="AG27" s="105">
        <v>57.439597081000002</v>
      </c>
      <c r="AH27" s="105">
        <v>56.735862136999998</v>
      </c>
      <c r="AI27" s="105">
        <v>57.276738246999997</v>
      </c>
      <c r="AJ27" s="105">
        <v>56.469043618000001</v>
      </c>
      <c r="AK27" s="105">
        <v>57.298894947000001</v>
      </c>
      <c r="AL27" s="105">
        <v>57.715010767000003</v>
      </c>
      <c r="AM27" s="882">
        <v>56.494343622000002</v>
      </c>
      <c r="AN27" s="105">
        <v>57.401795610999997</v>
      </c>
      <c r="AO27" s="105">
        <v>57.153507484999999</v>
      </c>
      <c r="AP27" s="105">
        <v>57.599759403</v>
      </c>
      <c r="AQ27" s="105">
        <v>58.282868917999998</v>
      </c>
      <c r="AR27" s="105">
        <v>58.950125045999997</v>
      </c>
      <c r="AS27" s="105">
        <v>58.415198779999997</v>
      </c>
      <c r="AT27" s="105">
        <v>58.034125797999998</v>
      </c>
      <c r="AU27" s="105">
        <v>58.817542133000003</v>
      </c>
      <c r="AV27" s="105">
        <v>57.684449766999997</v>
      </c>
      <c r="AW27" s="105">
        <v>58.738671465000003</v>
      </c>
      <c r="AX27" s="105">
        <v>59.371915971999996</v>
      </c>
      <c r="AY27" s="105">
        <v>56.683367707999999</v>
      </c>
      <c r="AZ27" s="882">
        <v>57.581572545</v>
      </c>
      <c r="BA27" s="882">
        <v>56.673582346000003</v>
      </c>
      <c r="BB27" s="882">
        <v>54.914316335999999</v>
      </c>
      <c r="BC27" s="882">
        <v>55.368737170000003</v>
      </c>
      <c r="BD27" s="882">
        <v>56.130095902000001</v>
      </c>
      <c r="BE27" s="882">
        <v>55.711576852</v>
      </c>
      <c r="BF27" s="882">
        <v>57.138577574999999</v>
      </c>
      <c r="BG27" s="882">
        <v>58.005722294000002</v>
      </c>
      <c r="BH27" s="388">
        <v>56.611100982000004</v>
      </c>
      <c r="BI27" s="388">
        <v>57.738025119</v>
      </c>
      <c r="BJ27" s="388">
        <v>58.472549170999997</v>
      </c>
      <c r="BK27" s="388">
        <v>56.788227949000003</v>
      </c>
      <c r="BL27" s="388">
        <v>57.871765115000002</v>
      </c>
      <c r="BM27" s="388">
        <v>57.478337932999999</v>
      </c>
      <c r="BN27" s="388">
        <v>58.354939858999998</v>
      </c>
      <c r="BO27" s="388">
        <v>58.686771520999997</v>
      </c>
      <c r="BP27" s="388">
        <v>59.382046205000002</v>
      </c>
      <c r="BQ27" s="388">
        <v>58.807707463</v>
      </c>
      <c r="BR27" s="388">
        <v>58.371269026</v>
      </c>
      <c r="BS27" s="388">
        <v>59.228637542000001</v>
      </c>
      <c r="BT27" s="388">
        <v>57.895756890999998</v>
      </c>
      <c r="BU27" s="388">
        <v>59.046160510999997</v>
      </c>
      <c r="BV27" s="388">
        <v>59.819651983999997</v>
      </c>
    </row>
    <row r="28" spans="1:74" ht="11.1" customHeight="1" x14ac:dyDescent="0.2">
      <c r="A28" s="323" t="s">
        <v>169</v>
      </c>
      <c r="B28" s="393" t="s">
        <v>941</v>
      </c>
      <c r="C28" s="289">
        <v>15.302720865</v>
      </c>
      <c r="D28" s="289">
        <v>15.492012724</v>
      </c>
      <c r="E28" s="289">
        <v>14.829719266</v>
      </c>
      <c r="F28" s="289">
        <v>15.127987415</v>
      </c>
      <c r="G28" s="289">
        <v>15.260764574</v>
      </c>
      <c r="H28" s="289">
        <v>15.165953587000001</v>
      </c>
      <c r="I28" s="289">
        <v>15.154021526999999</v>
      </c>
      <c r="J28" s="289">
        <v>14.760077641000001</v>
      </c>
      <c r="K28" s="289">
        <v>15.621466825000001</v>
      </c>
      <c r="L28" s="289">
        <v>14.684071284</v>
      </c>
      <c r="M28" s="289">
        <v>15.462394242</v>
      </c>
      <c r="N28" s="289">
        <v>15.95424038</v>
      </c>
      <c r="O28" s="289">
        <v>15.635659455000001</v>
      </c>
      <c r="P28" s="289">
        <v>16.109900117999999</v>
      </c>
      <c r="Q28" s="289">
        <v>16.013076874999999</v>
      </c>
      <c r="R28" s="289">
        <v>16.347110477000001</v>
      </c>
      <c r="S28" s="289">
        <v>16.112441275999998</v>
      </c>
      <c r="T28" s="289">
        <v>15.931467948</v>
      </c>
      <c r="U28" s="289">
        <v>15.869482065</v>
      </c>
      <c r="V28" s="289">
        <v>15.383658114999999</v>
      </c>
      <c r="W28" s="289">
        <v>16.219844950999999</v>
      </c>
      <c r="X28" s="289">
        <v>15.270416314</v>
      </c>
      <c r="Y28" s="289">
        <v>16.230045240999999</v>
      </c>
      <c r="Z28" s="289">
        <v>16.684967132000001</v>
      </c>
      <c r="AA28" s="289">
        <v>16.016943026</v>
      </c>
      <c r="AB28" s="289">
        <v>16.502748291</v>
      </c>
      <c r="AC28" s="289">
        <v>16.403563963</v>
      </c>
      <c r="AD28" s="289">
        <v>16.745743144999999</v>
      </c>
      <c r="AE28" s="289">
        <v>16.505351416</v>
      </c>
      <c r="AF28" s="289">
        <v>16.31996496</v>
      </c>
      <c r="AG28" s="289">
        <v>16.256467520000001</v>
      </c>
      <c r="AH28" s="289">
        <v>15.758796503999999</v>
      </c>
      <c r="AI28" s="289">
        <v>16.615374184</v>
      </c>
      <c r="AJ28" s="289">
        <v>15.642793244</v>
      </c>
      <c r="AK28" s="289">
        <v>16.625823214</v>
      </c>
      <c r="AL28" s="289">
        <v>17.091838609</v>
      </c>
      <c r="AM28" s="870">
        <v>16.234051578999999</v>
      </c>
      <c r="AN28" s="289">
        <v>16.634247207000001</v>
      </c>
      <c r="AO28" s="289">
        <v>16.38326429</v>
      </c>
      <c r="AP28" s="289">
        <v>16.746566740999999</v>
      </c>
      <c r="AQ28" s="289">
        <v>16.625439496999999</v>
      </c>
      <c r="AR28" s="289">
        <v>16.645006758000001</v>
      </c>
      <c r="AS28" s="289">
        <v>16.40521266</v>
      </c>
      <c r="AT28" s="289">
        <v>15.92317645</v>
      </c>
      <c r="AU28" s="289">
        <v>16.988326541999999</v>
      </c>
      <c r="AV28" s="289">
        <v>15.85060129</v>
      </c>
      <c r="AW28" s="289">
        <v>17.002907389000001</v>
      </c>
      <c r="AX28" s="289">
        <v>17.544227596999999</v>
      </c>
      <c r="AY28" s="289">
        <v>16.524667867000002</v>
      </c>
      <c r="AZ28" s="870">
        <v>16.811170657000002</v>
      </c>
      <c r="BA28" s="870">
        <v>16.372287167</v>
      </c>
      <c r="BB28" s="870">
        <v>16.076970653</v>
      </c>
      <c r="BC28" s="870">
        <v>15.638688602</v>
      </c>
      <c r="BD28" s="870">
        <v>15.715821812</v>
      </c>
      <c r="BE28" s="870">
        <v>15.578633362</v>
      </c>
      <c r="BF28" s="870">
        <v>15.147328466999999</v>
      </c>
      <c r="BG28" s="870">
        <v>16.30087305</v>
      </c>
      <c r="BH28" s="355">
        <v>15.04688161</v>
      </c>
      <c r="BI28" s="355">
        <v>16.248418574999999</v>
      </c>
      <c r="BJ28" s="355">
        <v>16.890882177999998</v>
      </c>
      <c r="BK28" s="355">
        <v>16.064644776000002</v>
      </c>
      <c r="BL28" s="355">
        <v>16.35686682</v>
      </c>
      <c r="BM28" s="355">
        <v>15.990819191</v>
      </c>
      <c r="BN28" s="355">
        <v>16.703450005000001</v>
      </c>
      <c r="BO28" s="355">
        <v>16.232959704999999</v>
      </c>
      <c r="BP28" s="355">
        <v>16.305512897</v>
      </c>
      <c r="BQ28" s="355">
        <v>16.148246490999998</v>
      </c>
      <c r="BR28" s="355">
        <v>15.579816510000001</v>
      </c>
      <c r="BS28" s="355">
        <v>16.756388491999999</v>
      </c>
      <c r="BT28" s="355">
        <v>15.446765634</v>
      </c>
      <c r="BU28" s="355">
        <v>16.662088413999999</v>
      </c>
      <c r="BV28" s="355">
        <v>17.317377065999999</v>
      </c>
    </row>
    <row r="29" spans="1:74" ht="11.1" customHeight="1" x14ac:dyDescent="0.2">
      <c r="A29" s="323" t="s">
        <v>167</v>
      </c>
      <c r="B29" s="393" t="s">
        <v>942</v>
      </c>
      <c r="C29" s="289">
        <v>4.6294934751000003</v>
      </c>
      <c r="D29" s="289">
        <v>4.8720871672000001</v>
      </c>
      <c r="E29" s="289">
        <v>4.7601247992999998</v>
      </c>
      <c r="F29" s="289">
        <v>4.6847681787999997</v>
      </c>
      <c r="G29" s="289">
        <v>4.8256909567999999</v>
      </c>
      <c r="H29" s="289">
        <v>5.0313657193000001</v>
      </c>
      <c r="I29" s="289">
        <v>5.0974607170999997</v>
      </c>
      <c r="J29" s="289">
        <v>5.2203538343</v>
      </c>
      <c r="K29" s="289">
        <v>5.1246987342999999</v>
      </c>
      <c r="L29" s="289">
        <v>4.9428701678999998</v>
      </c>
      <c r="M29" s="289">
        <v>5.0119429690999997</v>
      </c>
      <c r="N29" s="289">
        <v>5.0579025421999999</v>
      </c>
      <c r="O29" s="289">
        <v>4.6713690243999997</v>
      </c>
      <c r="P29" s="289">
        <v>4.9136174262000001</v>
      </c>
      <c r="Q29" s="289">
        <v>4.8018201350999998</v>
      </c>
      <c r="R29" s="289">
        <v>4.7268675686000003</v>
      </c>
      <c r="S29" s="289">
        <v>4.8675893537999997</v>
      </c>
      <c r="T29" s="289">
        <v>5.0729725100999996</v>
      </c>
      <c r="U29" s="289">
        <v>5.1390572812000004</v>
      </c>
      <c r="V29" s="289">
        <v>5.2617776723</v>
      </c>
      <c r="W29" s="289">
        <v>5.1662610631000003</v>
      </c>
      <c r="X29" s="289">
        <v>4.9850542205000004</v>
      </c>
      <c r="Y29" s="289">
        <v>5.0540294464000004</v>
      </c>
      <c r="Z29" s="289">
        <v>5.0999224552999998</v>
      </c>
      <c r="AA29" s="289">
        <v>4.7565699812000002</v>
      </c>
      <c r="AB29" s="289">
        <v>5.0041976296000001</v>
      </c>
      <c r="AC29" s="289">
        <v>4.8899108351000002</v>
      </c>
      <c r="AD29" s="289">
        <v>4.8134975315000004</v>
      </c>
      <c r="AE29" s="289">
        <v>4.9573437414999999</v>
      </c>
      <c r="AF29" s="289">
        <v>5.1672859246999998</v>
      </c>
      <c r="AG29" s="289">
        <v>5.2349261630999999</v>
      </c>
      <c r="AH29" s="289">
        <v>5.3603687153999999</v>
      </c>
      <c r="AI29" s="289">
        <v>5.2627272343999998</v>
      </c>
      <c r="AJ29" s="289">
        <v>5.0776974942999997</v>
      </c>
      <c r="AK29" s="289">
        <v>5.1482026043999998</v>
      </c>
      <c r="AL29" s="289">
        <v>5.1951207312000003</v>
      </c>
      <c r="AM29" s="870">
        <v>4.7355990710000002</v>
      </c>
      <c r="AN29" s="289">
        <v>5.0016276785000002</v>
      </c>
      <c r="AO29" s="289">
        <v>4.8635278501999997</v>
      </c>
      <c r="AP29" s="289">
        <v>4.8359173313000001</v>
      </c>
      <c r="AQ29" s="289">
        <v>5.0012564142000002</v>
      </c>
      <c r="AR29" s="289">
        <v>5.2164827256999997</v>
      </c>
      <c r="AS29" s="289">
        <v>5.2965265654999998</v>
      </c>
      <c r="AT29" s="289">
        <v>5.4154182775999997</v>
      </c>
      <c r="AU29" s="289">
        <v>5.3007554967999999</v>
      </c>
      <c r="AV29" s="289">
        <v>5.1860396796000003</v>
      </c>
      <c r="AW29" s="289">
        <v>5.2296943615</v>
      </c>
      <c r="AX29" s="289">
        <v>5.2582385480999996</v>
      </c>
      <c r="AY29" s="289">
        <v>4.7335447764999996</v>
      </c>
      <c r="AZ29" s="870">
        <v>5.0023008279000001</v>
      </c>
      <c r="BA29" s="870">
        <v>4.8627581384000003</v>
      </c>
      <c r="BB29" s="870">
        <v>4.7288028980999997</v>
      </c>
      <c r="BC29" s="870">
        <v>4.8908886423000002</v>
      </c>
      <c r="BD29" s="870">
        <v>5.1013735434000003</v>
      </c>
      <c r="BE29" s="870">
        <v>5.1802422746000003</v>
      </c>
      <c r="BF29" s="870">
        <v>5.4203875714</v>
      </c>
      <c r="BG29" s="870">
        <v>5.3045080973000003</v>
      </c>
      <c r="BH29" s="355">
        <v>5.1884657498999998</v>
      </c>
      <c r="BI29" s="355">
        <v>5.2326103371999997</v>
      </c>
      <c r="BJ29" s="355">
        <v>5.2615131430000002</v>
      </c>
      <c r="BK29" s="355">
        <v>4.6473549097999998</v>
      </c>
      <c r="BL29" s="355">
        <v>4.9191487382999997</v>
      </c>
      <c r="BM29" s="355">
        <v>4.7780111099000004</v>
      </c>
      <c r="BN29" s="355">
        <v>4.7496995362999996</v>
      </c>
      <c r="BO29" s="355">
        <v>4.9187075990000002</v>
      </c>
      <c r="BP29" s="355">
        <v>5.1386847879999999</v>
      </c>
      <c r="BQ29" s="355">
        <v>5.2204703662999998</v>
      </c>
      <c r="BR29" s="355">
        <v>5.3419963611999997</v>
      </c>
      <c r="BS29" s="355">
        <v>5.2247801738000001</v>
      </c>
      <c r="BT29" s="355">
        <v>5.1073277310999998</v>
      </c>
      <c r="BU29" s="355">
        <v>5.1519990027000002</v>
      </c>
      <c r="BV29" s="355">
        <v>5.1812716836000003</v>
      </c>
    </row>
    <row r="30" spans="1:74" ht="11.1" customHeight="1" x14ac:dyDescent="0.2">
      <c r="A30" s="323" t="s">
        <v>168</v>
      </c>
      <c r="B30" s="393" t="s">
        <v>938</v>
      </c>
      <c r="C30" s="289">
        <v>0.72572913612000001</v>
      </c>
      <c r="D30" s="289">
        <v>0.74738000365000001</v>
      </c>
      <c r="E30" s="289">
        <v>0.75390521689000001</v>
      </c>
      <c r="F30" s="289">
        <v>0.76231382831000005</v>
      </c>
      <c r="G30" s="289">
        <v>0.78460917793999996</v>
      </c>
      <c r="H30" s="289">
        <v>0.78087950687999996</v>
      </c>
      <c r="I30" s="289">
        <v>0.79045208347999996</v>
      </c>
      <c r="J30" s="289">
        <v>0.79433555974000003</v>
      </c>
      <c r="K30" s="289">
        <v>0.79216755325999999</v>
      </c>
      <c r="L30" s="289">
        <v>0.81349656397000003</v>
      </c>
      <c r="M30" s="289">
        <v>0.80163890399000004</v>
      </c>
      <c r="N30" s="289">
        <v>0.76809697556000001</v>
      </c>
      <c r="O30" s="289">
        <v>0.74527875273999999</v>
      </c>
      <c r="P30" s="289">
        <v>0.76830330066999997</v>
      </c>
      <c r="Q30" s="289">
        <v>0.77512238102999997</v>
      </c>
      <c r="R30" s="289">
        <v>0.78503721134000004</v>
      </c>
      <c r="S30" s="289">
        <v>0.80860786283999997</v>
      </c>
      <c r="T30" s="289">
        <v>0.80480739789</v>
      </c>
      <c r="U30" s="289">
        <v>0.81622078572000001</v>
      </c>
      <c r="V30" s="289">
        <v>0.82042666925999996</v>
      </c>
      <c r="W30" s="289">
        <v>0.81790855787000005</v>
      </c>
      <c r="X30" s="289">
        <v>0.83934458679000001</v>
      </c>
      <c r="Y30" s="289">
        <v>0.82686278860999995</v>
      </c>
      <c r="Z30" s="289">
        <v>0.79130634582000003</v>
      </c>
      <c r="AA30" s="289">
        <v>0.74644199080999996</v>
      </c>
      <c r="AB30" s="289">
        <v>0.76931244006999999</v>
      </c>
      <c r="AC30" s="289">
        <v>0.77528581727000001</v>
      </c>
      <c r="AD30" s="289">
        <v>0.78389495346000004</v>
      </c>
      <c r="AE30" s="289">
        <v>0.80703429348</v>
      </c>
      <c r="AF30" s="289">
        <v>0.80430804996000005</v>
      </c>
      <c r="AG30" s="289">
        <v>0.81387702733</v>
      </c>
      <c r="AH30" s="289">
        <v>0.81817696492000003</v>
      </c>
      <c r="AI30" s="289">
        <v>0.81485982589999995</v>
      </c>
      <c r="AJ30" s="289">
        <v>0.83719029812000001</v>
      </c>
      <c r="AK30" s="289">
        <v>0.82517872300999995</v>
      </c>
      <c r="AL30" s="289">
        <v>0.79060667607000001</v>
      </c>
      <c r="AM30" s="870">
        <v>0.74673844385999999</v>
      </c>
      <c r="AN30" s="289">
        <v>0.77054053685000001</v>
      </c>
      <c r="AO30" s="289">
        <v>0.77955992886000003</v>
      </c>
      <c r="AP30" s="289">
        <v>0.78422429961999995</v>
      </c>
      <c r="AQ30" s="289">
        <v>0.80595281259999996</v>
      </c>
      <c r="AR30" s="289">
        <v>0.80622401733000004</v>
      </c>
      <c r="AS30" s="289">
        <v>0.81505898405999999</v>
      </c>
      <c r="AT30" s="289">
        <v>0.81443606319999995</v>
      </c>
      <c r="AU30" s="289">
        <v>0.81510829145999997</v>
      </c>
      <c r="AV30" s="289">
        <v>0.83416269404999999</v>
      </c>
      <c r="AW30" s="289">
        <v>0.82275914954999996</v>
      </c>
      <c r="AX30" s="289">
        <v>0.79091877857000004</v>
      </c>
      <c r="AY30" s="289">
        <v>0.74323755381000001</v>
      </c>
      <c r="AZ30" s="870">
        <v>0.76692805685999998</v>
      </c>
      <c r="BA30" s="870">
        <v>0.77590516376999996</v>
      </c>
      <c r="BB30" s="870">
        <v>0.78054766683999999</v>
      </c>
      <c r="BC30" s="870">
        <v>0.80217431130000005</v>
      </c>
      <c r="BD30" s="870">
        <v>0.80244424455999996</v>
      </c>
      <c r="BE30" s="870">
        <v>0.81123779084000003</v>
      </c>
      <c r="BF30" s="870">
        <v>0.81061779038000004</v>
      </c>
      <c r="BG30" s="870">
        <v>0.81128686706999997</v>
      </c>
      <c r="BH30" s="355">
        <v>0.83025193802999997</v>
      </c>
      <c r="BI30" s="355">
        <v>0.81890185608999999</v>
      </c>
      <c r="BJ30" s="355">
        <v>0.78721076045000005</v>
      </c>
      <c r="BK30" s="355">
        <v>0.74715163300999998</v>
      </c>
      <c r="BL30" s="355">
        <v>0.77096689631000004</v>
      </c>
      <c r="BM30" s="355">
        <v>0.77999127896999998</v>
      </c>
      <c r="BN30" s="355">
        <v>0.78465823064999995</v>
      </c>
      <c r="BO30" s="355">
        <v>0.80639876655999998</v>
      </c>
      <c r="BP30" s="355">
        <v>0.80667012135000005</v>
      </c>
      <c r="BQ30" s="355">
        <v>0.81550997669000003</v>
      </c>
      <c r="BR30" s="355">
        <v>0.81488671115</v>
      </c>
      <c r="BS30" s="355">
        <v>0.81555931137000004</v>
      </c>
      <c r="BT30" s="355">
        <v>0.83462425725</v>
      </c>
      <c r="BU30" s="355">
        <v>0.82321440288000003</v>
      </c>
      <c r="BV30" s="355">
        <v>0.79135641380999999</v>
      </c>
    </row>
    <row r="31" spans="1:74" ht="11.1" customHeight="1" x14ac:dyDescent="0.2">
      <c r="A31" s="323" t="s">
        <v>170</v>
      </c>
      <c r="B31" s="393" t="s">
        <v>943</v>
      </c>
      <c r="C31" s="289">
        <v>13.33125845</v>
      </c>
      <c r="D31" s="289">
        <v>13.721983806000001</v>
      </c>
      <c r="E31" s="289">
        <v>13.681598616</v>
      </c>
      <c r="F31" s="289">
        <v>13.629389360999999</v>
      </c>
      <c r="G31" s="289">
        <v>13.697402500999999</v>
      </c>
      <c r="H31" s="289">
        <v>13.616913014</v>
      </c>
      <c r="I31" s="289">
        <v>13.337133118000001</v>
      </c>
      <c r="J31" s="289">
        <v>13.223440310999999</v>
      </c>
      <c r="K31" s="289">
        <v>13.308147935999999</v>
      </c>
      <c r="L31" s="289">
        <v>13.464160681999999</v>
      </c>
      <c r="M31" s="289">
        <v>13.683686953</v>
      </c>
      <c r="N31" s="289">
        <v>13.740259078999999</v>
      </c>
      <c r="O31" s="289">
        <v>13.817596656999999</v>
      </c>
      <c r="P31" s="289">
        <v>14.227397129</v>
      </c>
      <c r="Q31" s="289">
        <v>14.185230588</v>
      </c>
      <c r="R31" s="289">
        <v>14.129627137</v>
      </c>
      <c r="S31" s="289">
        <v>14.201257399999999</v>
      </c>
      <c r="T31" s="289">
        <v>14.116504385000001</v>
      </c>
      <c r="U31" s="289">
        <v>13.823611788999999</v>
      </c>
      <c r="V31" s="289">
        <v>13.704435045</v>
      </c>
      <c r="W31" s="289">
        <v>13.793240923000001</v>
      </c>
      <c r="X31" s="289">
        <v>13.955409009</v>
      </c>
      <c r="Y31" s="289">
        <v>14.185594212</v>
      </c>
      <c r="Z31" s="289">
        <v>14.244939536</v>
      </c>
      <c r="AA31" s="289">
        <v>14.348213282</v>
      </c>
      <c r="AB31" s="289">
        <v>14.748021359999999</v>
      </c>
      <c r="AC31" s="289">
        <v>14.714298351</v>
      </c>
      <c r="AD31" s="289">
        <v>14.549804202000001</v>
      </c>
      <c r="AE31" s="289">
        <v>14.60384088</v>
      </c>
      <c r="AF31" s="289">
        <v>14.505250760999999</v>
      </c>
      <c r="AG31" s="289">
        <v>14.412052666999999</v>
      </c>
      <c r="AH31" s="289">
        <v>13.948900922</v>
      </c>
      <c r="AI31" s="289">
        <v>13.907230434000001</v>
      </c>
      <c r="AJ31" s="289">
        <v>14.435676433999999</v>
      </c>
      <c r="AK31" s="289">
        <v>14.72528544</v>
      </c>
      <c r="AL31" s="289">
        <v>14.588998695000001</v>
      </c>
      <c r="AM31" s="870">
        <v>14.980114219000001</v>
      </c>
      <c r="AN31" s="289">
        <v>14.978809392</v>
      </c>
      <c r="AO31" s="289">
        <v>15.041426100000001</v>
      </c>
      <c r="AP31" s="289">
        <v>14.975877689000001</v>
      </c>
      <c r="AQ31" s="289">
        <v>15.149953419999999</v>
      </c>
      <c r="AR31" s="289">
        <v>14.905983158</v>
      </c>
      <c r="AS31" s="289">
        <v>14.666208915</v>
      </c>
      <c r="AT31" s="289">
        <v>14.50876276</v>
      </c>
      <c r="AU31" s="289">
        <v>14.552040887</v>
      </c>
      <c r="AV31" s="289">
        <v>14.968633702</v>
      </c>
      <c r="AW31" s="289">
        <v>15.288979755</v>
      </c>
      <c r="AX31" s="289">
        <v>15.330482005</v>
      </c>
      <c r="AY31" s="289">
        <v>15.108830170999999</v>
      </c>
      <c r="AZ31" s="870">
        <v>15.205430902</v>
      </c>
      <c r="BA31" s="870">
        <v>14.975995824</v>
      </c>
      <c r="BB31" s="870">
        <v>14.154315465</v>
      </c>
      <c r="BC31" s="870">
        <v>14.39794829</v>
      </c>
      <c r="BD31" s="870">
        <v>14.254408729</v>
      </c>
      <c r="BE31" s="870">
        <v>14.047873836999999</v>
      </c>
      <c r="BF31" s="870">
        <v>14.791236758</v>
      </c>
      <c r="BG31" s="870">
        <v>14.779934998</v>
      </c>
      <c r="BH31" s="355">
        <v>15.006313347000001</v>
      </c>
      <c r="BI31" s="355">
        <v>15.341159040000001</v>
      </c>
      <c r="BJ31" s="355">
        <v>15.384236639999999</v>
      </c>
      <c r="BK31" s="355">
        <v>15.335224749</v>
      </c>
      <c r="BL31" s="355">
        <v>15.635503740000001</v>
      </c>
      <c r="BM31" s="355">
        <v>15.666935541999999</v>
      </c>
      <c r="BN31" s="355">
        <v>15.679486367999999</v>
      </c>
      <c r="BO31" s="355">
        <v>15.842973580000001</v>
      </c>
      <c r="BP31" s="355">
        <v>15.616038773</v>
      </c>
      <c r="BQ31" s="355">
        <v>15.344167780999999</v>
      </c>
      <c r="BR31" s="355">
        <v>15.222893941000001</v>
      </c>
      <c r="BS31" s="355">
        <v>15.210950097</v>
      </c>
      <c r="BT31" s="355">
        <v>15.488933146000001</v>
      </c>
      <c r="BU31" s="355">
        <v>15.837258690000001</v>
      </c>
      <c r="BV31" s="355">
        <v>15.861785594000001</v>
      </c>
    </row>
    <row r="32" spans="1:74" ht="11.1" customHeight="1" x14ac:dyDescent="0.2">
      <c r="A32" s="323" t="s">
        <v>171</v>
      </c>
      <c r="B32" s="393" t="s">
        <v>944</v>
      </c>
      <c r="C32" s="289">
        <v>18.782084097999999</v>
      </c>
      <c r="D32" s="289">
        <v>19.027162339</v>
      </c>
      <c r="E32" s="289">
        <v>19.064540544</v>
      </c>
      <c r="F32" s="289">
        <v>19.238495399000001</v>
      </c>
      <c r="G32" s="289">
        <v>19.695577939</v>
      </c>
      <c r="H32" s="289">
        <v>20.303243940000002</v>
      </c>
      <c r="I32" s="289">
        <v>20.147002963999999</v>
      </c>
      <c r="J32" s="289">
        <v>20.266716028000001</v>
      </c>
      <c r="K32" s="289">
        <v>20.096063345000001</v>
      </c>
      <c r="L32" s="289">
        <v>19.899642709999998</v>
      </c>
      <c r="M32" s="289">
        <v>19.412099694999998</v>
      </c>
      <c r="N32" s="289">
        <v>19.483690011</v>
      </c>
      <c r="O32" s="289">
        <v>19.080654410000001</v>
      </c>
      <c r="P32" s="289">
        <v>19.333989386999999</v>
      </c>
      <c r="Q32" s="289">
        <v>19.371210955999999</v>
      </c>
      <c r="R32" s="289">
        <v>19.544301833999999</v>
      </c>
      <c r="S32" s="289">
        <v>20.007649911000001</v>
      </c>
      <c r="T32" s="289">
        <v>20.627688034999998</v>
      </c>
      <c r="U32" s="289">
        <v>20.465388529999998</v>
      </c>
      <c r="V32" s="289">
        <v>20.587173335999999</v>
      </c>
      <c r="W32" s="289">
        <v>20.414747417000001</v>
      </c>
      <c r="X32" s="289">
        <v>20.215420173999998</v>
      </c>
      <c r="Y32" s="289">
        <v>19.723564285999998</v>
      </c>
      <c r="Z32" s="289">
        <v>19.796672038000001</v>
      </c>
      <c r="AA32" s="289">
        <v>19.322463097</v>
      </c>
      <c r="AB32" s="289">
        <v>19.579849067000001</v>
      </c>
      <c r="AC32" s="289">
        <v>19.621337832999998</v>
      </c>
      <c r="AD32" s="289">
        <v>19.793649812000002</v>
      </c>
      <c r="AE32" s="289">
        <v>20.262085472999999</v>
      </c>
      <c r="AF32" s="289">
        <v>20.887131139000001</v>
      </c>
      <c r="AG32" s="289">
        <v>20.722273703999999</v>
      </c>
      <c r="AH32" s="289">
        <v>20.849619031</v>
      </c>
      <c r="AI32" s="289">
        <v>20.676546567999999</v>
      </c>
      <c r="AJ32" s="289">
        <v>20.475686148000001</v>
      </c>
      <c r="AK32" s="289">
        <v>19.974404965000002</v>
      </c>
      <c r="AL32" s="289">
        <v>20.048446057</v>
      </c>
      <c r="AM32" s="870">
        <v>19.797840308000001</v>
      </c>
      <c r="AN32" s="289">
        <v>20.016570796</v>
      </c>
      <c r="AO32" s="289">
        <v>20.085729315999998</v>
      </c>
      <c r="AP32" s="289">
        <v>20.257173342000002</v>
      </c>
      <c r="AQ32" s="289">
        <v>20.700266774999999</v>
      </c>
      <c r="AR32" s="289">
        <v>21.376428386000001</v>
      </c>
      <c r="AS32" s="289">
        <v>21.232191655000001</v>
      </c>
      <c r="AT32" s="289">
        <v>21.372332247999999</v>
      </c>
      <c r="AU32" s="289">
        <v>21.161310917000002</v>
      </c>
      <c r="AV32" s="289">
        <v>20.845012401999998</v>
      </c>
      <c r="AW32" s="289">
        <v>20.394330811</v>
      </c>
      <c r="AX32" s="289">
        <v>20.448049043000001</v>
      </c>
      <c r="AY32" s="289">
        <v>19.573087340000001</v>
      </c>
      <c r="AZ32" s="870">
        <v>19.795742100999998</v>
      </c>
      <c r="BA32" s="870">
        <v>19.686636053000001</v>
      </c>
      <c r="BB32" s="870">
        <v>19.173679653000001</v>
      </c>
      <c r="BC32" s="870">
        <v>19.639037325</v>
      </c>
      <c r="BD32" s="870">
        <v>20.256047573</v>
      </c>
      <c r="BE32" s="870">
        <v>20.093589588</v>
      </c>
      <c r="BF32" s="870">
        <v>20.969006988</v>
      </c>
      <c r="BG32" s="870">
        <v>20.809119281000001</v>
      </c>
      <c r="BH32" s="355">
        <v>20.539188336999999</v>
      </c>
      <c r="BI32" s="355">
        <v>20.096935310999999</v>
      </c>
      <c r="BJ32" s="355">
        <v>20.148706449999999</v>
      </c>
      <c r="BK32" s="355">
        <v>19.993851881000001</v>
      </c>
      <c r="BL32" s="355">
        <v>20.18927892</v>
      </c>
      <c r="BM32" s="355">
        <v>20.262580810999999</v>
      </c>
      <c r="BN32" s="355">
        <v>20.437645719999999</v>
      </c>
      <c r="BO32" s="355">
        <v>20.885731871000001</v>
      </c>
      <c r="BP32" s="355">
        <v>21.515139626</v>
      </c>
      <c r="BQ32" s="355">
        <v>21.279312848</v>
      </c>
      <c r="BR32" s="355">
        <v>21.411675503000001</v>
      </c>
      <c r="BS32" s="355">
        <v>21.220959468</v>
      </c>
      <c r="BT32" s="355">
        <v>21.018106122999999</v>
      </c>
      <c r="BU32" s="355">
        <v>20.571600002</v>
      </c>
      <c r="BV32" s="355">
        <v>20.667861227</v>
      </c>
    </row>
    <row r="33" spans="1:74" ht="11.1" customHeight="1" x14ac:dyDescent="0.2">
      <c r="A33" s="323"/>
      <c r="B33" s="325"/>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870"/>
      <c r="AN33" s="289"/>
      <c r="AO33" s="289"/>
      <c r="AP33" s="289"/>
      <c r="AQ33" s="289"/>
      <c r="AR33" s="289"/>
      <c r="AS33" s="289"/>
      <c r="AT33" s="289"/>
      <c r="AU33" s="289"/>
      <c r="AV33" s="289"/>
      <c r="AW33" s="289"/>
      <c r="AX33" s="289"/>
      <c r="AY33" s="289"/>
      <c r="AZ33" s="870"/>
      <c r="BA33" s="870"/>
      <c r="BB33" s="870"/>
      <c r="BC33" s="870"/>
      <c r="BD33" s="870"/>
      <c r="BE33" s="870"/>
      <c r="BF33" s="870"/>
      <c r="BG33" s="870"/>
      <c r="BH33" s="355"/>
      <c r="BI33" s="355"/>
      <c r="BJ33" s="355"/>
      <c r="BK33" s="355"/>
      <c r="BL33" s="355"/>
      <c r="BM33" s="355"/>
      <c r="BN33" s="355"/>
      <c r="BO33" s="355"/>
      <c r="BP33" s="355"/>
      <c r="BQ33" s="355"/>
      <c r="BR33" s="355"/>
      <c r="BS33" s="355"/>
      <c r="BT33" s="355"/>
      <c r="BU33" s="355"/>
      <c r="BV33" s="355"/>
    </row>
    <row r="34" spans="1:74" ht="11.1" customHeight="1" x14ac:dyDescent="0.2">
      <c r="A34" s="323"/>
      <c r="B34" s="324" t="s">
        <v>814</v>
      </c>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870"/>
      <c r="AN34" s="289"/>
      <c r="AO34" s="289"/>
      <c r="AP34" s="289"/>
      <c r="AQ34" s="289"/>
      <c r="AR34" s="289"/>
      <c r="AS34" s="289"/>
      <c r="AT34" s="289"/>
      <c r="AU34" s="289"/>
      <c r="AV34" s="289"/>
      <c r="AW34" s="289"/>
      <c r="AX34" s="289"/>
      <c r="AY34" s="289"/>
      <c r="AZ34" s="870"/>
      <c r="BA34" s="870"/>
      <c r="BB34" s="870"/>
      <c r="BC34" s="870"/>
      <c r="BD34" s="870"/>
      <c r="BE34" s="870"/>
      <c r="BF34" s="870"/>
      <c r="BG34" s="870"/>
      <c r="BH34" s="355"/>
      <c r="BI34" s="355"/>
      <c r="BJ34" s="355"/>
      <c r="BK34" s="355"/>
      <c r="BL34" s="355"/>
      <c r="BM34" s="355"/>
      <c r="BN34" s="355"/>
      <c r="BO34" s="355"/>
      <c r="BP34" s="355"/>
      <c r="BQ34" s="355"/>
      <c r="BR34" s="355"/>
      <c r="BS34" s="355"/>
      <c r="BT34" s="355"/>
      <c r="BU34" s="355"/>
      <c r="BV34" s="355"/>
    </row>
    <row r="35" spans="1:74" s="272" customFormat="1" ht="11.1" customHeight="1" x14ac:dyDescent="0.2">
      <c r="A35" s="395" t="s">
        <v>183</v>
      </c>
      <c r="B35" s="389" t="s">
        <v>809</v>
      </c>
      <c r="C35" s="105">
        <v>-0.97089479106999999</v>
      </c>
      <c r="D35" s="105">
        <v>1.0423144703</v>
      </c>
      <c r="E35" s="105">
        <v>-0.67885949086999997</v>
      </c>
      <c r="F35" s="105">
        <v>-1.4058039580999999</v>
      </c>
      <c r="G35" s="105">
        <v>-0.10698430065</v>
      </c>
      <c r="H35" s="105">
        <v>1.1853572424000001</v>
      </c>
      <c r="I35" s="105">
        <v>-0.71451586005000001</v>
      </c>
      <c r="J35" s="105">
        <v>-0.69842297545999998</v>
      </c>
      <c r="K35" s="105">
        <v>-0.95572346157999999</v>
      </c>
      <c r="L35" s="105">
        <v>-3.3353831787999999</v>
      </c>
      <c r="M35" s="105">
        <v>-1.9789585404000001</v>
      </c>
      <c r="N35" s="105">
        <v>0.22149239895</v>
      </c>
      <c r="O35" s="105">
        <v>-3.4866216206999998</v>
      </c>
      <c r="P35" s="105">
        <v>-0.46175495678</v>
      </c>
      <c r="Q35" s="105">
        <v>-1.3656363435000001</v>
      </c>
      <c r="R35" s="105">
        <v>-2.0990937014000002</v>
      </c>
      <c r="S35" s="105">
        <v>-0.2050373295</v>
      </c>
      <c r="T35" s="105">
        <v>0.60660552361999998</v>
      </c>
      <c r="U35" s="105">
        <v>-0.25576901906999999</v>
      </c>
      <c r="V35" s="105">
        <v>0.2761592893</v>
      </c>
      <c r="W35" s="105">
        <v>-0.81828844126</v>
      </c>
      <c r="X35" s="105">
        <v>-1.6581792808</v>
      </c>
      <c r="Y35" s="105">
        <v>-1.5369002103</v>
      </c>
      <c r="Z35" s="105">
        <v>-1.3355609958000001</v>
      </c>
      <c r="AA35" s="105">
        <v>-1.4614604916</v>
      </c>
      <c r="AB35" s="105">
        <v>-0.53309447462000004</v>
      </c>
      <c r="AC35" s="105">
        <v>-1.9128359643999999</v>
      </c>
      <c r="AD35" s="105">
        <v>-0.95214385477999997</v>
      </c>
      <c r="AE35" s="105">
        <v>0.42444008814</v>
      </c>
      <c r="AF35" s="105">
        <v>1.1004511510999999</v>
      </c>
      <c r="AG35" s="105">
        <v>1.0977347342999999</v>
      </c>
      <c r="AH35" s="105">
        <v>0.30160478381</v>
      </c>
      <c r="AI35" s="105">
        <v>1.2841129952000001</v>
      </c>
      <c r="AJ35" s="105">
        <v>0.25555047779000001</v>
      </c>
      <c r="AK35" s="105">
        <v>-0.25144804106000002</v>
      </c>
      <c r="AL35" s="105">
        <v>5.2848768317E-2</v>
      </c>
      <c r="AM35" s="882">
        <v>-0.67148162178000004</v>
      </c>
      <c r="AN35" s="105">
        <v>0.43868274693999998</v>
      </c>
      <c r="AO35" s="105">
        <v>-2.3980978734999998</v>
      </c>
      <c r="AP35" s="105">
        <v>-0.65880777553000003</v>
      </c>
      <c r="AQ35" s="105">
        <v>-1.2544664059999999</v>
      </c>
      <c r="AR35" s="105">
        <v>-0.29842558805000002</v>
      </c>
      <c r="AS35" s="105">
        <v>-1.5908095289999999</v>
      </c>
      <c r="AT35" s="105">
        <v>-3.1718780300999998</v>
      </c>
      <c r="AU35" s="105">
        <v>-2.8377193793000002</v>
      </c>
      <c r="AV35" s="105">
        <v>-4.0129126626999998</v>
      </c>
      <c r="AW35" s="105">
        <v>-4.1756996202999996</v>
      </c>
      <c r="AX35" s="105">
        <v>-1.7881011230999999</v>
      </c>
      <c r="AY35" s="105">
        <v>-3.5872133318000001</v>
      </c>
      <c r="AZ35" s="882">
        <v>-4.3338633796000003</v>
      </c>
      <c r="BA35" s="882">
        <v>5.2130040245</v>
      </c>
      <c r="BB35" s="882">
        <v>4.0440090541</v>
      </c>
      <c r="BC35" s="882">
        <v>4.4214605486999998</v>
      </c>
      <c r="BD35" s="882">
        <v>2.1610725097999999</v>
      </c>
      <c r="BE35" s="882">
        <v>-0.26525441666999999</v>
      </c>
      <c r="BF35" s="882">
        <v>2.9747767945999999</v>
      </c>
      <c r="BG35" s="882">
        <v>2.9376257005999999</v>
      </c>
      <c r="BH35" s="388">
        <v>0.67091040435000004</v>
      </c>
      <c r="BI35" s="388">
        <v>0.47123260463</v>
      </c>
      <c r="BJ35" s="388">
        <v>0.92574112280999998</v>
      </c>
      <c r="BK35" s="388">
        <v>-2.7803023096000001</v>
      </c>
      <c r="BL35" s="388">
        <v>-2.0122754291999998</v>
      </c>
      <c r="BM35" s="388">
        <v>-4.1876935958999999</v>
      </c>
      <c r="BN35" s="388">
        <v>-4.5874072684999998</v>
      </c>
      <c r="BO35" s="388">
        <v>-5.7190293687000002</v>
      </c>
      <c r="BP35" s="388">
        <v>-4.5197310102000001</v>
      </c>
      <c r="BQ35" s="388">
        <v>-5.1498064206</v>
      </c>
      <c r="BR35" s="388">
        <v>-5.4697963799</v>
      </c>
      <c r="BS35" s="388">
        <v>-5.5305198277000001</v>
      </c>
      <c r="BT35" s="388">
        <v>-6.9432640633</v>
      </c>
      <c r="BU35" s="388">
        <v>-6.5886544158999998</v>
      </c>
      <c r="BV35" s="388">
        <v>-5.1610653767999999</v>
      </c>
    </row>
    <row r="36" spans="1:74" ht="11.1" customHeight="1" x14ac:dyDescent="0.2">
      <c r="A36" s="323" t="s">
        <v>180</v>
      </c>
      <c r="B36" s="391" t="s">
        <v>194</v>
      </c>
      <c r="C36" s="289">
        <v>0.44756709677000001</v>
      </c>
      <c r="D36" s="289">
        <v>1.2119150714</v>
      </c>
      <c r="E36" s="289">
        <v>0.78022996773999997</v>
      </c>
      <c r="F36" s="289">
        <v>0.62009700000000001</v>
      </c>
      <c r="G36" s="289">
        <v>0.20744461289999999</v>
      </c>
      <c r="H36" s="289">
        <v>0.71772676667000002</v>
      </c>
      <c r="I36" s="289">
        <v>-0.30937048386999999</v>
      </c>
      <c r="J36" s="289">
        <v>0.82566154839000006</v>
      </c>
      <c r="K36" s="289">
        <v>0.85921573333000001</v>
      </c>
      <c r="L36" s="289">
        <v>9.2560064516000004E-2</v>
      </c>
      <c r="M36" s="289">
        <v>0.46289229999999998</v>
      </c>
      <c r="N36" s="289">
        <v>0.66367464515999997</v>
      </c>
      <c r="O36" s="289">
        <v>-0.99196135484000003</v>
      </c>
      <c r="P36" s="289">
        <v>-0.46116160713999998</v>
      </c>
      <c r="Q36" s="289">
        <v>1.1979626774000001</v>
      </c>
      <c r="R36" s="289">
        <v>-0.27189793333000001</v>
      </c>
      <c r="S36" s="289">
        <v>-0.16464619354999999</v>
      </c>
      <c r="T36" s="289">
        <v>0.13917940000000001</v>
      </c>
      <c r="U36" s="289">
        <v>-0.23069148386999999</v>
      </c>
      <c r="V36" s="289">
        <v>0.27412083870999998</v>
      </c>
      <c r="W36" s="289">
        <v>-0.82709619999999995</v>
      </c>
      <c r="X36" s="289">
        <v>0.60624093548000002</v>
      </c>
      <c r="Y36" s="289">
        <v>-3.2937300000000003E-2</v>
      </c>
      <c r="Z36" s="289">
        <v>0.31589980644999999</v>
      </c>
      <c r="AA36" s="289">
        <v>0.51444277418999995</v>
      </c>
      <c r="AB36" s="289">
        <v>0.2370452069</v>
      </c>
      <c r="AC36" s="289">
        <v>-0.39262683870999998</v>
      </c>
      <c r="AD36" s="289">
        <v>-1.0217893667</v>
      </c>
      <c r="AE36" s="289">
        <v>-0.66181035483999995</v>
      </c>
      <c r="AF36" s="289">
        <v>-0.19307316666999999</v>
      </c>
      <c r="AG36" s="289">
        <v>-0.32514799999999999</v>
      </c>
      <c r="AH36" s="289">
        <v>0.20009067742</v>
      </c>
      <c r="AI36" s="289">
        <v>0.2001636</v>
      </c>
      <c r="AJ36" s="289">
        <v>0.45918406451999999</v>
      </c>
      <c r="AK36" s="289">
        <v>-8.6984900000000004E-2</v>
      </c>
      <c r="AL36" s="289">
        <v>0.28875683871000002</v>
      </c>
      <c r="AM36" s="870">
        <v>0.77120648387000001</v>
      </c>
      <c r="AN36" s="289">
        <v>0.31715821429000002</v>
      </c>
      <c r="AO36" s="289">
        <v>-0.20759445161000001</v>
      </c>
      <c r="AP36" s="289">
        <v>-0.39513566667</v>
      </c>
      <c r="AQ36" s="289">
        <v>-0.87867703226000005</v>
      </c>
      <c r="AR36" s="289">
        <v>-0.22577983333000001</v>
      </c>
      <c r="AS36" s="289">
        <v>-0.61375087097000003</v>
      </c>
      <c r="AT36" s="289">
        <v>-0.76497841934999999</v>
      </c>
      <c r="AU36" s="289">
        <v>-0.17185183333000001</v>
      </c>
      <c r="AV36" s="289">
        <v>0.43827532258000002</v>
      </c>
      <c r="AW36" s="289">
        <v>-0.47376606666999999</v>
      </c>
      <c r="AX36" s="289">
        <v>-0.14268970968</v>
      </c>
      <c r="AY36" s="289">
        <v>0.66139358064999998</v>
      </c>
      <c r="AZ36" s="870">
        <v>-0.13670378571</v>
      </c>
      <c r="BA36" s="870">
        <v>-0.31976493548000001</v>
      </c>
      <c r="BB36" s="870">
        <v>1.7976516</v>
      </c>
      <c r="BC36" s="870">
        <v>1.8998249677000001</v>
      </c>
      <c r="BD36" s="870">
        <v>1.5193173333000001</v>
      </c>
      <c r="BE36" s="870">
        <v>7.0518516128999995E-2</v>
      </c>
      <c r="BF36" s="870">
        <v>0.16166446461</v>
      </c>
      <c r="BG36" s="870">
        <v>-9.5059794372000003E-2</v>
      </c>
      <c r="BH36" s="355">
        <v>0.16286598156000001</v>
      </c>
      <c r="BI36" s="355">
        <v>0.30680000000000002</v>
      </c>
      <c r="BJ36" s="355">
        <v>0.93483870968000005</v>
      </c>
      <c r="BK36" s="355">
        <v>-0.69193548387000003</v>
      </c>
      <c r="BL36" s="355">
        <v>0.48992857143000001</v>
      </c>
      <c r="BM36" s="355">
        <v>-0.31938709676999999</v>
      </c>
      <c r="BN36" s="355">
        <v>-0.65383333333000004</v>
      </c>
      <c r="BO36" s="355">
        <v>-0.71641935483999997</v>
      </c>
      <c r="BP36" s="355">
        <v>-0.24443333333</v>
      </c>
      <c r="BQ36" s="355">
        <v>-0.96425806451999996</v>
      </c>
      <c r="BR36" s="355">
        <v>-0.80351612903000003</v>
      </c>
      <c r="BS36" s="355">
        <v>-0.7903</v>
      </c>
      <c r="BT36" s="355">
        <v>-0.49319354839000001</v>
      </c>
      <c r="BU36" s="355">
        <v>-0.93796666666999995</v>
      </c>
      <c r="BV36" s="355">
        <v>-0.36525806451999998</v>
      </c>
    </row>
    <row r="37" spans="1:74" ht="11.1" customHeight="1" x14ac:dyDescent="0.2">
      <c r="A37" s="323" t="s">
        <v>181</v>
      </c>
      <c r="B37" s="391" t="s">
        <v>934</v>
      </c>
      <c r="C37" s="289">
        <v>-0.41674193547999999</v>
      </c>
      <c r="D37" s="289">
        <v>0.12003571429</v>
      </c>
      <c r="E37" s="289">
        <v>9.5419354839000006E-2</v>
      </c>
      <c r="F37" s="289">
        <v>-1.7249666667000001</v>
      </c>
      <c r="G37" s="289">
        <v>0.20696774194000001</v>
      </c>
      <c r="H37" s="289">
        <v>0.67649999999999999</v>
      </c>
      <c r="I37" s="289">
        <v>-0.72029032258000003</v>
      </c>
      <c r="J37" s="289">
        <v>-0.219</v>
      </c>
      <c r="K37" s="289">
        <v>-0.70669999999999999</v>
      </c>
      <c r="L37" s="289">
        <v>-0.21451612903</v>
      </c>
      <c r="M37" s="289">
        <v>-0.86233333332999995</v>
      </c>
      <c r="N37" s="289">
        <v>0.26190322580999997</v>
      </c>
      <c r="O37" s="289">
        <v>-0.43593548386999997</v>
      </c>
      <c r="P37" s="289">
        <v>0.98485714286000003</v>
      </c>
      <c r="Q37" s="289">
        <v>0.48535483871000001</v>
      </c>
      <c r="R37" s="289">
        <v>-1.6009333333</v>
      </c>
      <c r="S37" s="289">
        <v>0.68158064516000005</v>
      </c>
      <c r="T37" s="289">
        <v>0.97389999999999999</v>
      </c>
      <c r="U37" s="289">
        <v>-0.66803225805999999</v>
      </c>
      <c r="V37" s="289">
        <v>-0.51819354838999998</v>
      </c>
      <c r="W37" s="289">
        <v>0.62709999999999999</v>
      </c>
      <c r="X37" s="289">
        <v>0.53451612903000001</v>
      </c>
      <c r="Y37" s="289">
        <v>0.23296666666999999</v>
      </c>
      <c r="Z37" s="289">
        <v>-0.11703225806000001</v>
      </c>
      <c r="AA37" s="289">
        <v>-0.54519354839</v>
      </c>
      <c r="AB37" s="289">
        <v>-0.39348275861999998</v>
      </c>
      <c r="AC37" s="289">
        <v>0.46993548387</v>
      </c>
      <c r="AD37" s="289">
        <v>-1.1699666666999999</v>
      </c>
      <c r="AE37" s="289">
        <v>-8.0645161290000007E-3</v>
      </c>
      <c r="AF37" s="289">
        <v>0.53610000000000002</v>
      </c>
      <c r="AG37" s="289">
        <v>0.48651612903000002</v>
      </c>
      <c r="AH37" s="289">
        <v>-0.64125806452</v>
      </c>
      <c r="AI37" s="289">
        <v>0.88723333332999998</v>
      </c>
      <c r="AJ37" s="289">
        <v>0.56074193547999995</v>
      </c>
      <c r="AK37" s="289">
        <v>0.2122</v>
      </c>
      <c r="AL37" s="289">
        <v>-9.5129032257999999E-2</v>
      </c>
      <c r="AM37" s="870">
        <v>-0.78264516128999995</v>
      </c>
      <c r="AN37" s="289">
        <v>0.2445</v>
      </c>
      <c r="AO37" s="289">
        <v>-0.30032258065</v>
      </c>
      <c r="AP37" s="289">
        <v>0.19856666667</v>
      </c>
      <c r="AQ37" s="289">
        <v>-0.65022580645000005</v>
      </c>
      <c r="AR37" s="289">
        <v>0.54346666666999999</v>
      </c>
      <c r="AS37" s="289">
        <v>-0.38451612902999999</v>
      </c>
      <c r="AT37" s="289">
        <v>-0.76283870968</v>
      </c>
      <c r="AU37" s="289">
        <v>1.3933333333E-2</v>
      </c>
      <c r="AV37" s="289">
        <v>0.72470967742000003</v>
      </c>
      <c r="AW37" s="289">
        <v>6.7000000000000002E-3</v>
      </c>
      <c r="AX37" s="289">
        <v>6.8967741934999993E-2</v>
      </c>
      <c r="AY37" s="289">
        <v>0.22167741934999999</v>
      </c>
      <c r="AZ37" s="870">
        <v>-0.65592857143000005</v>
      </c>
      <c r="BA37" s="870">
        <v>1.1846774194</v>
      </c>
      <c r="BB37" s="870">
        <v>0.58606666666999996</v>
      </c>
      <c r="BC37" s="870">
        <v>-1.2931290323</v>
      </c>
      <c r="BD37" s="870">
        <v>0.82020000000000004</v>
      </c>
      <c r="BE37" s="870">
        <v>0.21729211196000001</v>
      </c>
      <c r="BF37" s="870">
        <v>1.1949115832999999</v>
      </c>
      <c r="BG37" s="870">
        <v>1.2616220886</v>
      </c>
      <c r="BH37" s="355">
        <v>0.47997917874000001</v>
      </c>
      <c r="BI37" s="355">
        <v>0.38369030148</v>
      </c>
      <c r="BJ37" s="355">
        <v>0.31980708593000001</v>
      </c>
      <c r="BK37" s="355">
        <v>-0.31182429990999999</v>
      </c>
      <c r="BL37" s="355">
        <v>-0.41797764677999999</v>
      </c>
      <c r="BM37" s="355">
        <v>-0.85748143503999996</v>
      </c>
      <c r="BN37" s="355">
        <v>-0.84561440882000005</v>
      </c>
      <c r="BO37" s="355">
        <v>-1.1629190964</v>
      </c>
      <c r="BP37" s="355">
        <v>-0.94283539015999995</v>
      </c>
      <c r="BQ37" s="355">
        <v>-0.94800318895000002</v>
      </c>
      <c r="BR37" s="355">
        <v>-1.1016110810999999</v>
      </c>
      <c r="BS37" s="355">
        <v>-1.0951889450000001</v>
      </c>
      <c r="BT37" s="355">
        <v>-1.6427241603</v>
      </c>
      <c r="BU37" s="355">
        <v>-1.3686354076</v>
      </c>
      <c r="BV37" s="355">
        <v>-1.1162068865999999</v>
      </c>
    </row>
    <row r="38" spans="1:74" ht="11.1" customHeight="1" x14ac:dyDescent="0.2">
      <c r="A38" s="323" t="s">
        <v>182</v>
      </c>
      <c r="B38" s="391" t="s">
        <v>935</v>
      </c>
      <c r="C38" s="289">
        <v>-1.0017199524</v>
      </c>
      <c r="D38" s="289">
        <v>-0.28963631546000002</v>
      </c>
      <c r="E38" s="289">
        <v>-1.5545088135</v>
      </c>
      <c r="F38" s="289">
        <v>-0.30093429142</v>
      </c>
      <c r="G38" s="289">
        <v>-0.52139665549000003</v>
      </c>
      <c r="H38" s="289">
        <v>-0.20886952429</v>
      </c>
      <c r="I38" s="289">
        <v>0.31514494640000001</v>
      </c>
      <c r="J38" s="289">
        <v>-1.3050845239</v>
      </c>
      <c r="K38" s="289">
        <v>-1.1082391948999999</v>
      </c>
      <c r="L38" s="289">
        <v>-3.2134271142999999</v>
      </c>
      <c r="M38" s="289">
        <v>-1.5795175071000001</v>
      </c>
      <c r="N38" s="289">
        <v>-0.70408547202000005</v>
      </c>
      <c r="O38" s="289">
        <v>-2.0587247820000001</v>
      </c>
      <c r="P38" s="289">
        <v>-0.98545049249000005</v>
      </c>
      <c r="Q38" s="289">
        <v>-3.0489538596000001</v>
      </c>
      <c r="R38" s="289">
        <v>-0.22626243477999999</v>
      </c>
      <c r="S38" s="289">
        <v>-0.72197178111000004</v>
      </c>
      <c r="T38" s="289">
        <v>-0.50647387637999997</v>
      </c>
      <c r="U38" s="289">
        <v>0.64295472287</v>
      </c>
      <c r="V38" s="289">
        <v>0.52023199897000005</v>
      </c>
      <c r="W38" s="289">
        <v>-0.61829224126000004</v>
      </c>
      <c r="X38" s="289">
        <v>-2.7989363453</v>
      </c>
      <c r="Y38" s="289">
        <v>-1.7369295768999999</v>
      </c>
      <c r="Z38" s="289">
        <v>-1.5344285442000001</v>
      </c>
      <c r="AA38" s="289">
        <v>-1.4307097174000001</v>
      </c>
      <c r="AB38" s="289">
        <v>-0.37665692290000002</v>
      </c>
      <c r="AC38" s="289">
        <v>-1.9901446095999999</v>
      </c>
      <c r="AD38" s="289">
        <v>1.2396121786000001</v>
      </c>
      <c r="AE38" s="289">
        <v>1.0943149591000001</v>
      </c>
      <c r="AF38" s="289">
        <v>0.75742431775999997</v>
      </c>
      <c r="AG38" s="289">
        <v>0.93636660531000004</v>
      </c>
      <c r="AH38" s="289">
        <v>0.74277217091000003</v>
      </c>
      <c r="AI38" s="289">
        <v>0.19671606183000001</v>
      </c>
      <c r="AJ38" s="289">
        <v>-0.76437552221000005</v>
      </c>
      <c r="AK38" s="289">
        <v>-0.37666314105999998</v>
      </c>
      <c r="AL38" s="289">
        <v>-0.14077903814000001</v>
      </c>
      <c r="AM38" s="870">
        <v>-0.66004294435999999</v>
      </c>
      <c r="AN38" s="289">
        <v>-0.12297546735000001</v>
      </c>
      <c r="AO38" s="289">
        <v>-1.8901808412000001</v>
      </c>
      <c r="AP38" s="289">
        <v>-0.46223877552999998</v>
      </c>
      <c r="AQ38" s="289">
        <v>0.27443643267000001</v>
      </c>
      <c r="AR38" s="289">
        <v>-0.61611242138</v>
      </c>
      <c r="AS38" s="289">
        <v>-0.59254252899000004</v>
      </c>
      <c r="AT38" s="289">
        <v>-1.6440609011</v>
      </c>
      <c r="AU38" s="289">
        <v>-2.6798008793000001</v>
      </c>
      <c r="AV38" s="289">
        <v>-5.1758976626999997</v>
      </c>
      <c r="AW38" s="289">
        <v>-3.7086335535999999</v>
      </c>
      <c r="AX38" s="289">
        <v>-1.7143791554000001</v>
      </c>
      <c r="AY38" s="289">
        <v>-4.4702843318000003</v>
      </c>
      <c r="AZ38" s="870">
        <v>-3.5412310223999999</v>
      </c>
      <c r="BA38" s="870">
        <v>4.3480915405999996</v>
      </c>
      <c r="BB38" s="870">
        <v>1.6602907873999999</v>
      </c>
      <c r="BC38" s="870">
        <v>3.8147646132999999</v>
      </c>
      <c r="BD38" s="870">
        <v>-0.17844482348999999</v>
      </c>
      <c r="BE38" s="870">
        <v>-0.55306504475999996</v>
      </c>
      <c r="BF38" s="870">
        <v>1.6182007466999999</v>
      </c>
      <c r="BG38" s="870">
        <v>1.7710634062999999</v>
      </c>
      <c r="BH38" s="355">
        <v>2.806524405E-2</v>
      </c>
      <c r="BI38" s="355">
        <v>-0.21925769684999999</v>
      </c>
      <c r="BJ38" s="355">
        <v>-0.32890467280000002</v>
      </c>
      <c r="BK38" s="355">
        <v>-1.7765425258</v>
      </c>
      <c r="BL38" s="355">
        <v>-2.0842263538000001</v>
      </c>
      <c r="BM38" s="355">
        <v>-3.0108250641000001</v>
      </c>
      <c r="BN38" s="355">
        <v>-3.0879595264000002</v>
      </c>
      <c r="BO38" s="355">
        <v>-3.8396909175</v>
      </c>
      <c r="BP38" s="355">
        <v>-3.3324622867000002</v>
      </c>
      <c r="BQ38" s="355">
        <v>-3.2375451672</v>
      </c>
      <c r="BR38" s="355">
        <v>-3.5646691698000001</v>
      </c>
      <c r="BS38" s="355">
        <v>-3.6450308827</v>
      </c>
      <c r="BT38" s="355">
        <v>-4.8073463545999999</v>
      </c>
      <c r="BU38" s="355">
        <v>-4.2820523417</v>
      </c>
      <c r="BV38" s="355">
        <v>-3.6796004256999999</v>
      </c>
    </row>
    <row r="39" spans="1:74" ht="11.1" customHeight="1" x14ac:dyDescent="0.2">
      <c r="A39" s="323"/>
      <c r="B39" s="325"/>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870"/>
      <c r="AN39" s="289"/>
      <c r="AO39" s="289"/>
      <c r="AP39" s="289"/>
      <c r="AQ39" s="289"/>
      <c r="AR39" s="289"/>
      <c r="AS39" s="289"/>
      <c r="AT39" s="289"/>
      <c r="AU39" s="289"/>
      <c r="AV39" s="289"/>
      <c r="AW39" s="289"/>
      <c r="AX39" s="289"/>
      <c r="AY39" s="289"/>
      <c r="AZ39" s="870"/>
      <c r="BA39" s="870"/>
      <c r="BB39" s="870"/>
      <c r="BC39" s="870"/>
      <c r="BD39" s="870"/>
      <c r="BE39" s="870"/>
      <c r="BF39" s="870"/>
      <c r="BG39" s="870"/>
      <c r="BH39" s="355"/>
      <c r="BI39" s="355"/>
      <c r="BJ39" s="355"/>
      <c r="BK39" s="355"/>
      <c r="BL39" s="355"/>
      <c r="BM39" s="355"/>
      <c r="BN39" s="355"/>
      <c r="BO39" s="355"/>
      <c r="BP39" s="355"/>
      <c r="BQ39" s="355"/>
      <c r="BR39" s="355"/>
      <c r="BS39" s="355"/>
      <c r="BT39" s="355"/>
      <c r="BU39" s="355"/>
      <c r="BV39" s="355"/>
    </row>
    <row r="40" spans="1:74" ht="11.1" customHeight="1" x14ac:dyDescent="0.2">
      <c r="A40" s="323"/>
      <c r="B40" s="31" t="s">
        <v>815</v>
      </c>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870"/>
      <c r="AN40" s="289"/>
      <c r="AO40" s="289"/>
      <c r="AP40" s="289"/>
      <c r="AQ40" s="289"/>
      <c r="AR40" s="289"/>
      <c r="AS40" s="289"/>
      <c r="AT40" s="289"/>
      <c r="AU40" s="289"/>
      <c r="AV40" s="289"/>
      <c r="AW40" s="289"/>
      <c r="AX40" s="289"/>
      <c r="AY40" s="289"/>
      <c r="AZ40" s="870"/>
      <c r="BA40" s="870"/>
      <c r="BB40" s="870"/>
      <c r="BC40" s="870"/>
      <c r="BD40" s="870"/>
      <c r="BE40" s="870"/>
      <c r="BF40" s="870"/>
      <c r="BG40" s="870"/>
      <c r="BH40" s="355"/>
      <c r="BI40" s="355"/>
      <c r="BJ40" s="355"/>
      <c r="BK40" s="355"/>
      <c r="BL40" s="355"/>
      <c r="BM40" s="355"/>
      <c r="BN40" s="355"/>
      <c r="BO40" s="355"/>
      <c r="BP40" s="355"/>
      <c r="BQ40" s="355"/>
      <c r="BR40" s="355"/>
      <c r="BS40" s="355"/>
      <c r="BT40" s="355"/>
      <c r="BU40" s="355"/>
      <c r="BV40" s="355"/>
    </row>
    <row r="41" spans="1:74" s="272" customFormat="1" ht="11.1" customHeight="1" x14ac:dyDescent="0.2">
      <c r="A41" s="395" t="s">
        <v>179</v>
      </c>
      <c r="B41" s="389" t="s">
        <v>816</v>
      </c>
      <c r="C41" s="107">
        <v>2647.60185</v>
      </c>
      <c r="D41" s="107">
        <v>2619.7522279999998</v>
      </c>
      <c r="E41" s="107">
        <v>2605.418099</v>
      </c>
      <c r="F41" s="107">
        <v>2656.7591889999999</v>
      </c>
      <c r="G41" s="107">
        <v>2668.669406</v>
      </c>
      <c r="H41" s="107">
        <v>2656.6276029999999</v>
      </c>
      <c r="I41" s="107">
        <v>2713.865088</v>
      </c>
      <c r="J41" s="107">
        <v>2718.00758</v>
      </c>
      <c r="K41" s="107">
        <v>2742.0961080000002</v>
      </c>
      <c r="L41" s="107">
        <v>2763.700746</v>
      </c>
      <c r="M41" s="107">
        <v>2785.8339769999998</v>
      </c>
      <c r="N41" s="107">
        <v>2773.5300630000002</v>
      </c>
      <c r="O41" s="107">
        <v>2818.2458649999999</v>
      </c>
      <c r="P41" s="107">
        <v>2803.58239</v>
      </c>
      <c r="Q41" s="107">
        <v>2751.803547</v>
      </c>
      <c r="R41" s="107">
        <v>2815.4404850000001</v>
      </c>
      <c r="S41" s="107">
        <v>2808.7725169999999</v>
      </c>
      <c r="T41" s="107">
        <v>2782.588135</v>
      </c>
      <c r="U41" s="107">
        <v>2810.1525710000001</v>
      </c>
      <c r="V41" s="107">
        <v>2814.8428250000002</v>
      </c>
      <c r="W41" s="107">
        <v>2819.8987109999998</v>
      </c>
      <c r="X41" s="107">
        <v>2784.5352419999999</v>
      </c>
      <c r="Y41" s="107">
        <v>2777.8973609999998</v>
      </c>
      <c r="Z41" s="107">
        <v>2768.9594670000001</v>
      </c>
      <c r="AA41" s="107">
        <v>2766.5837409999999</v>
      </c>
      <c r="AB41" s="107">
        <v>2768.1754299999998</v>
      </c>
      <c r="AC41" s="107">
        <v>2762.802862</v>
      </c>
      <c r="AD41" s="107">
        <v>2825.5725430000002</v>
      </c>
      <c r="AE41" s="107">
        <v>2843.0886639999999</v>
      </c>
      <c r="AF41" s="107">
        <v>2829.892859</v>
      </c>
      <c r="AG41" s="107">
        <v>2822.5294469999999</v>
      </c>
      <c r="AH41" s="107">
        <v>2831.9826360000002</v>
      </c>
      <c r="AI41" s="107">
        <v>2796.0867280000002</v>
      </c>
      <c r="AJ41" s="107">
        <v>2760.1810220000002</v>
      </c>
      <c r="AK41" s="107">
        <v>2751.8425689999999</v>
      </c>
      <c r="AL41" s="107">
        <v>2744.072107</v>
      </c>
      <c r="AM41" s="635">
        <v>2742.9307060000001</v>
      </c>
      <c r="AN41" s="107">
        <v>2726.9552760000001</v>
      </c>
      <c r="AO41" s="107">
        <v>2741.3037039999999</v>
      </c>
      <c r="AP41" s="107">
        <v>2744.7897739999999</v>
      </c>
      <c r="AQ41" s="107">
        <v>2789.247762</v>
      </c>
      <c r="AR41" s="107">
        <v>2778.7731570000001</v>
      </c>
      <c r="AS41" s="107">
        <v>2809.7464340000001</v>
      </c>
      <c r="AT41" s="107">
        <v>2855.1437649999998</v>
      </c>
      <c r="AU41" s="107">
        <v>2857.83932</v>
      </c>
      <c r="AV41" s="107">
        <v>2819.1757849999999</v>
      </c>
      <c r="AW41" s="107">
        <v>2830.8597669999999</v>
      </c>
      <c r="AX41" s="107">
        <v>2831.6031480000001</v>
      </c>
      <c r="AY41" s="107">
        <v>2802.4799469999998</v>
      </c>
      <c r="AZ41" s="635">
        <v>2824.4436529999998</v>
      </c>
      <c r="BA41" s="635">
        <v>2798.2483659999998</v>
      </c>
      <c r="BB41" s="635">
        <v>2747.0378179999998</v>
      </c>
      <c r="BC41" s="635">
        <v>2767.3732439999999</v>
      </c>
      <c r="BD41" s="635">
        <v>2730.3827240000001</v>
      </c>
      <c r="BE41" s="635">
        <v>2738.8365945</v>
      </c>
      <c r="BF41" s="635">
        <v>2715.6995941999999</v>
      </c>
      <c r="BG41" s="635">
        <v>2683.2488644</v>
      </c>
      <c r="BH41" s="396">
        <v>2664.1206682000002</v>
      </c>
      <c r="BI41" s="396">
        <v>2663.4059591999999</v>
      </c>
      <c r="BJ41" s="396">
        <v>2644.5119395000002</v>
      </c>
      <c r="BK41" s="396">
        <v>2675.6284928</v>
      </c>
      <c r="BL41" s="396">
        <v>2673.6138669000002</v>
      </c>
      <c r="BM41" s="396">
        <v>2710.0967913999998</v>
      </c>
      <c r="BN41" s="396">
        <v>2755.0802236999998</v>
      </c>
      <c r="BO41" s="396">
        <v>2813.3397156999999</v>
      </c>
      <c r="BP41" s="396">
        <v>2848.9577773999999</v>
      </c>
      <c r="BQ41" s="396">
        <v>2891.0378762</v>
      </c>
      <c r="BR41" s="396">
        <v>2932.8968197999998</v>
      </c>
      <c r="BS41" s="396">
        <v>2972.2614881</v>
      </c>
      <c r="BT41" s="396">
        <v>3021.2749371</v>
      </c>
      <c r="BU41" s="396">
        <v>3073.2729992999998</v>
      </c>
      <c r="BV41" s="396">
        <v>3101.9984128000001</v>
      </c>
    </row>
    <row r="42" spans="1:74" ht="11.1" customHeight="1" x14ac:dyDescent="0.2">
      <c r="A42" s="323" t="s">
        <v>284</v>
      </c>
      <c r="B42" s="391" t="s">
        <v>194</v>
      </c>
      <c r="C42" s="386">
        <v>1190.10285</v>
      </c>
      <c r="D42" s="386">
        <v>1165.6142279999999</v>
      </c>
      <c r="E42" s="386">
        <v>1154.2380989999999</v>
      </c>
      <c r="F42" s="386">
        <v>1153.830189</v>
      </c>
      <c r="G42" s="386">
        <v>1172.1564060000001</v>
      </c>
      <c r="H42" s="386">
        <v>1180.4096030000001</v>
      </c>
      <c r="I42" s="386">
        <v>1215.318088</v>
      </c>
      <c r="J42" s="386">
        <v>1212.6715799999999</v>
      </c>
      <c r="K42" s="386">
        <v>1215.5591079999999</v>
      </c>
      <c r="L42" s="386">
        <v>1230.5137460000001</v>
      </c>
      <c r="M42" s="386">
        <v>1226.776977</v>
      </c>
      <c r="N42" s="386">
        <v>1222.5920630000001</v>
      </c>
      <c r="O42" s="386">
        <v>1253.7938650000001</v>
      </c>
      <c r="P42" s="386">
        <v>1266.7063900000001</v>
      </c>
      <c r="Q42" s="386">
        <v>1229.9735470000001</v>
      </c>
      <c r="R42" s="386">
        <v>1245.5824849999999</v>
      </c>
      <c r="S42" s="386">
        <v>1260.0435170000001</v>
      </c>
      <c r="T42" s="386">
        <v>1263.076135</v>
      </c>
      <c r="U42" s="386">
        <v>1269.9315710000001</v>
      </c>
      <c r="V42" s="386">
        <v>1258.5578250000001</v>
      </c>
      <c r="W42" s="386">
        <v>1282.4267110000001</v>
      </c>
      <c r="X42" s="386">
        <v>1263.6332420000001</v>
      </c>
      <c r="Y42" s="386">
        <v>1263.984361</v>
      </c>
      <c r="Z42" s="386">
        <v>1251.418467</v>
      </c>
      <c r="AA42" s="386">
        <v>1232.1417409999999</v>
      </c>
      <c r="AB42" s="386">
        <v>1222.3224299999999</v>
      </c>
      <c r="AC42" s="386">
        <v>1231.5178619999999</v>
      </c>
      <c r="AD42" s="386">
        <v>1259.188543</v>
      </c>
      <c r="AE42" s="386">
        <v>1276.4546640000001</v>
      </c>
      <c r="AF42" s="386">
        <v>1279.3418590000001</v>
      </c>
      <c r="AG42" s="386">
        <v>1287.0604470000001</v>
      </c>
      <c r="AH42" s="386">
        <v>1276.634636</v>
      </c>
      <c r="AI42" s="386">
        <v>1267.355728</v>
      </c>
      <c r="AJ42" s="386">
        <v>1248.833022</v>
      </c>
      <c r="AK42" s="386">
        <v>1246.8605689999999</v>
      </c>
      <c r="AL42" s="386">
        <v>1236.1411069999999</v>
      </c>
      <c r="AM42" s="873">
        <v>1210.7377059999999</v>
      </c>
      <c r="AN42" s="386">
        <v>1201.6082759999999</v>
      </c>
      <c r="AO42" s="386">
        <v>1206.646704</v>
      </c>
      <c r="AP42" s="386">
        <v>1216.089774</v>
      </c>
      <c r="AQ42" s="386">
        <v>1240.390762</v>
      </c>
      <c r="AR42" s="386">
        <v>1246.220157</v>
      </c>
      <c r="AS42" s="386">
        <v>1265.273434</v>
      </c>
      <c r="AT42" s="386">
        <v>1287.0227649999999</v>
      </c>
      <c r="AU42" s="386">
        <v>1290.1363200000001</v>
      </c>
      <c r="AV42" s="386">
        <v>1273.9387850000001</v>
      </c>
      <c r="AW42" s="386">
        <v>1285.8237670000001</v>
      </c>
      <c r="AX42" s="386">
        <v>1288.705148</v>
      </c>
      <c r="AY42" s="386">
        <v>1266.453947</v>
      </c>
      <c r="AZ42" s="873">
        <v>1270.051653</v>
      </c>
      <c r="BA42" s="873">
        <v>1280.5813659999999</v>
      </c>
      <c r="BB42" s="873">
        <v>1246.952818</v>
      </c>
      <c r="BC42" s="873">
        <v>1227.2012440000001</v>
      </c>
      <c r="BD42" s="873">
        <v>1214.816724</v>
      </c>
      <c r="BE42" s="873">
        <v>1230.00665</v>
      </c>
      <c r="BF42" s="873">
        <v>1243.9119086999999</v>
      </c>
      <c r="BG42" s="873">
        <v>1249.3098416</v>
      </c>
      <c r="BH42" s="358">
        <v>1245.0609999999999</v>
      </c>
      <c r="BI42" s="358">
        <v>1255.857</v>
      </c>
      <c r="BJ42" s="358">
        <v>1246.877</v>
      </c>
      <c r="BK42" s="358">
        <v>1268.327</v>
      </c>
      <c r="BL42" s="358">
        <v>1254.6089999999999</v>
      </c>
      <c r="BM42" s="358">
        <v>1264.51</v>
      </c>
      <c r="BN42" s="358">
        <v>1284.125</v>
      </c>
      <c r="BO42" s="358">
        <v>1306.3340000000001</v>
      </c>
      <c r="BP42" s="358">
        <v>1313.6669999999999</v>
      </c>
      <c r="BQ42" s="358">
        <v>1326.3589999999999</v>
      </c>
      <c r="BR42" s="358">
        <v>1334.068</v>
      </c>
      <c r="BS42" s="358">
        <v>1340.577</v>
      </c>
      <c r="BT42" s="358">
        <v>1338.6659999999999</v>
      </c>
      <c r="BU42" s="358">
        <v>1349.605</v>
      </c>
      <c r="BV42" s="358">
        <v>1343.7280000000001</v>
      </c>
    </row>
    <row r="43" spans="1:74" ht="11.1" customHeight="1" x14ac:dyDescent="0.2">
      <c r="A43" s="323" t="s">
        <v>817</v>
      </c>
      <c r="B43" s="394" t="s">
        <v>934</v>
      </c>
      <c r="C43" s="387">
        <v>1457.499</v>
      </c>
      <c r="D43" s="387">
        <v>1454.1379999999999</v>
      </c>
      <c r="E43" s="387">
        <v>1451.18</v>
      </c>
      <c r="F43" s="387">
        <v>1502.9290000000001</v>
      </c>
      <c r="G43" s="387">
        <v>1496.5129999999999</v>
      </c>
      <c r="H43" s="387">
        <v>1476.2180000000001</v>
      </c>
      <c r="I43" s="387">
        <v>1498.547</v>
      </c>
      <c r="J43" s="387">
        <v>1505.336</v>
      </c>
      <c r="K43" s="387">
        <v>1526.537</v>
      </c>
      <c r="L43" s="387">
        <v>1533.1869999999999</v>
      </c>
      <c r="M43" s="387">
        <v>1559.057</v>
      </c>
      <c r="N43" s="387">
        <v>1550.9380000000001</v>
      </c>
      <c r="O43" s="387">
        <v>1564.452</v>
      </c>
      <c r="P43" s="387">
        <v>1536.876</v>
      </c>
      <c r="Q43" s="387">
        <v>1521.83</v>
      </c>
      <c r="R43" s="387">
        <v>1569.8579999999999</v>
      </c>
      <c r="S43" s="387">
        <v>1548.729</v>
      </c>
      <c r="T43" s="387">
        <v>1519.5119999999999</v>
      </c>
      <c r="U43" s="387">
        <v>1540.221</v>
      </c>
      <c r="V43" s="387">
        <v>1556.2850000000001</v>
      </c>
      <c r="W43" s="387">
        <v>1537.472</v>
      </c>
      <c r="X43" s="387">
        <v>1520.902</v>
      </c>
      <c r="Y43" s="387">
        <v>1513.913</v>
      </c>
      <c r="Z43" s="387">
        <v>1517.5409999999999</v>
      </c>
      <c r="AA43" s="387">
        <v>1534.442</v>
      </c>
      <c r="AB43" s="387">
        <v>1545.8530000000001</v>
      </c>
      <c r="AC43" s="387">
        <v>1531.2850000000001</v>
      </c>
      <c r="AD43" s="387">
        <v>1566.384</v>
      </c>
      <c r="AE43" s="387">
        <v>1566.634</v>
      </c>
      <c r="AF43" s="387">
        <v>1550.5509999999999</v>
      </c>
      <c r="AG43" s="387">
        <v>1535.4690000000001</v>
      </c>
      <c r="AH43" s="387">
        <v>1555.348</v>
      </c>
      <c r="AI43" s="387">
        <v>1528.731</v>
      </c>
      <c r="AJ43" s="387">
        <v>1511.348</v>
      </c>
      <c r="AK43" s="387">
        <v>1504.982</v>
      </c>
      <c r="AL43" s="387">
        <v>1507.931</v>
      </c>
      <c r="AM43" s="875">
        <v>1532.193</v>
      </c>
      <c r="AN43" s="387">
        <v>1525.347</v>
      </c>
      <c r="AO43" s="387">
        <v>1534.6569999999999</v>
      </c>
      <c r="AP43" s="387">
        <v>1528.7</v>
      </c>
      <c r="AQ43" s="387">
        <v>1548.857</v>
      </c>
      <c r="AR43" s="387">
        <v>1532.5530000000001</v>
      </c>
      <c r="AS43" s="387">
        <v>1544.473</v>
      </c>
      <c r="AT43" s="387">
        <v>1568.1210000000001</v>
      </c>
      <c r="AU43" s="387">
        <v>1567.703</v>
      </c>
      <c r="AV43" s="387">
        <v>1545.2370000000001</v>
      </c>
      <c r="AW43" s="387">
        <v>1545.0360000000001</v>
      </c>
      <c r="AX43" s="387">
        <v>1542.8979999999999</v>
      </c>
      <c r="AY43" s="387">
        <v>1536.0260000000001</v>
      </c>
      <c r="AZ43" s="875">
        <v>1554.3920000000001</v>
      </c>
      <c r="BA43" s="875">
        <v>1517.6669999999999</v>
      </c>
      <c r="BB43" s="875">
        <v>1500.085</v>
      </c>
      <c r="BC43" s="875">
        <v>1540.172</v>
      </c>
      <c r="BD43" s="875">
        <v>1515.566</v>
      </c>
      <c r="BE43" s="875">
        <v>1508.8299445</v>
      </c>
      <c r="BF43" s="875">
        <v>1471.7876854000001</v>
      </c>
      <c r="BG43" s="875">
        <v>1433.9390228</v>
      </c>
      <c r="BH43" s="360">
        <v>1419.0596682</v>
      </c>
      <c r="BI43" s="360">
        <v>1407.5489591999999</v>
      </c>
      <c r="BJ43" s="360">
        <v>1397.6349395</v>
      </c>
      <c r="BK43" s="360">
        <v>1407.3014928</v>
      </c>
      <c r="BL43" s="360">
        <v>1419.0048669</v>
      </c>
      <c r="BM43" s="360">
        <v>1445.5867914</v>
      </c>
      <c r="BN43" s="360">
        <v>1470.9552237</v>
      </c>
      <c r="BO43" s="360">
        <v>1507.0057157000001</v>
      </c>
      <c r="BP43" s="360">
        <v>1535.2907774</v>
      </c>
      <c r="BQ43" s="360">
        <v>1564.6788762000001</v>
      </c>
      <c r="BR43" s="360">
        <v>1598.8288198</v>
      </c>
      <c r="BS43" s="360">
        <v>1631.6844881</v>
      </c>
      <c r="BT43" s="360">
        <v>1682.6089371</v>
      </c>
      <c r="BU43" s="360">
        <v>1723.6679993</v>
      </c>
      <c r="BV43" s="360">
        <v>1758.2704128</v>
      </c>
    </row>
    <row r="44" spans="1:74" s="160" customFormat="1" ht="25.5" customHeight="1" x14ac:dyDescent="0.25">
      <c r="A44" s="159"/>
      <c r="B44" s="1009" t="s">
        <v>818</v>
      </c>
      <c r="C44" s="1008"/>
      <c r="D44" s="1008"/>
      <c r="E44" s="1008"/>
      <c r="F44" s="1008"/>
      <c r="G44" s="1008"/>
      <c r="H44" s="1008"/>
      <c r="I44" s="1008"/>
      <c r="J44" s="1008"/>
      <c r="K44" s="1008"/>
      <c r="L44" s="1008"/>
      <c r="M44" s="1008"/>
      <c r="N44" s="1008"/>
      <c r="O44" s="1008"/>
      <c r="P44" s="1008"/>
      <c r="Q44" s="1008"/>
      <c r="R44" s="781"/>
      <c r="AM44" s="764"/>
      <c r="AY44" s="823"/>
      <c r="AZ44" s="823"/>
      <c r="BA44" s="823"/>
      <c r="BB44" s="823"/>
      <c r="BC44" s="823"/>
      <c r="BD44" s="632"/>
      <c r="BE44" s="632"/>
      <c r="BF44" s="632"/>
      <c r="BG44" s="823"/>
      <c r="BH44" s="823"/>
      <c r="BI44" s="823"/>
      <c r="BJ44" s="221"/>
    </row>
    <row r="45" spans="1:74" s="160" customFormat="1" ht="12" customHeight="1" x14ac:dyDescent="0.2">
      <c r="A45" s="159"/>
      <c r="B45" s="1020" t="s">
        <v>1609</v>
      </c>
      <c r="C45" s="1020"/>
      <c r="D45" s="1020"/>
      <c r="E45" s="1020"/>
      <c r="F45" s="1020"/>
      <c r="G45" s="1020"/>
      <c r="H45" s="1020"/>
      <c r="I45" s="1020"/>
      <c r="J45" s="1020"/>
      <c r="K45" s="1020"/>
      <c r="L45" s="1020"/>
      <c r="M45" s="1020"/>
      <c r="N45" s="1020"/>
      <c r="O45" s="1020"/>
      <c r="P45" s="1020"/>
      <c r="Q45" s="1020"/>
      <c r="R45" s="781"/>
      <c r="AM45" s="764"/>
      <c r="AY45" s="823"/>
      <c r="AZ45" s="823"/>
      <c r="BA45" s="823"/>
      <c r="BB45" s="823"/>
      <c r="BC45" s="823"/>
      <c r="BD45" s="632"/>
      <c r="BE45" s="632"/>
      <c r="BF45" s="632"/>
      <c r="BG45" s="823"/>
      <c r="BH45" s="823"/>
      <c r="BI45" s="823"/>
      <c r="BJ45" s="221"/>
    </row>
    <row r="46" spans="1:74" s="160" customFormat="1" ht="22.65" customHeight="1" x14ac:dyDescent="0.2">
      <c r="A46" s="159"/>
      <c r="B46" s="1020" t="s">
        <v>819</v>
      </c>
      <c r="C46" s="1020"/>
      <c r="D46" s="1020"/>
      <c r="E46" s="1020"/>
      <c r="F46" s="1020"/>
      <c r="G46" s="1020"/>
      <c r="H46" s="1020"/>
      <c r="I46" s="1020"/>
      <c r="J46" s="1020"/>
      <c r="K46" s="1020"/>
      <c r="L46" s="1020"/>
      <c r="M46" s="1020"/>
      <c r="N46" s="1020"/>
      <c r="O46" s="1020"/>
      <c r="P46" s="1020"/>
      <c r="Q46" s="1020"/>
      <c r="R46" s="781"/>
      <c r="AM46" s="764"/>
      <c r="AY46" s="823"/>
      <c r="AZ46" s="823"/>
      <c r="BA46" s="823"/>
      <c r="BB46" s="823"/>
      <c r="BC46" s="823"/>
      <c r="BD46" s="632"/>
      <c r="BE46" s="632"/>
      <c r="BF46" s="632"/>
      <c r="BG46" s="823"/>
      <c r="BH46" s="823"/>
      <c r="BI46" s="823"/>
      <c r="BJ46" s="221"/>
    </row>
    <row r="47" spans="1:74" s="160" customFormat="1" ht="36" customHeight="1" x14ac:dyDescent="0.2">
      <c r="A47" s="159"/>
      <c r="B47" s="1020" t="s">
        <v>820</v>
      </c>
      <c r="C47" s="1020"/>
      <c r="D47" s="1020"/>
      <c r="E47" s="1020"/>
      <c r="F47" s="1020"/>
      <c r="G47" s="1020"/>
      <c r="H47" s="1020"/>
      <c r="I47" s="1020"/>
      <c r="J47" s="1020"/>
      <c r="K47" s="1020"/>
      <c r="L47" s="1020"/>
      <c r="M47" s="1020"/>
      <c r="N47" s="1020"/>
      <c r="O47" s="1020"/>
      <c r="P47" s="1020"/>
      <c r="Q47" s="1020"/>
      <c r="R47" s="781"/>
      <c r="AM47" s="764"/>
      <c r="AY47" s="823"/>
      <c r="AZ47" s="823"/>
      <c r="BA47" s="823"/>
      <c r="BB47" s="823"/>
      <c r="BC47" s="823"/>
      <c r="BD47" s="632"/>
      <c r="BE47" s="632"/>
      <c r="BF47" s="632"/>
      <c r="BG47" s="823"/>
      <c r="BH47" s="823"/>
      <c r="BI47" s="823"/>
      <c r="BJ47" s="221"/>
    </row>
    <row r="48" spans="1:74" s="160" customFormat="1" ht="12" customHeight="1" x14ac:dyDescent="0.2">
      <c r="A48" s="159"/>
      <c r="B48" s="773" t="s">
        <v>808</v>
      </c>
      <c r="C48" s="788"/>
      <c r="D48" s="788"/>
      <c r="E48" s="788"/>
      <c r="F48" s="788"/>
      <c r="G48" s="788"/>
      <c r="H48" s="788"/>
      <c r="I48" s="788"/>
      <c r="J48" s="788"/>
      <c r="K48" s="788"/>
      <c r="L48" s="788"/>
      <c r="M48" s="788"/>
      <c r="N48" s="788"/>
      <c r="O48" s="788"/>
      <c r="P48" s="788"/>
      <c r="Q48" s="788"/>
      <c r="R48" s="781"/>
      <c r="AM48" s="764"/>
      <c r="AY48" s="823"/>
      <c r="AZ48" s="823"/>
      <c r="BA48" s="823"/>
      <c r="BB48" s="823"/>
      <c r="BC48" s="823"/>
      <c r="BD48" s="632"/>
      <c r="BE48" s="632"/>
      <c r="BF48" s="632"/>
      <c r="BG48" s="823"/>
      <c r="BH48" s="823"/>
      <c r="BI48" s="823"/>
      <c r="BJ48" s="221"/>
    </row>
    <row r="49" spans="1:74" s="160" customFormat="1" ht="12" customHeight="1" x14ac:dyDescent="0.25">
      <c r="A49" s="159"/>
      <c r="B49" s="990" t="str">
        <f>Dates!$G$2</f>
        <v>EIA completed modeling and analysis for this report on Thursday, October 1, 2026.</v>
      </c>
      <c r="C49" s="991"/>
      <c r="D49" s="991"/>
      <c r="E49" s="991"/>
      <c r="F49" s="991"/>
      <c r="G49" s="991"/>
      <c r="H49" s="991"/>
      <c r="I49" s="991"/>
      <c r="J49" s="991"/>
      <c r="K49" s="991"/>
      <c r="L49" s="991"/>
      <c r="M49" s="991"/>
      <c r="N49" s="991"/>
      <c r="O49" s="991"/>
      <c r="P49" s="991"/>
      <c r="Q49" s="991"/>
      <c r="R49" s="83"/>
      <c r="AM49" s="764"/>
      <c r="AY49" s="823"/>
      <c r="AZ49" s="823"/>
      <c r="BA49" s="823"/>
      <c r="BB49" s="823"/>
      <c r="BC49" s="823"/>
      <c r="BD49" s="632"/>
      <c r="BE49" s="632"/>
      <c r="BF49" s="632"/>
      <c r="BG49" s="823"/>
      <c r="BH49" s="823"/>
      <c r="BI49" s="823"/>
      <c r="BJ49" s="221"/>
    </row>
    <row r="50" spans="1:74" s="160" customFormat="1" ht="12" customHeight="1" x14ac:dyDescent="0.25">
      <c r="A50" s="159"/>
      <c r="B50" s="1005" t="s">
        <v>481</v>
      </c>
      <c r="C50" s="1006"/>
      <c r="D50" s="1006"/>
      <c r="E50" s="1006"/>
      <c r="F50" s="1006"/>
      <c r="G50" s="1006"/>
      <c r="H50" s="1006"/>
      <c r="I50" s="1006"/>
      <c r="J50" s="1006"/>
      <c r="K50" s="1006"/>
      <c r="L50" s="1006"/>
      <c r="M50" s="1006"/>
      <c r="N50" s="1006"/>
      <c r="O50" s="1006"/>
      <c r="P50" s="1006"/>
      <c r="Q50" s="1006"/>
      <c r="R50" s="83"/>
      <c r="AM50" s="764"/>
      <c r="AY50" s="823"/>
      <c r="AZ50" s="823"/>
      <c r="BA50" s="823"/>
      <c r="BB50" s="823"/>
      <c r="BC50" s="823"/>
      <c r="BD50" s="632"/>
      <c r="BE50" s="632"/>
      <c r="BF50" s="632"/>
      <c r="BG50" s="823"/>
      <c r="BH50" s="823"/>
      <c r="BI50" s="823"/>
      <c r="BJ50" s="221"/>
    </row>
    <row r="51" spans="1:74" s="160" customFormat="1" ht="12" customHeight="1" x14ac:dyDescent="0.25">
      <c r="A51" s="159"/>
      <c r="B51" s="976" t="s">
        <v>196</v>
      </c>
      <c r="C51" s="1007"/>
      <c r="D51" s="1007"/>
      <c r="E51" s="1007"/>
      <c r="F51" s="1007"/>
      <c r="G51" s="1007"/>
      <c r="H51" s="1007"/>
      <c r="I51" s="1007"/>
      <c r="J51" s="1007"/>
      <c r="K51" s="1007"/>
      <c r="L51" s="1007"/>
      <c r="M51" s="1007"/>
      <c r="N51" s="1007"/>
      <c r="O51" s="1007"/>
      <c r="P51" s="1007"/>
      <c r="Q51" s="1008"/>
      <c r="R51" s="83"/>
      <c r="AM51" s="764"/>
      <c r="AY51" s="823"/>
      <c r="AZ51" s="823"/>
      <c r="BA51" s="823"/>
      <c r="BB51" s="823"/>
      <c r="BC51" s="823"/>
      <c r="BD51" s="632"/>
      <c r="BE51" s="632"/>
      <c r="BF51" s="632"/>
      <c r="BG51" s="823"/>
      <c r="BH51" s="823"/>
      <c r="BI51" s="823"/>
      <c r="BJ51" s="221"/>
    </row>
    <row r="52" spans="1:74" s="160" customFormat="1" ht="12" customHeight="1" x14ac:dyDescent="0.25">
      <c r="A52" s="159"/>
      <c r="B52" s="976" t="s">
        <v>489</v>
      </c>
      <c r="C52" s="1008"/>
      <c r="D52" s="1008"/>
      <c r="E52" s="1008"/>
      <c r="F52" s="1008"/>
      <c r="G52" s="1008"/>
      <c r="H52" s="1008"/>
      <c r="I52" s="1008"/>
      <c r="J52" s="1008"/>
      <c r="K52" s="1008"/>
      <c r="L52" s="1008"/>
      <c r="M52" s="1008"/>
      <c r="N52" s="1008"/>
      <c r="O52" s="1008"/>
      <c r="P52" s="1008"/>
      <c r="Q52" s="1008"/>
      <c r="R52" s="83"/>
      <c r="AM52" s="764"/>
      <c r="AY52" s="823"/>
      <c r="AZ52" s="823"/>
      <c r="BA52" s="823"/>
      <c r="BB52" s="823"/>
      <c r="BC52" s="823"/>
      <c r="BD52" s="632"/>
      <c r="BE52" s="632"/>
      <c r="BF52" s="632"/>
      <c r="BG52" s="823"/>
      <c r="BH52" s="823"/>
      <c r="BI52" s="823"/>
      <c r="BJ52" s="221"/>
    </row>
    <row r="53" spans="1:74" s="160" customFormat="1" ht="12" customHeight="1" x14ac:dyDescent="0.2">
      <c r="A53" s="159"/>
      <c r="B53" s="970" t="s">
        <v>821</v>
      </c>
      <c r="C53" s="970"/>
      <c r="D53" s="970"/>
      <c r="E53" s="970"/>
      <c r="F53" s="970"/>
      <c r="G53" s="970"/>
      <c r="H53" s="970"/>
      <c r="I53" s="970"/>
      <c r="J53" s="970"/>
      <c r="K53" s="970"/>
      <c r="L53" s="970"/>
      <c r="M53" s="970"/>
      <c r="N53" s="970"/>
      <c r="O53" s="970"/>
      <c r="P53" s="970"/>
      <c r="Q53" s="970"/>
      <c r="R53" s="970"/>
      <c r="AM53" s="764"/>
      <c r="AY53" s="823"/>
      <c r="AZ53" s="823"/>
      <c r="BA53" s="823"/>
      <c r="BB53" s="823"/>
      <c r="BC53" s="823"/>
      <c r="BD53" s="632"/>
      <c r="BE53" s="632"/>
      <c r="BF53" s="632"/>
      <c r="BG53" s="823"/>
      <c r="BH53" s="823"/>
      <c r="BI53" s="823"/>
      <c r="BJ53" s="221"/>
    </row>
    <row r="54" spans="1:74" s="160" customFormat="1" ht="12" customHeight="1" x14ac:dyDescent="0.25">
      <c r="A54" s="159"/>
      <c r="B54" s="1022" t="s">
        <v>822</v>
      </c>
      <c r="C54" s="1008"/>
      <c r="D54" s="1008"/>
      <c r="E54" s="1008"/>
      <c r="F54" s="1008"/>
      <c r="G54" s="1008"/>
      <c r="H54" s="1008"/>
      <c r="I54" s="1008"/>
      <c r="J54" s="1008"/>
      <c r="K54" s="1008"/>
      <c r="L54" s="1008"/>
      <c r="M54" s="1008"/>
      <c r="N54" s="1008"/>
      <c r="O54" s="1008"/>
      <c r="P54" s="1008"/>
      <c r="Q54" s="1008"/>
      <c r="R54" s="802"/>
      <c r="AM54" s="764"/>
      <c r="AY54" s="823"/>
      <c r="AZ54" s="823"/>
      <c r="BA54" s="823"/>
      <c r="BB54" s="823"/>
      <c r="BC54" s="823"/>
      <c r="BD54" s="632"/>
      <c r="BE54" s="632"/>
      <c r="BF54" s="632"/>
      <c r="BG54" s="823"/>
      <c r="BH54" s="823"/>
      <c r="BI54" s="823"/>
      <c r="BJ54" s="221"/>
    </row>
    <row r="55" spans="1:74" s="160" customFormat="1" ht="12" customHeight="1" x14ac:dyDescent="0.25">
      <c r="A55" s="159"/>
      <c r="B55" s="997" t="s">
        <v>823</v>
      </c>
      <c r="C55" s="1008"/>
      <c r="D55" s="1008"/>
      <c r="E55" s="1008"/>
      <c r="F55" s="1008"/>
      <c r="G55" s="1008"/>
      <c r="H55" s="1008"/>
      <c r="I55" s="1008"/>
      <c r="J55" s="1008"/>
      <c r="K55" s="1008"/>
      <c r="L55" s="1008"/>
      <c r="M55" s="1008"/>
      <c r="N55" s="1008"/>
      <c r="O55" s="1008"/>
      <c r="P55" s="1008"/>
      <c r="Q55" s="1008"/>
      <c r="R55" s="781"/>
      <c r="AM55" s="764"/>
      <c r="AY55" s="823"/>
      <c r="AZ55" s="823"/>
      <c r="BA55" s="823"/>
      <c r="BB55" s="823"/>
      <c r="BC55" s="823"/>
      <c r="BD55" s="632"/>
      <c r="BE55" s="632"/>
      <c r="BF55" s="632"/>
      <c r="BG55" s="823"/>
      <c r="BH55" s="823"/>
      <c r="BI55" s="823"/>
      <c r="BJ55" s="221"/>
    </row>
    <row r="56" spans="1:74" s="160" customFormat="1" ht="12" customHeight="1" x14ac:dyDescent="0.25">
      <c r="A56" s="159"/>
      <c r="B56" s="1018"/>
      <c r="C56" s="1021"/>
      <c r="D56" s="1021"/>
      <c r="E56" s="1021"/>
      <c r="F56" s="1021"/>
      <c r="G56" s="1021"/>
      <c r="H56" s="1021"/>
      <c r="I56" s="1021"/>
      <c r="J56" s="1021"/>
      <c r="K56" s="1021"/>
      <c r="L56" s="1021"/>
      <c r="M56" s="1021"/>
      <c r="N56" s="1021"/>
      <c r="O56" s="1021"/>
      <c r="P56" s="1021"/>
      <c r="Q56" s="972"/>
      <c r="AM56" s="764"/>
      <c r="AY56" s="823"/>
      <c r="AZ56" s="823"/>
      <c r="BA56" s="823"/>
      <c r="BB56" s="823"/>
      <c r="BC56" s="823"/>
      <c r="BD56" s="632"/>
      <c r="BE56" s="632"/>
      <c r="BF56" s="632"/>
      <c r="BG56" s="823"/>
      <c r="BH56" s="823"/>
      <c r="BI56" s="823"/>
      <c r="BJ56" s="221"/>
    </row>
    <row r="57" spans="1:74" s="160" customFormat="1" ht="12" customHeight="1" x14ac:dyDescent="0.25">
      <c r="A57" s="159"/>
      <c r="B57" s="1017"/>
      <c r="C57" s="972"/>
      <c r="D57" s="972"/>
      <c r="E57" s="972"/>
      <c r="F57" s="972"/>
      <c r="G57" s="972"/>
      <c r="H57" s="972"/>
      <c r="I57" s="972"/>
      <c r="J57" s="972"/>
      <c r="K57" s="972"/>
      <c r="L57" s="972"/>
      <c r="M57" s="972"/>
      <c r="N57" s="972"/>
      <c r="O57" s="972"/>
      <c r="P57" s="972"/>
      <c r="Q57" s="972"/>
      <c r="AM57" s="764"/>
      <c r="AY57" s="823"/>
      <c r="AZ57" s="823"/>
      <c r="BA57" s="823"/>
      <c r="BB57" s="823"/>
      <c r="BC57" s="823"/>
      <c r="BD57" s="632"/>
      <c r="BE57" s="632"/>
      <c r="BF57" s="632"/>
      <c r="BG57" s="823"/>
      <c r="BH57" s="823"/>
      <c r="BI57" s="823"/>
      <c r="BJ57" s="221"/>
    </row>
    <row r="58" spans="1:74" s="161" customFormat="1" ht="12" customHeight="1" x14ac:dyDescent="0.25">
      <c r="A58" s="158"/>
      <c r="B58" s="1018"/>
      <c r="C58" s="1019"/>
      <c r="D58" s="1019"/>
      <c r="E58" s="1019"/>
      <c r="F58" s="1019"/>
      <c r="G58" s="1019"/>
      <c r="H58" s="1019"/>
      <c r="I58" s="1019"/>
      <c r="J58" s="1019"/>
      <c r="K58" s="1019"/>
      <c r="L58" s="1019"/>
      <c r="M58" s="1019"/>
      <c r="N58" s="1019"/>
      <c r="O58" s="1019"/>
      <c r="P58" s="1019"/>
      <c r="Q58" s="972"/>
      <c r="R58" s="160"/>
      <c r="AM58" s="763"/>
      <c r="AY58" s="638"/>
      <c r="AZ58" s="638"/>
      <c r="BA58" s="638"/>
      <c r="BB58" s="638"/>
      <c r="BC58" s="638"/>
      <c r="BD58" s="636"/>
      <c r="BE58" s="636"/>
      <c r="BF58" s="636"/>
      <c r="BG58" s="638"/>
      <c r="BH58" s="638"/>
      <c r="BI58" s="638"/>
      <c r="BJ58" s="220"/>
    </row>
    <row r="59" spans="1:74" ht="12" customHeight="1" x14ac:dyDescent="0.2">
      <c r="B59" s="1016"/>
      <c r="C59" s="972"/>
      <c r="D59" s="972"/>
      <c r="E59" s="972"/>
      <c r="F59" s="972"/>
      <c r="G59" s="972"/>
      <c r="H59" s="972"/>
      <c r="I59" s="972"/>
      <c r="J59" s="972"/>
      <c r="K59" s="972"/>
      <c r="L59" s="972"/>
      <c r="M59" s="972"/>
      <c r="N59" s="972"/>
      <c r="O59" s="972"/>
      <c r="P59" s="972"/>
      <c r="Q59" s="972"/>
      <c r="R59" s="161"/>
      <c r="BK59" s="151"/>
      <c r="BL59" s="151"/>
      <c r="BM59" s="151"/>
      <c r="BN59" s="151"/>
      <c r="BO59" s="151"/>
      <c r="BP59" s="151"/>
      <c r="BQ59" s="151"/>
      <c r="BR59" s="151"/>
      <c r="BS59" s="151"/>
      <c r="BT59" s="151"/>
      <c r="BU59" s="151"/>
      <c r="BV59" s="151"/>
    </row>
    <row r="60" spans="1:74" x14ac:dyDescent="0.2">
      <c r="BK60" s="151"/>
      <c r="BL60" s="151"/>
      <c r="BM60" s="151"/>
      <c r="BN60" s="151"/>
      <c r="BO60" s="151"/>
      <c r="BP60" s="151"/>
      <c r="BQ60" s="151"/>
      <c r="BR60" s="151"/>
      <c r="BS60" s="151"/>
      <c r="BT60" s="151"/>
      <c r="BU60" s="151"/>
      <c r="BV60" s="151"/>
    </row>
    <row r="61" spans="1:74" x14ac:dyDescent="0.2">
      <c r="BK61" s="151"/>
      <c r="BL61" s="151"/>
      <c r="BM61" s="151"/>
      <c r="BN61" s="151"/>
      <c r="BO61" s="151"/>
      <c r="BP61" s="151"/>
      <c r="BQ61" s="151"/>
      <c r="BR61" s="151"/>
      <c r="BS61" s="151"/>
      <c r="BT61" s="151"/>
      <c r="BU61" s="151"/>
      <c r="BV61" s="151"/>
    </row>
    <row r="62" spans="1:74" x14ac:dyDescent="0.2">
      <c r="BK62" s="151"/>
      <c r="BL62" s="151"/>
      <c r="BM62" s="151"/>
      <c r="BN62" s="151"/>
      <c r="BO62" s="151"/>
      <c r="BP62" s="151"/>
      <c r="BQ62" s="151"/>
      <c r="BR62" s="151"/>
      <c r="BS62" s="151"/>
      <c r="BT62" s="151"/>
      <c r="BU62" s="151"/>
      <c r="BV62" s="151"/>
    </row>
    <row r="63" spans="1:74" x14ac:dyDescent="0.2">
      <c r="BK63" s="151"/>
      <c r="BL63" s="151"/>
      <c r="BM63" s="151"/>
      <c r="BN63" s="151"/>
      <c r="BO63" s="151"/>
      <c r="BP63" s="151"/>
      <c r="BQ63" s="151"/>
      <c r="BR63" s="151"/>
      <c r="BS63" s="151"/>
      <c r="BT63" s="151"/>
      <c r="BU63" s="151"/>
      <c r="BV63" s="151"/>
    </row>
    <row r="64" spans="1: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sheetData>
  <mergeCells count="23">
    <mergeCell ref="B59:Q59"/>
    <mergeCell ref="B57:Q57"/>
    <mergeCell ref="B58:Q58"/>
    <mergeCell ref="B45:Q45"/>
    <mergeCell ref="B46:Q46"/>
    <mergeCell ref="B47:Q47"/>
    <mergeCell ref="B56:Q56"/>
    <mergeCell ref="B55:Q55"/>
    <mergeCell ref="B54:Q54"/>
    <mergeCell ref="B53:R53"/>
    <mergeCell ref="AM3:AX3"/>
    <mergeCell ref="AY3:BJ3"/>
    <mergeCell ref="BK3:BV3"/>
    <mergeCell ref="B1:AL1"/>
    <mergeCell ref="C3:N3"/>
    <mergeCell ref="O3:Z3"/>
    <mergeCell ref="AA3:AL3"/>
    <mergeCell ref="A1:A2"/>
    <mergeCell ref="B49:Q49"/>
    <mergeCell ref="B50:Q50"/>
    <mergeCell ref="B51:Q51"/>
    <mergeCell ref="B52:Q52"/>
    <mergeCell ref="B44:Q44"/>
  </mergeCells>
  <phoneticPr fontId="4" type="noConversion"/>
  <hyperlinks>
    <hyperlink ref="A1:A2" location="Contents!A1" display="Table of Contents" xr:uid="{00000000-0004-0000-0400-000000000000}"/>
  </hyperlinks>
  <pageMargins left="0.25" right="0.25" top="0.25" bottom="0.25" header="0.5" footer="0.5"/>
  <pageSetup scale="83" orientation="portrait" r:id="rId1"/>
  <headerFooter alignWithMargins="0"/>
</worksheet>
</file>